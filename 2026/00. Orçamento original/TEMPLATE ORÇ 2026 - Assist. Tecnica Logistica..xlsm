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ORÇAMENTO\AT LOGISTICA\2026\00. Orçamento original\"/>
    </mc:Choice>
  </mc:AlternateContent>
  <xr:revisionPtr revIDLastSave="0" documentId="13_ncr:1_{1805D9EF-5F54-4433-94A5-3DF3C86F4D2E}" xr6:coauthVersionLast="47" xr6:coauthVersionMax="47" xr10:uidLastSave="{00000000-0000-0000-0000-000000000000}"/>
  <workbookProtection workbookAlgorithmName="SHA-512" workbookHashValue="QL4OaylfDJjtl0f98hQCjs/QTqQpGv4G189elOLfWPYNpnm8aD6UljmnFPr6wNEXGXTj54uiIkfeDtbNzXFA6A==" workbookSaltValue="UffEGjAYlLGzw8F0bFOq3g==" workbookSpinCount="100000" lockStructure="1"/>
  <bookViews>
    <workbookView xWindow="-20610" yWindow="-120" windowWidth="20730" windowHeight="11040" tabRatio="834" firstSheet="4" activeTab="8" xr2:uid="{51E19C9D-4A57-4672-A3E7-95601384179D}"/>
  </bookViews>
  <sheets>
    <sheet name="INSTRUÇÃO" sheetId="122" r:id="rId1"/>
    <sheet name="Geral" sheetId="54" r:id="rId2"/>
    <sheet name="CC" sheetId="114" r:id="rId3"/>
    <sheet name="ORÇAMENTO 2026" sheetId="2" r:id="rId4"/>
    <sheet name="DETALHAMENTO" sheetId="115" r:id="rId5"/>
    <sheet name="4300081 - MANUT. E ALUGUEL DE S" sheetId="117" r:id="rId6"/>
    <sheet name="VIAGENS" sheetId="120" r:id="rId7"/>
    <sheet name="4300056 e 4300052 - FRETES" sheetId="123" r:id="rId8"/>
    <sheet name="4100002 - MATERIAL DE EMBALAGEM" sheetId="124" r:id="rId9"/>
    <sheet name="4300070 - REFUGO SUCATA" sheetId="125" r:id="rId10"/>
    <sheet name="ABA SUPORTE VIAGENS" sheetId="121" state="hidden" r:id="rId11"/>
  </sheets>
  <definedNames>
    <definedName name="_14" localSheetId="5">#REF!</definedName>
    <definedName name="_14" localSheetId="0">#REF!</definedName>
    <definedName name="_14" localSheetId="6">#REF!</definedName>
    <definedName name="_14">#REF!</definedName>
    <definedName name="_xlnm._FilterDatabase" localSheetId="8" hidden="1">'4100002 - MATERIAL DE EMBALAGEM'!$A$5:$AK$67</definedName>
    <definedName name="_xlnm._FilterDatabase" localSheetId="10" hidden="1">'ABA SUPORTE VIAGENS'!$V$2:$Y$26</definedName>
    <definedName name="_xlnm._FilterDatabase" localSheetId="3" hidden="1">'ORÇAMENTO 2026'!#REF!</definedName>
    <definedName name="_xleta.INDEX" hidden="1" xlm="1">#NAME?</definedName>
    <definedName name="_xleta.SUM" hidden="1" xlm="1">#NAME?</definedName>
    <definedName name="aa" localSheetId="5">#REF!</definedName>
    <definedName name="aa" localSheetId="0">#REF!</definedName>
    <definedName name="aa" localSheetId="6">#REF!</definedName>
    <definedName name="aa">#REF!</definedName>
    <definedName name="Base_justif" localSheetId="5">#REF!,#REF!,#REF!,#REF!,#REF!,#REF!,#REF!,#REF!,#REF!,#REF!</definedName>
    <definedName name="Base_justif" localSheetId="0">#REF!,#REF!,#REF!,#REF!,#REF!,#REF!,#REF!,#REF!,#REF!,#REF!</definedName>
    <definedName name="Base_justif" localSheetId="6">#REF!,#REF!,#REF!,#REF!,#REF!,#REF!,#REF!,#REF!,#REF!,#REF!</definedName>
    <definedName name="Base_justif">#REF!,#REF!,#REF!,#REF!,#REF!,#REF!,#REF!,#REF!,#REF!,#REF!</definedName>
    <definedName name="BAT_PEROLA_MAXX_127V" localSheetId="0">#REF!</definedName>
    <definedName name="BAT_PEROLA_MAXX_127V">#REF!</definedName>
    <definedName name="ok" localSheetId="0">#REF!</definedName>
    <definedName name="ok">#REF!</definedName>
    <definedName name="PV" localSheetId="0">#REF!</definedName>
    <definedName name="PV">#REF!</definedName>
    <definedName name="teste" localSheetId="0">#REF!</definedName>
    <definedName name="teste">#REF!</definedName>
  </definedNames>
  <calcPr calcId="191029"/>
  <pivotCaches>
    <pivotCache cacheId="338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5" i="120" l="1"/>
  <c r="G75" i="120"/>
  <c r="H75" i="120"/>
  <c r="I75" i="120"/>
  <c r="J75" i="120"/>
  <c r="K75" i="120"/>
  <c r="L75" i="120"/>
  <c r="M75" i="120"/>
  <c r="N75" i="120"/>
  <c r="E75" i="120"/>
  <c r="F75" i="120"/>
  <c r="N18" i="120"/>
  <c r="F58" i="120"/>
  <c r="F59" i="120"/>
  <c r="F60" i="120"/>
  <c r="F61" i="120"/>
  <c r="F62" i="120"/>
  <c r="F63" i="120"/>
  <c r="F64" i="120"/>
  <c r="F65" i="120"/>
  <c r="F66" i="120"/>
  <c r="F67" i="120"/>
  <c r="F68" i="120"/>
  <c r="F69" i="120"/>
  <c r="F70" i="120"/>
  <c r="D70" i="120"/>
  <c r="B70" i="120"/>
  <c r="T70" i="120"/>
  <c r="A18" i="120" l="1"/>
  <c r="P96" i="120"/>
  <c r="P97" i="120"/>
  <c r="B96" i="120"/>
  <c r="B97" i="120"/>
  <c r="P93" i="120"/>
  <c r="P94" i="120"/>
  <c r="B93" i="120"/>
  <c r="B94" i="120"/>
  <c r="T65" i="120"/>
  <c r="T66" i="120"/>
  <c r="T67" i="120"/>
  <c r="T68" i="120"/>
  <c r="T69" i="120"/>
  <c r="S30" i="120"/>
  <c r="S31" i="120"/>
  <c r="S32" i="120"/>
  <c r="S33" i="120"/>
  <c r="S34" i="120"/>
  <c r="S35" i="120"/>
  <c r="S36" i="120"/>
  <c r="S37" i="120"/>
  <c r="S38" i="120"/>
  <c r="S39" i="120"/>
  <c r="S40" i="120"/>
  <c r="S41" i="120"/>
  <c r="R40" i="120"/>
  <c r="R41" i="120"/>
  <c r="R30" i="120"/>
  <c r="R31" i="120"/>
  <c r="R32" i="120"/>
  <c r="R33" i="120"/>
  <c r="W30" i="120"/>
  <c r="W31" i="120"/>
  <c r="W32" i="120"/>
  <c r="W33" i="120"/>
  <c r="W34" i="120"/>
  <c r="W35" i="120"/>
  <c r="W36" i="120"/>
  <c r="W37" i="120"/>
  <c r="W38" i="120"/>
  <c r="W39" i="120"/>
  <c r="W40" i="120"/>
  <c r="W41" i="120"/>
  <c r="V30" i="120"/>
  <c r="V31" i="120"/>
  <c r="V32" i="120"/>
  <c r="V33" i="120"/>
  <c r="V34" i="120"/>
  <c r="V35" i="120"/>
  <c r="V36" i="120"/>
  <c r="V37" i="120"/>
  <c r="V38" i="120"/>
  <c r="V39" i="120"/>
  <c r="V40" i="120"/>
  <c r="V41" i="120"/>
  <c r="X40" i="120"/>
  <c r="Y40" i="120" s="1"/>
  <c r="E69" i="120" s="1"/>
  <c r="X30" i="120"/>
  <c r="Y30" i="120" s="1"/>
  <c r="E59" i="120" s="1"/>
  <c r="X31" i="120"/>
  <c r="Y31" i="120" s="1"/>
  <c r="E60" i="120" s="1"/>
  <c r="X32" i="120"/>
  <c r="Y32" i="120" s="1"/>
  <c r="E61" i="120" s="1"/>
  <c r="X33" i="120"/>
  <c r="Y33" i="120" s="1"/>
  <c r="E62" i="120" s="1"/>
  <c r="D65" i="120"/>
  <c r="D66" i="120"/>
  <c r="D67" i="120"/>
  <c r="B65" i="120"/>
  <c r="B66" i="120"/>
  <c r="D68" i="120"/>
  <c r="B67" i="120"/>
  <c r="B68" i="120"/>
  <c r="N40" i="120"/>
  <c r="O40" i="120" s="1"/>
  <c r="C98" i="120" s="1"/>
  <c r="N30" i="120"/>
  <c r="O30" i="120" s="1"/>
  <c r="C88" i="120" s="1"/>
  <c r="N31" i="120"/>
  <c r="O31" i="120" s="1"/>
  <c r="C89" i="120" s="1"/>
  <c r="N32" i="120"/>
  <c r="O32" i="120" s="1"/>
  <c r="C90" i="120" s="1"/>
  <c r="N33" i="120"/>
  <c r="O33" i="120" s="1"/>
  <c r="C91" i="120" s="1"/>
  <c r="K40" i="120"/>
  <c r="L40" i="120" s="1"/>
  <c r="K30" i="120"/>
  <c r="L30" i="120" s="1"/>
  <c r="K31" i="120"/>
  <c r="L31" i="120" s="1"/>
  <c r="K32" i="120"/>
  <c r="L32" i="120" s="1"/>
  <c r="K33" i="120"/>
  <c r="L33" i="120" s="1"/>
  <c r="A40" i="120"/>
  <c r="A30" i="120"/>
  <c r="A31" i="120"/>
  <c r="A32" i="120"/>
  <c r="A33" i="120"/>
  <c r="A34" i="120"/>
  <c r="A35" i="120"/>
  <c r="A36" i="120"/>
  <c r="A37" i="120"/>
  <c r="A38" i="120"/>
  <c r="A39" i="120"/>
  <c r="A41" i="120"/>
  <c r="F47" i="120"/>
  <c r="N20" i="120"/>
  <c r="O20" i="120" s="1"/>
  <c r="N21" i="120"/>
  <c r="N22" i="120"/>
  <c r="A62" i="120" l="1"/>
  <c r="A91" i="120"/>
  <c r="A61" i="120"/>
  <c r="A90" i="120"/>
  <c r="A89" i="120"/>
  <c r="A60" i="120"/>
  <c r="A59" i="120"/>
  <c r="A88" i="120"/>
  <c r="A69" i="120"/>
  <c r="A98" i="120"/>
  <c r="A70" i="120"/>
  <c r="A99" i="120"/>
  <c r="A68" i="120"/>
  <c r="A97" i="120"/>
  <c r="A67" i="120"/>
  <c r="A96" i="120"/>
  <c r="A66" i="120"/>
  <c r="A95" i="120"/>
  <c r="A65" i="120"/>
  <c r="A94" i="120"/>
  <c r="A64" i="120"/>
  <c r="A93" i="120"/>
  <c r="A63" i="120"/>
  <c r="A92" i="120"/>
  <c r="C68" i="120"/>
  <c r="C70" i="120"/>
  <c r="AB30" i="120"/>
  <c r="AB40" i="120"/>
  <c r="C66" i="120"/>
  <c r="AB32" i="120"/>
  <c r="AB31" i="120"/>
  <c r="C19" i="123"/>
  <c r="D19" i="123"/>
  <c r="E19" i="123"/>
  <c r="F19" i="123"/>
  <c r="G19" i="123"/>
  <c r="H19" i="123"/>
  <c r="I19" i="123"/>
  <c r="J19" i="123"/>
  <c r="K19" i="123"/>
  <c r="L19" i="123"/>
  <c r="M19" i="123"/>
  <c r="C18" i="123"/>
  <c r="D18" i="123"/>
  <c r="E18" i="123"/>
  <c r="F18" i="123"/>
  <c r="G18" i="123"/>
  <c r="H18" i="123"/>
  <c r="I18" i="123"/>
  <c r="J18" i="123"/>
  <c r="K18" i="123"/>
  <c r="L18" i="123"/>
  <c r="M18" i="123"/>
  <c r="C17" i="123"/>
  <c r="D17" i="123"/>
  <c r="E17" i="123"/>
  <c r="F17" i="123"/>
  <c r="G17" i="123"/>
  <c r="H17" i="123"/>
  <c r="I17" i="123"/>
  <c r="J17" i="123"/>
  <c r="K17" i="123"/>
  <c r="L17" i="123"/>
  <c r="M17" i="123"/>
  <c r="C16" i="123"/>
  <c r="D16" i="123"/>
  <c r="E16" i="123"/>
  <c r="F16" i="123"/>
  <c r="G16" i="123"/>
  <c r="H16" i="123"/>
  <c r="I16" i="123"/>
  <c r="J16" i="123"/>
  <c r="K16" i="123"/>
  <c r="L16" i="123"/>
  <c r="M16" i="123"/>
  <c r="B16" i="123"/>
  <c r="F21" i="123" l="1"/>
  <c r="M21" i="123"/>
  <c r="I21" i="123"/>
  <c r="E21" i="123"/>
  <c r="H21" i="123"/>
  <c r="J21" i="123"/>
  <c r="L21" i="123"/>
  <c r="D21" i="123"/>
  <c r="G21" i="123"/>
  <c r="K21" i="123"/>
  <c r="C21" i="123"/>
  <c r="B19" i="123" l="1"/>
  <c r="B18" i="123"/>
  <c r="B17" i="123"/>
  <c r="B21" i="123" l="1"/>
  <c r="V106" i="2"/>
  <c r="W106" i="2"/>
  <c r="P75" i="115" l="1"/>
  <c r="P76" i="115"/>
  <c r="P77" i="115"/>
  <c r="P78" i="115"/>
  <c r="P79" i="115"/>
  <c r="P80" i="115"/>
  <c r="P81" i="115"/>
  <c r="P82" i="115"/>
  <c r="P47" i="115" l="1"/>
  <c r="A19" i="120" l="1"/>
  <c r="A77" i="120" l="1"/>
  <c r="A48" i="120"/>
  <c r="P130" i="115"/>
  <c r="O129" i="115"/>
  <c r="N129" i="115"/>
  <c r="M129" i="115"/>
  <c r="L129" i="115"/>
  <c r="K129" i="115"/>
  <c r="J129" i="115"/>
  <c r="I129" i="115"/>
  <c r="H129" i="115"/>
  <c r="G129" i="115"/>
  <c r="F129" i="115"/>
  <c r="E129" i="115"/>
  <c r="D129" i="115"/>
  <c r="Y205" i="2" a="1"/>
  <c r="X205" i="2"/>
  <c r="W205" i="2"/>
  <c r="V205" i="2"/>
  <c r="Y205" i="2" l="1"/>
  <c r="P129" i="115"/>
  <c r="N5" i="117" l="1"/>
  <c r="P30" i="115"/>
  <c r="P31" i="115"/>
  <c r="P32" i="115"/>
  <c r="P33" i="115"/>
  <c r="P34" i="115"/>
  <c r="P35" i="115"/>
  <c r="P29" i="115"/>
  <c r="P7" i="115"/>
  <c r="P8" i="115"/>
  <c r="P9" i="115"/>
  <c r="P10" i="115"/>
  <c r="P11" i="115"/>
  <c r="P12" i="115"/>
  <c r="P13" i="115"/>
  <c r="P14" i="115"/>
  <c r="P15" i="115"/>
  <c r="P16" i="115"/>
  <c r="P17" i="115"/>
  <c r="P18" i="115"/>
  <c r="AM156" i="120" l="1"/>
  <c r="AL156" i="120"/>
  <c r="AK156" i="120"/>
  <c r="AJ156" i="120"/>
  <c r="AI156" i="120"/>
  <c r="AH156" i="120"/>
  <c r="AG156" i="120"/>
  <c r="AF156" i="120"/>
  <c r="AE156" i="120"/>
  <c r="AD156" i="120"/>
  <c r="AC156" i="120"/>
  <c r="AB156" i="120"/>
  <c r="Q129" i="120"/>
  <c r="P129" i="120"/>
  <c r="O129" i="120"/>
  <c r="N129" i="120"/>
  <c r="M129" i="120"/>
  <c r="L129" i="120"/>
  <c r="K129" i="120"/>
  <c r="J129" i="120"/>
  <c r="I129" i="120"/>
  <c r="H129" i="120"/>
  <c r="G129" i="120"/>
  <c r="F129" i="120"/>
  <c r="D104" i="120"/>
  <c r="O104" i="120"/>
  <c r="N104" i="120"/>
  <c r="M104" i="120"/>
  <c r="L104" i="120"/>
  <c r="K104" i="120"/>
  <c r="J104" i="120"/>
  <c r="I104" i="120"/>
  <c r="H104" i="120"/>
  <c r="G104" i="120"/>
  <c r="F104" i="120"/>
  <c r="E104" i="120"/>
  <c r="D75" i="120"/>
  <c r="J46" i="120"/>
  <c r="K46" i="120"/>
  <c r="L46" i="120"/>
  <c r="M46" i="120"/>
  <c r="N46" i="120"/>
  <c r="O46" i="120"/>
  <c r="P46" i="120"/>
  <c r="Q46" i="120"/>
  <c r="R46" i="120"/>
  <c r="S46" i="120"/>
  <c r="Y206" i="2" a="1"/>
  <c r="X206" i="2"/>
  <c r="W206" i="2"/>
  <c r="V206" i="2"/>
  <c r="Y204" i="2" a="1"/>
  <c r="X204" i="2"/>
  <c r="W204" i="2"/>
  <c r="V204" i="2"/>
  <c r="Y203" i="2" a="1"/>
  <c r="X203" i="2"/>
  <c r="W203" i="2"/>
  <c r="V203" i="2"/>
  <c r="Y202" i="2" a="1"/>
  <c r="X202" i="2"/>
  <c r="W202" i="2"/>
  <c r="V202" i="2"/>
  <c r="X201" i="2"/>
  <c r="Y201" i="2" s="1" a="1"/>
  <c r="Y201" i="2" s="1"/>
  <c r="W201" i="2"/>
  <c r="V201" i="2"/>
  <c r="P124" i="115"/>
  <c r="P120" i="115"/>
  <c r="P119" i="115"/>
  <c r="O118" i="115"/>
  <c r="N118" i="115"/>
  <c r="M118" i="115"/>
  <c r="L118" i="115"/>
  <c r="K118" i="115"/>
  <c r="J118" i="115"/>
  <c r="I118" i="115"/>
  <c r="H118" i="115"/>
  <c r="G118" i="115"/>
  <c r="F118" i="115"/>
  <c r="E118" i="115"/>
  <c r="D118" i="115"/>
  <c r="P115" i="115"/>
  <c r="P113" i="115"/>
  <c r="P111" i="115"/>
  <c r="P107" i="115"/>
  <c r="O106" i="115"/>
  <c r="N106" i="115"/>
  <c r="M106" i="115"/>
  <c r="L106" i="115"/>
  <c r="K106" i="115"/>
  <c r="J106" i="115"/>
  <c r="I106" i="115"/>
  <c r="H106" i="115"/>
  <c r="G106" i="115"/>
  <c r="F106" i="115"/>
  <c r="E106" i="115"/>
  <c r="D106" i="115"/>
  <c r="P103" i="115"/>
  <c r="P102" i="115"/>
  <c r="P101" i="115"/>
  <c r="P100" i="115"/>
  <c r="O99" i="115"/>
  <c r="N99" i="115"/>
  <c r="M99" i="115"/>
  <c r="L99" i="115"/>
  <c r="K99" i="115"/>
  <c r="J99" i="115"/>
  <c r="I99" i="115"/>
  <c r="H99" i="115"/>
  <c r="G99" i="115"/>
  <c r="F99" i="115"/>
  <c r="E99" i="115"/>
  <c r="D99" i="115"/>
  <c r="P96" i="115"/>
  <c r="P95" i="115"/>
  <c r="P94" i="115"/>
  <c r="P93" i="115"/>
  <c r="O92" i="115"/>
  <c r="N92" i="115"/>
  <c r="M92" i="115"/>
  <c r="L92" i="115"/>
  <c r="K92" i="115"/>
  <c r="J92" i="115"/>
  <c r="I92" i="115"/>
  <c r="H92" i="115"/>
  <c r="G92" i="115"/>
  <c r="F92" i="115"/>
  <c r="E92" i="115"/>
  <c r="D92" i="115"/>
  <c r="P89" i="115"/>
  <c r="P88" i="115"/>
  <c r="P87" i="115"/>
  <c r="P86" i="115"/>
  <c r="O85" i="115"/>
  <c r="N85" i="115"/>
  <c r="M85" i="115"/>
  <c r="L85" i="115"/>
  <c r="K85" i="115"/>
  <c r="J85" i="115"/>
  <c r="I85" i="115"/>
  <c r="H85" i="115"/>
  <c r="G85" i="115"/>
  <c r="F85" i="115"/>
  <c r="E85" i="115"/>
  <c r="D85" i="115"/>
  <c r="P74" i="115"/>
  <c r="P73" i="115"/>
  <c r="O72" i="115"/>
  <c r="N72" i="115"/>
  <c r="M72" i="115"/>
  <c r="L72" i="115"/>
  <c r="K72" i="115"/>
  <c r="J72" i="115"/>
  <c r="I72" i="115"/>
  <c r="H72" i="115"/>
  <c r="G72" i="115"/>
  <c r="F72" i="115"/>
  <c r="E72" i="115"/>
  <c r="D72" i="115"/>
  <c r="P69" i="115"/>
  <c r="P68" i="115"/>
  <c r="P67" i="115"/>
  <c r="O66" i="115"/>
  <c r="N66" i="115"/>
  <c r="M66" i="115"/>
  <c r="L66" i="115"/>
  <c r="K66" i="115"/>
  <c r="J66" i="115"/>
  <c r="I66" i="115"/>
  <c r="H66" i="115"/>
  <c r="G66" i="115"/>
  <c r="F66" i="115"/>
  <c r="E66" i="115"/>
  <c r="D66" i="115"/>
  <c r="P63" i="115"/>
  <c r="P62" i="115"/>
  <c r="O61" i="115"/>
  <c r="N61" i="115"/>
  <c r="M61" i="115"/>
  <c r="L61" i="115"/>
  <c r="K61" i="115"/>
  <c r="J61" i="115"/>
  <c r="I61" i="115"/>
  <c r="H61" i="115"/>
  <c r="G61" i="115"/>
  <c r="F61" i="115"/>
  <c r="E61" i="115"/>
  <c r="D61" i="115"/>
  <c r="P58" i="115"/>
  <c r="P57" i="115"/>
  <c r="O56" i="115"/>
  <c r="N56" i="115"/>
  <c r="M56" i="115"/>
  <c r="L56" i="115"/>
  <c r="K56" i="115"/>
  <c r="J56" i="115"/>
  <c r="I56" i="115"/>
  <c r="H56" i="115"/>
  <c r="G56" i="115"/>
  <c r="F56" i="115"/>
  <c r="E56" i="115"/>
  <c r="D56" i="115"/>
  <c r="P53" i="115"/>
  <c r="P52" i="115"/>
  <c r="O51" i="115"/>
  <c r="N51" i="115"/>
  <c r="M51" i="115"/>
  <c r="L51" i="115"/>
  <c r="K51" i="115"/>
  <c r="J51" i="115"/>
  <c r="I51" i="115"/>
  <c r="H51" i="115"/>
  <c r="G51" i="115"/>
  <c r="F51" i="115"/>
  <c r="E51" i="115"/>
  <c r="D51" i="115"/>
  <c r="Y202" i="2" l="1"/>
  <c r="Y203" i="2"/>
  <c r="Y206" i="2"/>
  <c r="Y204" i="2"/>
  <c r="P51" i="115"/>
  <c r="P56" i="115"/>
  <c r="P61" i="115"/>
  <c r="P66" i="115"/>
  <c r="P85" i="115"/>
  <c r="P92" i="115"/>
  <c r="P99" i="115"/>
  <c r="P106" i="115"/>
  <c r="P118" i="115"/>
  <c r="P72" i="115"/>
  <c r="AK66" i="124"/>
  <c r="AH66" i="124"/>
  <c r="AE66" i="124"/>
  <c r="AB66" i="124"/>
  <c r="Y66" i="124"/>
  <c r="V66" i="124"/>
  <c r="S66" i="124"/>
  <c r="P66" i="124"/>
  <c r="M66" i="124"/>
  <c r="J66" i="124"/>
  <c r="G66" i="124"/>
  <c r="D66" i="124"/>
  <c r="AK65" i="124"/>
  <c r="AH65" i="124"/>
  <c r="AE65" i="124"/>
  <c r="AB65" i="124"/>
  <c r="Y65" i="124"/>
  <c r="V65" i="124"/>
  <c r="S65" i="124"/>
  <c r="P65" i="124"/>
  <c r="M65" i="124"/>
  <c r="J65" i="124"/>
  <c r="G65" i="124"/>
  <c r="D65" i="124"/>
  <c r="AK64" i="124"/>
  <c r="AH64" i="124"/>
  <c r="AE64" i="124"/>
  <c r="AB64" i="124"/>
  <c r="Y64" i="124"/>
  <c r="V64" i="124"/>
  <c r="S64" i="124"/>
  <c r="P64" i="124"/>
  <c r="M64" i="124"/>
  <c r="J64" i="124"/>
  <c r="G64" i="124"/>
  <c r="D64" i="124"/>
  <c r="AK63" i="124"/>
  <c r="AH63" i="124"/>
  <c r="AE63" i="124"/>
  <c r="AB63" i="124"/>
  <c r="Y63" i="124"/>
  <c r="V63" i="124"/>
  <c r="S63" i="124"/>
  <c r="P63" i="124"/>
  <c r="M63" i="124"/>
  <c r="J63" i="124"/>
  <c r="G63" i="124"/>
  <c r="D63" i="124"/>
  <c r="AK62" i="124"/>
  <c r="AH62" i="124"/>
  <c r="AE62" i="124"/>
  <c r="AB62" i="124"/>
  <c r="Y62" i="124"/>
  <c r="V62" i="124"/>
  <c r="S62" i="124"/>
  <c r="P62" i="124"/>
  <c r="M62" i="124"/>
  <c r="J62" i="124"/>
  <c r="G62" i="124"/>
  <c r="D62" i="124"/>
  <c r="AK61" i="124"/>
  <c r="AH61" i="124"/>
  <c r="AE61" i="124"/>
  <c r="AB61" i="124"/>
  <c r="Y61" i="124"/>
  <c r="V61" i="124"/>
  <c r="S61" i="124"/>
  <c r="P61" i="124"/>
  <c r="M61" i="124"/>
  <c r="J61" i="124"/>
  <c r="G61" i="124"/>
  <c r="D61" i="124"/>
  <c r="AK60" i="124"/>
  <c r="AH60" i="124"/>
  <c r="AE60" i="124"/>
  <c r="AB60" i="124"/>
  <c r="Y60" i="124"/>
  <c r="V60" i="124"/>
  <c r="S60" i="124"/>
  <c r="P60" i="124"/>
  <c r="M60" i="124"/>
  <c r="J60" i="124"/>
  <c r="G60" i="124"/>
  <c r="D60" i="124"/>
  <c r="AK59" i="124"/>
  <c r="AH59" i="124"/>
  <c r="AE59" i="124"/>
  <c r="AB59" i="124"/>
  <c r="Y59" i="124"/>
  <c r="V59" i="124"/>
  <c r="S59" i="124"/>
  <c r="P59" i="124"/>
  <c r="M59" i="124"/>
  <c r="J59" i="124"/>
  <c r="G59" i="124"/>
  <c r="D59" i="124"/>
  <c r="AK58" i="124"/>
  <c r="AH58" i="124"/>
  <c r="AE58" i="124"/>
  <c r="AB58" i="124"/>
  <c r="Y58" i="124"/>
  <c r="V58" i="124"/>
  <c r="S58" i="124"/>
  <c r="P58" i="124"/>
  <c r="M58" i="124"/>
  <c r="J58" i="124"/>
  <c r="G58" i="124"/>
  <c r="D58" i="124"/>
  <c r="AK57" i="124"/>
  <c r="AH57" i="124"/>
  <c r="AE57" i="124"/>
  <c r="AB57" i="124"/>
  <c r="Y57" i="124"/>
  <c r="V57" i="124"/>
  <c r="S57" i="124"/>
  <c r="P57" i="124"/>
  <c r="M57" i="124"/>
  <c r="J57" i="124"/>
  <c r="G57" i="124"/>
  <c r="D57" i="124"/>
  <c r="AK56" i="124"/>
  <c r="AH56" i="124"/>
  <c r="AE56" i="124"/>
  <c r="AB56" i="124"/>
  <c r="Y56" i="124"/>
  <c r="V56" i="124"/>
  <c r="S56" i="124"/>
  <c r="P56" i="124"/>
  <c r="M56" i="124"/>
  <c r="J56" i="124"/>
  <c r="G56" i="124"/>
  <c r="D56" i="124"/>
  <c r="AK55" i="124"/>
  <c r="AH55" i="124"/>
  <c r="AE55" i="124"/>
  <c r="AB55" i="124"/>
  <c r="Y55" i="124"/>
  <c r="V55" i="124"/>
  <c r="S55" i="124"/>
  <c r="P55" i="124"/>
  <c r="M55" i="124"/>
  <c r="J55" i="124"/>
  <c r="G55" i="124"/>
  <c r="D55" i="124"/>
  <c r="AK54" i="124"/>
  <c r="AH54" i="124"/>
  <c r="AE54" i="124"/>
  <c r="AB54" i="124"/>
  <c r="Y54" i="124"/>
  <c r="V54" i="124"/>
  <c r="S54" i="124"/>
  <c r="P54" i="124"/>
  <c r="M54" i="124"/>
  <c r="J54" i="124"/>
  <c r="G54" i="124"/>
  <c r="D54" i="124"/>
  <c r="AK53" i="124"/>
  <c r="AH53" i="124"/>
  <c r="AE53" i="124"/>
  <c r="AB53" i="124"/>
  <c r="Y53" i="124"/>
  <c r="V53" i="124"/>
  <c r="S53" i="124"/>
  <c r="P53" i="124"/>
  <c r="M53" i="124"/>
  <c r="J53" i="124"/>
  <c r="G53" i="124"/>
  <c r="D53" i="124"/>
  <c r="AK52" i="124"/>
  <c r="AH52" i="124"/>
  <c r="AE52" i="124"/>
  <c r="AB52" i="124"/>
  <c r="Y52" i="124"/>
  <c r="V52" i="124"/>
  <c r="S52" i="124"/>
  <c r="P52" i="124"/>
  <c r="M52" i="124"/>
  <c r="J52" i="124"/>
  <c r="G52" i="124"/>
  <c r="D52" i="124"/>
  <c r="AK51" i="124"/>
  <c r="AH51" i="124"/>
  <c r="AE51" i="124"/>
  <c r="AB51" i="124"/>
  <c r="Y51" i="124"/>
  <c r="V51" i="124"/>
  <c r="S51" i="124"/>
  <c r="P51" i="124"/>
  <c r="M51" i="124"/>
  <c r="J51" i="124"/>
  <c r="G51" i="124"/>
  <c r="D51" i="124"/>
  <c r="AK50" i="124"/>
  <c r="AH50" i="124"/>
  <c r="AE50" i="124"/>
  <c r="AB50" i="124"/>
  <c r="Y50" i="124"/>
  <c r="V50" i="124"/>
  <c r="S50" i="124"/>
  <c r="P50" i="124"/>
  <c r="M50" i="124"/>
  <c r="J50" i="124"/>
  <c r="G50" i="124"/>
  <c r="D50" i="124"/>
  <c r="AK49" i="124"/>
  <c r="AH49" i="124"/>
  <c r="AE49" i="124"/>
  <c r="AB49" i="124"/>
  <c r="Y49" i="124"/>
  <c r="V49" i="124"/>
  <c r="S49" i="124"/>
  <c r="P49" i="124"/>
  <c r="M49" i="124"/>
  <c r="J49" i="124"/>
  <c r="G49" i="124"/>
  <c r="D49" i="124"/>
  <c r="AK48" i="124"/>
  <c r="AH48" i="124"/>
  <c r="AE48" i="124"/>
  <c r="AB48" i="124"/>
  <c r="Y48" i="124"/>
  <c r="V48" i="124"/>
  <c r="S48" i="124"/>
  <c r="P48" i="124"/>
  <c r="M48" i="124"/>
  <c r="J48" i="124"/>
  <c r="G48" i="124"/>
  <c r="D48" i="124"/>
  <c r="AK47" i="124"/>
  <c r="AH47" i="124"/>
  <c r="AE47" i="124"/>
  <c r="AB47" i="124"/>
  <c r="Y47" i="124"/>
  <c r="V47" i="124"/>
  <c r="S47" i="124"/>
  <c r="P47" i="124"/>
  <c r="M47" i="124"/>
  <c r="J47" i="124"/>
  <c r="G47" i="124"/>
  <c r="D47" i="124"/>
  <c r="AK46" i="124"/>
  <c r="AH46" i="124"/>
  <c r="AE46" i="124"/>
  <c r="AB46" i="124"/>
  <c r="Y46" i="124"/>
  <c r="V46" i="124"/>
  <c r="S46" i="124"/>
  <c r="P46" i="124"/>
  <c r="M46" i="124"/>
  <c r="J46" i="124"/>
  <c r="G46" i="124"/>
  <c r="D46" i="124"/>
  <c r="AK45" i="124"/>
  <c r="AH45" i="124"/>
  <c r="AE45" i="124"/>
  <c r="AB45" i="124"/>
  <c r="Y45" i="124"/>
  <c r="V45" i="124"/>
  <c r="S45" i="124"/>
  <c r="P45" i="124"/>
  <c r="M45" i="124"/>
  <c r="J45" i="124"/>
  <c r="G45" i="124"/>
  <c r="D45" i="124"/>
  <c r="AK44" i="124"/>
  <c r="AH44" i="124"/>
  <c r="AE44" i="124"/>
  <c r="AB44" i="124"/>
  <c r="Y44" i="124"/>
  <c r="V44" i="124"/>
  <c r="S44" i="124"/>
  <c r="P44" i="124"/>
  <c r="M44" i="124"/>
  <c r="J44" i="124"/>
  <c r="G44" i="124"/>
  <c r="D44" i="124"/>
  <c r="AK43" i="124"/>
  <c r="AH43" i="124"/>
  <c r="AE43" i="124"/>
  <c r="AB43" i="124"/>
  <c r="Y43" i="124"/>
  <c r="V43" i="124"/>
  <c r="S43" i="124"/>
  <c r="P43" i="124"/>
  <c r="M43" i="124"/>
  <c r="J43" i="124"/>
  <c r="G43" i="124"/>
  <c r="D43" i="124"/>
  <c r="AK42" i="124"/>
  <c r="AH42" i="124"/>
  <c r="AE42" i="124"/>
  <c r="AB42" i="124"/>
  <c r="Y42" i="124"/>
  <c r="V42" i="124"/>
  <c r="S42" i="124"/>
  <c r="P42" i="124"/>
  <c r="M42" i="124"/>
  <c r="J42" i="124"/>
  <c r="G42" i="124"/>
  <c r="D42" i="124"/>
  <c r="AK41" i="124"/>
  <c r="AH41" i="124"/>
  <c r="AE41" i="124"/>
  <c r="AB41" i="124"/>
  <c r="Y41" i="124"/>
  <c r="V41" i="124"/>
  <c r="S41" i="124"/>
  <c r="P41" i="124"/>
  <c r="M41" i="124"/>
  <c r="J41" i="124"/>
  <c r="G41" i="124"/>
  <c r="D41" i="124"/>
  <c r="AK40" i="124"/>
  <c r="AH40" i="124"/>
  <c r="AE40" i="124"/>
  <c r="AB40" i="124"/>
  <c r="Y40" i="124"/>
  <c r="V40" i="124"/>
  <c r="S40" i="124"/>
  <c r="P40" i="124"/>
  <c r="M40" i="124"/>
  <c r="J40" i="124"/>
  <c r="G40" i="124"/>
  <c r="D40" i="124"/>
  <c r="AK39" i="124"/>
  <c r="AH39" i="124"/>
  <c r="AE39" i="124"/>
  <c r="AB39" i="124"/>
  <c r="Y39" i="124"/>
  <c r="V39" i="124"/>
  <c r="S39" i="124"/>
  <c r="P39" i="124"/>
  <c r="M39" i="124"/>
  <c r="J39" i="124"/>
  <c r="G39" i="124"/>
  <c r="D39" i="124"/>
  <c r="AK38" i="124"/>
  <c r="AH38" i="124"/>
  <c r="AE38" i="124"/>
  <c r="AB38" i="124"/>
  <c r="Y38" i="124"/>
  <c r="V38" i="124"/>
  <c r="S38" i="124"/>
  <c r="P38" i="124"/>
  <c r="M38" i="124"/>
  <c r="J38" i="124"/>
  <c r="G38" i="124"/>
  <c r="D38" i="124"/>
  <c r="AK37" i="124"/>
  <c r="AH37" i="124"/>
  <c r="AE37" i="124"/>
  <c r="AB37" i="124"/>
  <c r="Y37" i="124"/>
  <c r="V37" i="124"/>
  <c r="S37" i="124"/>
  <c r="P37" i="124"/>
  <c r="M37" i="124"/>
  <c r="J37" i="124"/>
  <c r="G37" i="124"/>
  <c r="D37" i="124"/>
  <c r="AK36" i="124"/>
  <c r="AH36" i="124"/>
  <c r="AE36" i="124"/>
  <c r="AB36" i="124"/>
  <c r="Y36" i="124"/>
  <c r="V36" i="124"/>
  <c r="S36" i="124"/>
  <c r="P36" i="124"/>
  <c r="M36" i="124"/>
  <c r="J36" i="124"/>
  <c r="G36" i="124"/>
  <c r="D36" i="124"/>
  <c r="AK35" i="124"/>
  <c r="AH35" i="124"/>
  <c r="AE35" i="124"/>
  <c r="AB35" i="124"/>
  <c r="Y35" i="124"/>
  <c r="V35" i="124"/>
  <c r="S35" i="124"/>
  <c r="P35" i="124"/>
  <c r="M35" i="124"/>
  <c r="J35" i="124"/>
  <c r="G35" i="124"/>
  <c r="D35" i="124"/>
  <c r="AK34" i="124"/>
  <c r="AH34" i="124"/>
  <c r="AE34" i="124"/>
  <c r="AB34" i="124"/>
  <c r="Y34" i="124"/>
  <c r="V34" i="124"/>
  <c r="S34" i="124"/>
  <c r="P34" i="124"/>
  <c r="M34" i="124"/>
  <c r="J34" i="124"/>
  <c r="G34" i="124"/>
  <c r="D34" i="124"/>
  <c r="AK33" i="124"/>
  <c r="AH33" i="124"/>
  <c r="AE33" i="124"/>
  <c r="AB33" i="124"/>
  <c r="Y33" i="124"/>
  <c r="V33" i="124"/>
  <c r="S33" i="124"/>
  <c r="P33" i="124"/>
  <c r="M33" i="124"/>
  <c r="J33" i="124"/>
  <c r="G33" i="124"/>
  <c r="D33" i="124"/>
  <c r="AK32" i="124"/>
  <c r="AH32" i="124"/>
  <c r="AE32" i="124"/>
  <c r="AB32" i="124"/>
  <c r="Y32" i="124"/>
  <c r="V32" i="124"/>
  <c r="S32" i="124"/>
  <c r="P32" i="124"/>
  <c r="M32" i="124"/>
  <c r="J32" i="124"/>
  <c r="G32" i="124"/>
  <c r="D32" i="124"/>
  <c r="AK31" i="124"/>
  <c r="AH31" i="124"/>
  <c r="AE31" i="124"/>
  <c r="AB31" i="124"/>
  <c r="Y31" i="124"/>
  <c r="V31" i="124"/>
  <c r="S31" i="124"/>
  <c r="P31" i="124"/>
  <c r="M31" i="124"/>
  <c r="J31" i="124"/>
  <c r="G31" i="124"/>
  <c r="D31" i="124"/>
  <c r="AK30" i="124"/>
  <c r="AH30" i="124"/>
  <c r="AE30" i="124"/>
  <c r="AB30" i="124"/>
  <c r="Y30" i="124"/>
  <c r="V30" i="124"/>
  <c r="S30" i="124"/>
  <c r="P30" i="124"/>
  <c r="M30" i="124"/>
  <c r="J30" i="124"/>
  <c r="G30" i="124"/>
  <c r="D30" i="124"/>
  <c r="AK29" i="124"/>
  <c r="AH29" i="124"/>
  <c r="AE29" i="124"/>
  <c r="AB29" i="124"/>
  <c r="Y29" i="124"/>
  <c r="V29" i="124"/>
  <c r="S29" i="124"/>
  <c r="P29" i="124"/>
  <c r="M29" i="124"/>
  <c r="J29" i="124"/>
  <c r="G29" i="124"/>
  <c r="D29" i="124"/>
  <c r="AK28" i="124"/>
  <c r="AH28" i="124"/>
  <c r="AE28" i="124"/>
  <c r="AB28" i="124"/>
  <c r="Y28" i="124"/>
  <c r="V28" i="124"/>
  <c r="S28" i="124"/>
  <c r="P28" i="124"/>
  <c r="M28" i="124"/>
  <c r="J28" i="124"/>
  <c r="G28" i="124"/>
  <c r="D28" i="124"/>
  <c r="AK27" i="124"/>
  <c r="AH27" i="124"/>
  <c r="AE27" i="124"/>
  <c r="AB27" i="124"/>
  <c r="Y27" i="124"/>
  <c r="V27" i="124"/>
  <c r="S27" i="124"/>
  <c r="P27" i="124"/>
  <c r="M27" i="124"/>
  <c r="J27" i="124"/>
  <c r="G27" i="124"/>
  <c r="D27" i="124"/>
  <c r="AK26" i="124"/>
  <c r="AH26" i="124"/>
  <c r="AE26" i="124"/>
  <c r="AB26" i="124"/>
  <c r="Y26" i="124"/>
  <c r="V26" i="124"/>
  <c r="S26" i="124"/>
  <c r="P26" i="124"/>
  <c r="M26" i="124"/>
  <c r="J26" i="124"/>
  <c r="G26" i="124"/>
  <c r="D26" i="124"/>
  <c r="AK25" i="124"/>
  <c r="AH25" i="124"/>
  <c r="AE25" i="124"/>
  <c r="AB25" i="124"/>
  <c r="Y25" i="124"/>
  <c r="V25" i="124"/>
  <c r="S25" i="124"/>
  <c r="P25" i="124"/>
  <c r="M25" i="124"/>
  <c r="J25" i="124"/>
  <c r="G25" i="124"/>
  <c r="D25" i="124"/>
  <c r="AK24" i="124"/>
  <c r="AH24" i="124"/>
  <c r="AE24" i="124"/>
  <c r="AB24" i="124"/>
  <c r="Y24" i="124"/>
  <c r="V24" i="124"/>
  <c r="S24" i="124"/>
  <c r="P24" i="124"/>
  <c r="M24" i="124"/>
  <c r="J24" i="124"/>
  <c r="G24" i="124"/>
  <c r="D24" i="124"/>
  <c r="AK23" i="124"/>
  <c r="AH23" i="124"/>
  <c r="AE23" i="124"/>
  <c r="AB23" i="124"/>
  <c r="Y23" i="124"/>
  <c r="V23" i="124"/>
  <c r="S23" i="124"/>
  <c r="P23" i="124"/>
  <c r="M23" i="124"/>
  <c r="J23" i="124"/>
  <c r="G23" i="124"/>
  <c r="D23" i="124"/>
  <c r="AK22" i="124"/>
  <c r="AH22" i="124"/>
  <c r="AE22" i="124"/>
  <c r="AB22" i="124"/>
  <c r="Y22" i="124"/>
  <c r="V22" i="124"/>
  <c r="S22" i="124"/>
  <c r="P22" i="124"/>
  <c r="M22" i="124"/>
  <c r="J22" i="124"/>
  <c r="G22" i="124"/>
  <c r="D22" i="124"/>
  <c r="AK21" i="124"/>
  <c r="AH21" i="124"/>
  <c r="AE21" i="124"/>
  <c r="AB21" i="124"/>
  <c r="Y21" i="124"/>
  <c r="V21" i="124"/>
  <c r="S21" i="124"/>
  <c r="P21" i="124"/>
  <c r="M21" i="124"/>
  <c r="J21" i="124"/>
  <c r="G21" i="124"/>
  <c r="D21" i="124"/>
  <c r="AK20" i="124"/>
  <c r="AH20" i="124"/>
  <c r="AE20" i="124"/>
  <c r="AB20" i="124"/>
  <c r="Y20" i="124"/>
  <c r="V20" i="124"/>
  <c r="S20" i="124"/>
  <c r="P20" i="124"/>
  <c r="M20" i="124"/>
  <c r="J20" i="124"/>
  <c r="G20" i="124"/>
  <c r="D20" i="124"/>
  <c r="AK19" i="124"/>
  <c r="AH19" i="124"/>
  <c r="AE19" i="124"/>
  <c r="AB19" i="124"/>
  <c r="Y19" i="124"/>
  <c r="V19" i="124"/>
  <c r="S19" i="124"/>
  <c r="P19" i="124"/>
  <c r="M19" i="124"/>
  <c r="J19" i="124"/>
  <c r="G19" i="124"/>
  <c r="D19" i="124"/>
  <c r="AK18" i="124"/>
  <c r="AH18" i="124"/>
  <c r="AE18" i="124"/>
  <c r="AB18" i="124"/>
  <c r="Y18" i="124"/>
  <c r="V18" i="124"/>
  <c r="S18" i="124"/>
  <c r="P18" i="124"/>
  <c r="M18" i="124"/>
  <c r="J18" i="124"/>
  <c r="G18" i="124"/>
  <c r="D18" i="124"/>
  <c r="AK17" i="124"/>
  <c r="AH17" i="124"/>
  <c r="AE17" i="124"/>
  <c r="AB17" i="124"/>
  <c r="Y17" i="124"/>
  <c r="V17" i="124"/>
  <c r="S17" i="124"/>
  <c r="P17" i="124"/>
  <c r="M17" i="124"/>
  <c r="J17" i="124"/>
  <c r="G17" i="124"/>
  <c r="D17" i="124"/>
  <c r="AK16" i="124"/>
  <c r="AH16" i="124"/>
  <c r="AE16" i="124"/>
  <c r="AB16" i="124"/>
  <c r="Y16" i="124"/>
  <c r="V16" i="124"/>
  <c r="S16" i="124"/>
  <c r="P16" i="124"/>
  <c r="M16" i="124"/>
  <c r="J16" i="124"/>
  <c r="G16" i="124"/>
  <c r="D16" i="124"/>
  <c r="AK15" i="124"/>
  <c r="AH15" i="124"/>
  <c r="AE15" i="124"/>
  <c r="AB15" i="124"/>
  <c r="Y15" i="124"/>
  <c r="V15" i="124"/>
  <c r="S15" i="124"/>
  <c r="P15" i="124"/>
  <c r="M15" i="124"/>
  <c r="J15" i="124"/>
  <c r="G15" i="124"/>
  <c r="D15" i="124"/>
  <c r="AK14" i="124"/>
  <c r="AH14" i="124"/>
  <c r="AE14" i="124"/>
  <c r="AB14" i="124"/>
  <c r="Y14" i="124"/>
  <c r="V14" i="124"/>
  <c r="S14" i="124"/>
  <c r="P14" i="124"/>
  <c r="M14" i="124"/>
  <c r="J14" i="124"/>
  <c r="G14" i="124"/>
  <c r="D14" i="124"/>
  <c r="AK13" i="124"/>
  <c r="AH13" i="124"/>
  <c r="AE13" i="124"/>
  <c r="AB13" i="124"/>
  <c r="Y13" i="124"/>
  <c r="V13" i="124"/>
  <c r="S13" i="124"/>
  <c r="P13" i="124"/>
  <c r="M13" i="124"/>
  <c r="J13" i="124"/>
  <c r="G13" i="124"/>
  <c r="D13" i="124"/>
  <c r="AK12" i="124"/>
  <c r="AH12" i="124"/>
  <c r="AE12" i="124"/>
  <c r="AB12" i="124"/>
  <c r="Y12" i="124"/>
  <c r="V12" i="124"/>
  <c r="S12" i="124"/>
  <c r="P12" i="124"/>
  <c r="M12" i="124"/>
  <c r="J12" i="124"/>
  <c r="G12" i="124"/>
  <c r="D12" i="124"/>
  <c r="AK11" i="124"/>
  <c r="AH11" i="124"/>
  <c r="AE11" i="124"/>
  <c r="AB11" i="124"/>
  <c r="Y11" i="124"/>
  <c r="V11" i="124"/>
  <c r="S11" i="124"/>
  <c r="P11" i="124"/>
  <c r="M11" i="124"/>
  <c r="J11" i="124"/>
  <c r="G11" i="124"/>
  <c r="D11" i="124"/>
  <c r="AK10" i="124"/>
  <c r="AH10" i="124"/>
  <c r="AE10" i="124"/>
  <c r="AB10" i="124"/>
  <c r="Y10" i="124"/>
  <c r="V10" i="124"/>
  <c r="S10" i="124"/>
  <c r="P10" i="124"/>
  <c r="M10" i="124"/>
  <c r="J10" i="124"/>
  <c r="G10" i="124"/>
  <c r="D10" i="124"/>
  <c r="AK9" i="124"/>
  <c r="AH9" i="124"/>
  <c r="AE9" i="124"/>
  <c r="AB9" i="124"/>
  <c r="Y9" i="124"/>
  <c r="V9" i="124"/>
  <c r="S9" i="124"/>
  <c r="P9" i="124"/>
  <c r="M9" i="124"/>
  <c r="J9" i="124"/>
  <c r="G9" i="124"/>
  <c r="D9" i="124"/>
  <c r="AK8" i="124"/>
  <c r="AH8" i="124"/>
  <c r="AE8" i="124"/>
  <c r="AB8" i="124"/>
  <c r="Y8" i="124"/>
  <c r="V8" i="124"/>
  <c r="S8" i="124"/>
  <c r="P8" i="124"/>
  <c r="M8" i="124"/>
  <c r="J8" i="124"/>
  <c r="G8" i="124"/>
  <c r="D8" i="124"/>
  <c r="AK7" i="124"/>
  <c r="AH7" i="124"/>
  <c r="AE7" i="124"/>
  <c r="AB7" i="124"/>
  <c r="Y7" i="124"/>
  <c r="V7" i="124"/>
  <c r="S7" i="124"/>
  <c r="P7" i="124"/>
  <c r="M7" i="124"/>
  <c r="J7" i="124"/>
  <c r="G7" i="124"/>
  <c r="D7" i="124"/>
  <c r="AK6" i="124"/>
  <c r="AK67" i="124" s="1"/>
  <c r="AH6" i="124"/>
  <c r="AH67" i="124" s="1"/>
  <c r="AE6" i="124"/>
  <c r="AE67" i="124" s="1"/>
  <c r="AB6" i="124"/>
  <c r="Y6" i="124"/>
  <c r="Y67" i="124" s="1"/>
  <c r="V6" i="124"/>
  <c r="S6" i="124"/>
  <c r="P6" i="124"/>
  <c r="M6" i="124"/>
  <c r="M67" i="124" s="1"/>
  <c r="J6" i="124"/>
  <c r="G6" i="124"/>
  <c r="G67" i="124" s="1"/>
  <c r="D6" i="124"/>
  <c r="J67" i="124" l="1"/>
  <c r="S67" i="124"/>
  <c r="V67" i="124"/>
  <c r="D67" i="124"/>
  <c r="AB67" i="124"/>
  <c r="P67" i="124"/>
  <c r="AL67" i="124"/>
  <c r="P48" i="115"/>
  <c r="P46" i="115"/>
  <c r="P45" i="115"/>
  <c r="P44" i="115"/>
  <c r="O43" i="115"/>
  <c r="N43" i="115"/>
  <c r="M43" i="115"/>
  <c r="L43" i="115"/>
  <c r="K43" i="115"/>
  <c r="J43" i="115"/>
  <c r="I43" i="115"/>
  <c r="H43" i="115"/>
  <c r="G43" i="115"/>
  <c r="F43" i="115"/>
  <c r="E43" i="115"/>
  <c r="D43" i="115"/>
  <c r="P40" i="115"/>
  <c r="P39" i="115"/>
  <c r="O38" i="115"/>
  <c r="N38" i="115"/>
  <c r="M38" i="115"/>
  <c r="L38" i="115"/>
  <c r="K38" i="115"/>
  <c r="J38" i="115"/>
  <c r="I38" i="115"/>
  <c r="H38" i="115"/>
  <c r="G38" i="115"/>
  <c r="F38" i="115"/>
  <c r="E38" i="115"/>
  <c r="D38" i="115"/>
  <c r="P28" i="115"/>
  <c r="P27" i="115"/>
  <c r="O26" i="115"/>
  <c r="N26" i="115"/>
  <c r="M26" i="115"/>
  <c r="L26" i="115"/>
  <c r="K26" i="115"/>
  <c r="J26" i="115"/>
  <c r="I26" i="115"/>
  <c r="H26" i="115"/>
  <c r="G26" i="115"/>
  <c r="F26" i="115"/>
  <c r="E26" i="115"/>
  <c r="D26" i="115"/>
  <c r="O21" i="115"/>
  <c r="N21" i="115"/>
  <c r="M21" i="115"/>
  <c r="L21" i="115"/>
  <c r="K21" i="115"/>
  <c r="J21" i="115"/>
  <c r="I21" i="115"/>
  <c r="H21" i="115"/>
  <c r="G21" i="115"/>
  <c r="F21" i="115"/>
  <c r="E21" i="115"/>
  <c r="D21" i="115"/>
  <c r="P23" i="115"/>
  <c r="P22" i="115"/>
  <c r="O5" i="115"/>
  <c r="N5" i="115"/>
  <c r="M5" i="115"/>
  <c r="L5" i="115"/>
  <c r="K5" i="115"/>
  <c r="J5" i="115"/>
  <c r="I5" i="115"/>
  <c r="H5" i="115"/>
  <c r="G5" i="115"/>
  <c r="F5" i="115"/>
  <c r="E5" i="115"/>
  <c r="D5" i="115"/>
  <c r="P38" i="115" l="1"/>
  <c r="P26" i="115"/>
  <c r="P21" i="115"/>
  <c r="P43" i="115"/>
  <c r="P5" i="115"/>
  <c r="X19" i="120"/>
  <c r="Y19" i="120" s="1"/>
  <c r="E48" i="120" s="1"/>
  <c r="W19" i="120"/>
  <c r="V19" i="120"/>
  <c r="R19" i="120"/>
  <c r="S19" i="120" s="1"/>
  <c r="N19" i="120"/>
  <c r="O19" i="120" s="1"/>
  <c r="C77" i="120" s="1"/>
  <c r="K19" i="120"/>
  <c r="L19" i="120" s="1"/>
  <c r="X20" i="120"/>
  <c r="Y20" i="120" s="1"/>
  <c r="E49" i="120" s="1"/>
  <c r="W20" i="120"/>
  <c r="V20" i="120"/>
  <c r="S20" i="120"/>
  <c r="R20" i="120"/>
  <c r="K20" i="120"/>
  <c r="L20" i="120" s="1"/>
  <c r="A20" i="120"/>
  <c r="X3" i="2"/>
  <c r="Y3" i="2" s="1" a="1"/>
  <c r="Y3" i="2" s="1"/>
  <c r="X4" i="2"/>
  <c r="Y4" i="2" s="1" a="1"/>
  <c r="Y4" i="2" s="1"/>
  <c r="X5" i="2"/>
  <c r="Y5" i="2" s="1" a="1"/>
  <c r="Y5" i="2" s="1"/>
  <c r="X6" i="2"/>
  <c r="Y6" i="2" s="1" a="1"/>
  <c r="Y6" i="2" s="1"/>
  <c r="X7" i="2"/>
  <c r="Y7" i="2" s="1" a="1"/>
  <c r="Y7" i="2" s="1"/>
  <c r="X8" i="2"/>
  <c r="Y8" i="2" s="1" a="1"/>
  <c r="Y8" i="2" s="1"/>
  <c r="X9" i="2"/>
  <c r="Y9" i="2" s="1" a="1"/>
  <c r="Y9" i="2" s="1"/>
  <c r="X10" i="2"/>
  <c r="Y10" i="2" s="1" a="1"/>
  <c r="Y10" i="2" s="1"/>
  <c r="X11" i="2"/>
  <c r="Y11" i="2" s="1" a="1"/>
  <c r="Y11" i="2" s="1"/>
  <c r="X12" i="2"/>
  <c r="Y12" i="2" s="1" a="1"/>
  <c r="Y12" i="2" s="1"/>
  <c r="X13" i="2"/>
  <c r="Y13" i="2" s="1" a="1"/>
  <c r="Y13" i="2" s="1"/>
  <c r="X14" i="2"/>
  <c r="Y14" i="2" s="1" a="1"/>
  <c r="Y14" i="2" s="1"/>
  <c r="X15" i="2"/>
  <c r="Y15" i="2" s="1" a="1"/>
  <c r="Y15" i="2" s="1"/>
  <c r="X16" i="2"/>
  <c r="Y16" i="2" s="1" a="1"/>
  <c r="Y16" i="2" s="1"/>
  <c r="X17" i="2"/>
  <c r="Y17" i="2" s="1" a="1"/>
  <c r="Y17" i="2" s="1"/>
  <c r="X18" i="2"/>
  <c r="Y18" i="2" s="1" a="1"/>
  <c r="Y18" i="2" s="1"/>
  <c r="X19" i="2"/>
  <c r="Y19" i="2" s="1" a="1"/>
  <c r="Y19" i="2" s="1"/>
  <c r="X20" i="2"/>
  <c r="Y20" i="2" s="1" a="1"/>
  <c r="Y20" i="2" s="1"/>
  <c r="X21" i="2"/>
  <c r="Y21" i="2" s="1" a="1"/>
  <c r="Y21" i="2" s="1"/>
  <c r="X22" i="2"/>
  <c r="Y22" i="2" s="1" a="1"/>
  <c r="Y22" i="2" s="1"/>
  <c r="X23" i="2"/>
  <c r="Y23" i="2" s="1" a="1"/>
  <c r="Y23" i="2" s="1"/>
  <c r="X24" i="2"/>
  <c r="Y24" i="2" s="1" a="1"/>
  <c r="Y24" i="2" s="1"/>
  <c r="X25" i="2"/>
  <c r="Y25" i="2" s="1" a="1"/>
  <c r="Y25" i="2" s="1"/>
  <c r="X26" i="2"/>
  <c r="Y26" i="2" s="1" a="1"/>
  <c r="Y26" i="2" s="1"/>
  <c r="X27" i="2"/>
  <c r="Y27" i="2" s="1" a="1"/>
  <c r="Y27" i="2" s="1"/>
  <c r="X28" i="2"/>
  <c r="Y28" i="2" s="1" a="1"/>
  <c r="Y28" i="2" s="1"/>
  <c r="X29" i="2"/>
  <c r="Y29" i="2" s="1" a="1"/>
  <c r="Y29" i="2" s="1"/>
  <c r="X30" i="2"/>
  <c r="Y30" i="2" s="1" a="1"/>
  <c r="Y30" i="2" s="1"/>
  <c r="X31" i="2"/>
  <c r="Y31" i="2" s="1" a="1"/>
  <c r="Y31" i="2" s="1"/>
  <c r="X32" i="2"/>
  <c r="Y32" i="2" s="1" a="1"/>
  <c r="Y32" i="2" s="1"/>
  <c r="X33" i="2"/>
  <c r="Y33" i="2" s="1" a="1"/>
  <c r="Y33" i="2" s="1"/>
  <c r="X34" i="2"/>
  <c r="Y34" i="2" s="1" a="1"/>
  <c r="Y34" i="2" s="1"/>
  <c r="X35" i="2"/>
  <c r="Y35" i="2" s="1" a="1"/>
  <c r="Y35" i="2" s="1"/>
  <c r="X36" i="2"/>
  <c r="Y36" i="2" s="1" a="1"/>
  <c r="Y36" i="2" s="1"/>
  <c r="X37" i="2"/>
  <c r="Y37" i="2" s="1" a="1"/>
  <c r="Y37" i="2" s="1"/>
  <c r="X38" i="2"/>
  <c r="Y38" i="2" s="1" a="1"/>
  <c r="Y38" i="2" s="1"/>
  <c r="X39" i="2"/>
  <c r="Y39" i="2" s="1" a="1"/>
  <c r="Y39" i="2" s="1"/>
  <c r="X40" i="2"/>
  <c r="Y40" i="2" s="1" a="1"/>
  <c r="Y40" i="2" s="1"/>
  <c r="X41" i="2"/>
  <c r="Y41" i="2" s="1" a="1"/>
  <c r="Y41" i="2" s="1"/>
  <c r="X42" i="2"/>
  <c r="Y42" i="2" s="1" a="1"/>
  <c r="Y42" i="2" s="1"/>
  <c r="X43" i="2"/>
  <c r="Y43" i="2" s="1" a="1"/>
  <c r="Y43" i="2" s="1"/>
  <c r="X44" i="2"/>
  <c r="Y44" i="2" s="1" a="1"/>
  <c r="Y44" i="2" s="1"/>
  <c r="X45" i="2"/>
  <c r="Y45" i="2" s="1" a="1"/>
  <c r="Y45" i="2" s="1"/>
  <c r="X46" i="2"/>
  <c r="Y46" i="2" s="1" a="1"/>
  <c r="Y46" i="2" s="1"/>
  <c r="X47" i="2"/>
  <c r="Y47" i="2" s="1" a="1"/>
  <c r="Y47" i="2" s="1"/>
  <c r="X48" i="2"/>
  <c r="Y48" i="2" s="1" a="1"/>
  <c r="Y48" i="2" s="1"/>
  <c r="X49" i="2"/>
  <c r="Y49" i="2" s="1" a="1"/>
  <c r="Y49" i="2" s="1"/>
  <c r="X50" i="2"/>
  <c r="Y50" i="2" s="1" a="1"/>
  <c r="Y50" i="2" s="1"/>
  <c r="X51" i="2"/>
  <c r="Y51" i="2" s="1" a="1"/>
  <c r="Y51" i="2" s="1"/>
  <c r="X52" i="2"/>
  <c r="Y52" i="2" s="1" a="1"/>
  <c r="Y52" i="2" s="1"/>
  <c r="X53" i="2"/>
  <c r="Y53" i="2" s="1" a="1"/>
  <c r="Y53" i="2" s="1"/>
  <c r="X54" i="2"/>
  <c r="Y54" i="2" s="1" a="1"/>
  <c r="Y54" i="2" s="1"/>
  <c r="X55" i="2"/>
  <c r="Y55" i="2" s="1" a="1"/>
  <c r="Y55" i="2" s="1"/>
  <c r="X56" i="2"/>
  <c r="Y56" i="2" s="1" a="1"/>
  <c r="Y56" i="2" s="1"/>
  <c r="X57" i="2"/>
  <c r="Y57" i="2" s="1" a="1"/>
  <c r="Y57" i="2" s="1"/>
  <c r="X58" i="2"/>
  <c r="Y58" i="2" s="1" a="1"/>
  <c r="Y58" i="2" s="1"/>
  <c r="X59" i="2"/>
  <c r="Y59" i="2" s="1" a="1"/>
  <c r="Y59" i="2" s="1"/>
  <c r="X60" i="2"/>
  <c r="Y60" i="2" s="1" a="1"/>
  <c r="Y60" i="2" s="1"/>
  <c r="X61" i="2"/>
  <c r="Y61" i="2" s="1" a="1"/>
  <c r="Y61" i="2" s="1"/>
  <c r="X62" i="2"/>
  <c r="Y62" i="2" s="1" a="1"/>
  <c r="Y62" i="2" s="1"/>
  <c r="X63" i="2"/>
  <c r="Y63" i="2" s="1" a="1"/>
  <c r="Y63" i="2" s="1"/>
  <c r="X64" i="2"/>
  <c r="Y64" i="2" s="1" a="1"/>
  <c r="Y64" i="2" s="1"/>
  <c r="X65" i="2"/>
  <c r="Y65" i="2" s="1" a="1"/>
  <c r="Y65" i="2" s="1"/>
  <c r="X66" i="2"/>
  <c r="Y66" i="2" s="1" a="1"/>
  <c r="Y66" i="2" s="1"/>
  <c r="X67" i="2"/>
  <c r="Y67" i="2" s="1" a="1"/>
  <c r="Y67" i="2" s="1"/>
  <c r="X68" i="2"/>
  <c r="Y68" i="2" s="1" a="1"/>
  <c r="Y68" i="2" s="1"/>
  <c r="X69" i="2"/>
  <c r="Y69" i="2" s="1" a="1"/>
  <c r="Y69" i="2" s="1"/>
  <c r="X70" i="2"/>
  <c r="Y70" i="2" s="1" a="1"/>
  <c r="Y70" i="2" s="1"/>
  <c r="X71" i="2"/>
  <c r="Y71" i="2" s="1" a="1"/>
  <c r="Y71" i="2" s="1"/>
  <c r="X72" i="2"/>
  <c r="Y72" i="2" s="1" a="1"/>
  <c r="Y72" i="2" s="1"/>
  <c r="X73" i="2"/>
  <c r="Y73" i="2" s="1" a="1"/>
  <c r="Y73" i="2" s="1"/>
  <c r="X74" i="2"/>
  <c r="Y74" i="2" s="1" a="1"/>
  <c r="Y74" i="2" s="1"/>
  <c r="X75" i="2"/>
  <c r="Y75" i="2" s="1" a="1"/>
  <c r="Y75" i="2" s="1"/>
  <c r="X76" i="2"/>
  <c r="Y76" i="2" s="1" a="1"/>
  <c r="Y76" i="2" s="1"/>
  <c r="X77" i="2"/>
  <c r="Y77" i="2" s="1" a="1"/>
  <c r="Y77" i="2" s="1"/>
  <c r="X78" i="2"/>
  <c r="Y78" i="2" s="1" a="1"/>
  <c r="Y78" i="2" s="1"/>
  <c r="X79" i="2"/>
  <c r="Y79" i="2" s="1" a="1"/>
  <c r="Y79" i="2" s="1"/>
  <c r="X80" i="2"/>
  <c r="Y80" i="2" s="1" a="1"/>
  <c r="Y80" i="2" s="1"/>
  <c r="X81" i="2"/>
  <c r="Y81" i="2" s="1" a="1"/>
  <c r="Y81" i="2" s="1"/>
  <c r="X82" i="2"/>
  <c r="Y82" i="2" s="1" a="1"/>
  <c r="Y82" i="2" s="1"/>
  <c r="X83" i="2"/>
  <c r="Y83" i="2" s="1" a="1"/>
  <c r="Y83" i="2" s="1"/>
  <c r="X84" i="2"/>
  <c r="Y84" i="2" s="1" a="1"/>
  <c r="Y84" i="2" s="1"/>
  <c r="X85" i="2"/>
  <c r="Y85" i="2" s="1" a="1"/>
  <c r="Y85" i="2" s="1"/>
  <c r="X86" i="2"/>
  <c r="Y86" i="2" s="1" a="1"/>
  <c r="Y86" i="2" s="1"/>
  <c r="X87" i="2"/>
  <c r="Y87" i="2" s="1" a="1"/>
  <c r="Y87" i="2" s="1"/>
  <c r="X88" i="2"/>
  <c r="Y88" i="2" s="1" a="1"/>
  <c r="Y88" i="2" s="1"/>
  <c r="X89" i="2"/>
  <c r="Y89" i="2" s="1" a="1"/>
  <c r="Y89" i="2" s="1"/>
  <c r="X90" i="2"/>
  <c r="Y90" i="2" s="1" a="1"/>
  <c r="Y90" i="2" s="1"/>
  <c r="X91" i="2"/>
  <c r="Y91" i="2" s="1" a="1"/>
  <c r="Y91" i="2" s="1"/>
  <c r="X92" i="2"/>
  <c r="Y92" i="2" s="1" a="1"/>
  <c r="Y92" i="2" s="1"/>
  <c r="X93" i="2"/>
  <c r="Y93" i="2" s="1" a="1"/>
  <c r="Y93" i="2" s="1"/>
  <c r="X94" i="2"/>
  <c r="Y94" i="2" s="1" a="1"/>
  <c r="Y94" i="2" s="1"/>
  <c r="X95" i="2"/>
  <c r="Y95" i="2" s="1" a="1"/>
  <c r="Y95" i="2" s="1"/>
  <c r="X96" i="2"/>
  <c r="Y96" i="2" s="1" a="1"/>
  <c r="Y96" i="2" s="1"/>
  <c r="X97" i="2"/>
  <c r="Y97" i="2" s="1" a="1"/>
  <c r="Y97" i="2" s="1"/>
  <c r="X98" i="2"/>
  <c r="Y98" i="2" s="1" a="1"/>
  <c r="Y98" i="2" s="1"/>
  <c r="X99" i="2"/>
  <c r="Y99" i="2" s="1" a="1"/>
  <c r="Y99" i="2" s="1"/>
  <c r="X100" i="2"/>
  <c r="Y100" i="2" s="1" a="1"/>
  <c r="Y100" i="2" s="1"/>
  <c r="X101" i="2"/>
  <c r="Y101" i="2" s="1" a="1"/>
  <c r="Y101" i="2" s="1"/>
  <c r="X102" i="2"/>
  <c r="Y102" i="2" s="1" a="1"/>
  <c r="Y102" i="2" s="1"/>
  <c r="X103" i="2"/>
  <c r="Y103" i="2" s="1" a="1"/>
  <c r="Y103" i="2" s="1"/>
  <c r="X104" i="2"/>
  <c r="Y104" i="2" s="1" a="1"/>
  <c r="Y104" i="2" s="1"/>
  <c r="X105" i="2"/>
  <c r="Y105" i="2" s="1" a="1"/>
  <c r="Y105" i="2" s="1"/>
  <c r="X106" i="2"/>
  <c r="Y106" i="2" s="1" a="1"/>
  <c r="Y106" i="2" s="1"/>
  <c r="X107" i="2"/>
  <c r="Y107" i="2" s="1" a="1"/>
  <c r="Y107" i="2" s="1"/>
  <c r="X108" i="2"/>
  <c r="Y108" i="2" s="1" a="1"/>
  <c r="Y108" i="2" s="1"/>
  <c r="X109" i="2"/>
  <c r="Y109" i="2" s="1" a="1"/>
  <c r="Y109" i="2" s="1"/>
  <c r="X110" i="2"/>
  <c r="Y110" i="2" s="1" a="1"/>
  <c r="Y110" i="2" s="1"/>
  <c r="X111" i="2"/>
  <c r="Y111" i="2" s="1" a="1"/>
  <c r="Y111" i="2" s="1"/>
  <c r="X112" i="2"/>
  <c r="Y112" i="2" s="1" a="1"/>
  <c r="Y112" i="2" s="1"/>
  <c r="X113" i="2"/>
  <c r="Y113" i="2" s="1" a="1"/>
  <c r="Y113" i="2" s="1"/>
  <c r="X114" i="2"/>
  <c r="Y114" i="2" s="1" a="1"/>
  <c r="Y114" i="2" s="1"/>
  <c r="X115" i="2"/>
  <c r="Y115" i="2" s="1" a="1"/>
  <c r="Y115" i="2" s="1"/>
  <c r="X116" i="2"/>
  <c r="Y116" i="2" s="1" a="1"/>
  <c r="Y116" i="2" s="1"/>
  <c r="X117" i="2"/>
  <c r="Y117" i="2" s="1" a="1"/>
  <c r="Y117" i="2" s="1"/>
  <c r="X118" i="2"/>
  <c r="Y118" i="2" s="1" a="1"/>
  <c r="Y118" i="2" s="1"/>
  <c r="X119" i="2"/>
  <c r="Y119" i="2" s="1" a="1"/>
  <c r="Y119" i="2" s="1"/>
  <c r="X120" i="2"/>
  <c r="Y120" i="2" s="1" a="1"/>
  <c r="Y120" i="2" s="1"/>
  <c r="X121" i="2"/>
  <c r="Y121" i="2" s="1" a="1"/>
  <c r="Y121" i="2" s="1"/>
  <c r="X122" i="2"/>
  <c r="Y122" i="2" s="1" a="1"/>
  <c r="Y122" i="2" s="1"/>
  <c r="X123" i="2"/>
  <c r="Y123" i="2" s="1" a="1"/>
  <c r="Y123" i="2" s="1"/>
  <c r="X124" i="2"/>
  <c r="Y124" i="2" s="1" a="1"/>
  <c r="Y124" i="2" s="1"/>
  <c r="X125" i="2"/>
  <c r="Y125" i="2" s="1" a="1"/>
  <c r="Y125" i="2" s="1"/>
  <c r="X126" i="2"/>
  <c r="Y126" i="2" s="1" a="1"/>
  <c r="Y126" i="2" s="1"/>
  <c r="X127" i="2"/>
  <c r="Y127" i="2" s="1" a="1"/>
  <c r="Y127" i="2" s="1"/>
  <c r="X128" i="2"/>
  <c r="Y128" i="2" s="1" a="1"/>
  <c r="Y128" i="2" s="1"/>
  <c r="X129" i="2"/>
  <c r="Y129" i="2" s="1" a="1"/>
  <c r="Y129" i="2" s="1"/>
  <c r="X130" i="2"/>
  <c r="Y130" i="2" s="1" a="1"/>
  <c r="Y130" i="2" s="1"/>
  <c r="X131" i="2"/>
  <c r="Y131" i="2" s="1" a="1"/>
  <c r="Y131" i="2" s="1"/>
  <c r="X132" i="2"/>
  <c r="Y132" i="2" s="1" a="1"/>
  <c r="Y132" i="2" s="1"/>
  <c r="X133" i="2"/>
  <c r="Y133" i="2" s="1" a="1"/>
  <c r="Y133" i="2" s="1"/>
  <c r="X134" i="2"/>
  <c r="Y134" i="2" s="1" a="1"/>
  <c r="Y134" i="2" s="1"/>
  <c r="X135" i="2"/>
  <c r="Y135" i="2" s="1" a="1"/>
  <c r="Y135" i="2" s="1"/>
  <c r="X136" i="2"/>
  <c r="Y136" i="2" s="1" a="1"/>
  <c r="Y136" i="2" s="1"/>
  <c r="X137" i="2"/>
  <c r="Y137" i="2" s="1" a="1"/>
  <c r="Y137" i="2" s="1"/>
  <c r="X138" i="2"/>
  <c r="Y138" i="2" s="1" a="1"/>
  <c r="Y138" i="2" s="1"/>
  <c r="X139" i="2"/>
  <c r="Y139" i="2" s="1" a="1"/>
  <c r="Y139" i="2" s="1"/>
  <c r="X140" i="2"/>
  <c r="Y140" i="2" s="1" a="1"/>
  <c r="Y140" i="2" s="1"/>
  <c r="X141" i="2"/>
  <c r="Y141" i="2" s="1" a="1"/>
  <c r="Y141" i="2" s="1"/>
  <c r="X142" i="2"/>
  <c r="Y142" i="2" s="1" a="1"/>
  <c r="Y142" i="2" s="1"/>
  <c r="X143" i="2"/>
  <c r="Y143" i="2" s="1" a="1"/>
  <c r="Y143" i="2" s="1"/>
  <c r="X144" i="2"/>
  <c r="Y144" i="2" s="1" a="1"/>
  <c r="Y144" i="2" s="1"/>
  <c r="X145" i="2"/>
  <c r="Y145" i="2" s="1" a="1"/>
  <c r="Y145" i="2" s="1"/>
  <c r="X146" i="2"/>
  <c r="Y146" i="2" s="1" a="1"/>
  <c r="Y146" i="2" s="1"/>
  <c r="X147" i="2"/>
  <c r="Y147" i="2" s="1" a="1"/>
  <c r="Y147" i="2" s="1"/>
  <c r="X148" i="2"/>
  <c r="Y148" i="2" s="1" a="1"/>
  <c r="Y148" i="2" s="1"/>
  <c r="X149" i="2"/>
  <c r="Y149" i="2" s="1" a="1"/>
  <c r="Y149" i="2" s="1"/>
  <c r="X150" i="2"/>
  <c r="Y150" i="2" s="1" a="1"/>
  <c r="Y150" i="2" s="1"/>
  <c r="X151" i="2"/>
  <c r="Y151" i="2" s="1" a="1"/>
  <c r="Y151" i="2" s="1"/>
  <c r="X152" i="2"/>
  <c r="Y152" i="2" s="1" a="1"/>
  <c r="Y152" i="2" s="1"/>
  <c r="X153" i="2"/>
  <c r="Y153" i="2" s="1" a="1"/>
  <c r="Y153" i="2" s="1"/>
  <c r="X154" i="2"/>
  <c r="Y154" i="2" s="1" a="1"/>
  <c r="Y154" i="2" s="1"/>
  <c r="X155" i="2"/>
  <c r="Y155" i="2" s="1" a="1"/>
  <c r="Y155" i="2" s="1"/>
  <c r="X156" i="2"/>
  <c r="Y156" i="2" s="1" a="1"/>
  <c r="Y156" i="2" s="1"/>
  <c r="X157" i="2"/>
  <c r="Y157" i="2" s="1" a="1"/>
  <c r="Y157" i="2" s="1"/>
  <c r="X158" i="2"/>
  <c r="Y158" i="2" s="1" a="1"/>
  <c r="Y158" i="2" s="1"/>
  <c r="X159" i="2"/>
  <c r="Y159" i="2" s="1" a="1"/>
  <c r="Y159" i="2" s="1"/>
  <c r="X160" i="2"/>
  <c r="Y160" i="2" s="1" a="1"/>
  <c r="Y160" i="2" s="1"/>
  <c r="X161" i="2"/>
  <c r="Y161" i="2" s="1" a="1"/>
  <c r="Y161" i="2" s="1"/>
  <c r="X162" i="2"/>
  <c r="Y162" i="2" s="1" a="1"/>
  <c r="Y162" i="2" s="1"/>
  <c r="X163" i="2"/>
  <c r="Y163" i="2" s="1" a="1"/>
  <c r="Y163" i="2" s="1"/>
  <c r="X164" i="2"/>
  <c r="Y164" i="2" s="1" a="1"/>
  <c r="Y164" i="2" s="1"/>
  <c r="X165" i="2"/>
  <c r="Y165" i="2" s="1" a="1"/>
  <c r="Y165" i="2" s="1"/>
  <c r="X166" i="2"/>
  <c r="Y166" i="2" s="1" a="1"/>
  <c r="Y166" i="2" s="1"/>
  <c r="X167" i="2"/>
  <c r="Y167" i="2" s="1" a="1"/>
  <c r="Y167" i="2" s="1"/>
  <c r="X168" i="2"/>
  <c r="Y168" i="2" s="1" a="1"/>
  <c r="Y168" i="2" s="1"/>
  <c r="X169" i="2"/>
  <c r="Y169" i="2" s="1" a="1"/>
  <c r="Y169" i="2" s="1"/>
  <c r="X170" i="2"/>
  <c r="Y170" i="2" s="1" a="1"/>
  <c r="Y170" i="2" s="1"/>
  <c r="X171" i="2"/>
  <c r="Y171" i="2" s="1" a="1"/>
  <c r="Y171" i="2" s="1"/>
  <c r="X172" i="2"/>
  <c r="Y172" i="2" s="1" a="1"/>
  <c r="Y172" i="2" s="1"/>
  <c r="X173" i="2"/>
  <c r="Y173" i="2" s="1" a="1"/>
  <c r="Y173" i="2" s="1"/>
  <c r="X174" i="2"/>
  <c r="Y174" i="2" s="1" a="1"/>
  <c r="Y174" i="2" s="1"/>
  <c r="X175" i="2"/>
  <c r="Y175" i="2" s="1" a="1"/>
  <c r="Y175" i="2" s="1"/>
  <c r="X176" i="2"/>
  <c r="Y176" i="2" s="1" a="1"/>
  <c r="Y176" i="2" s="1"/>
  <c r="X177" i="2"/>
  <c r="Y177" i="2" s="1" a="1"/>
  <c r="Y177" i="2" s="1"/>
  <c r="X178" i="2"/>
  <c r="Y178" i="2" s="1" a="1"/>
  <c r="Y178" i="2" s="1"/>
  <c r="X179" i="2"/>
  <c r="Y179" i="2" s="1" a="1"/>
  <c r="Y179" i="2" s="1"/>
  <c r="X180" i="2"/>
  <c r="Y180" i="2" s="1" a="1"/>
  <c r="Y180" i="2" s="1"/>
  <c r="X181" i="2"/>
  <c r="Y181" i="2" s="1" a="1"/>
  <c r="Y181" i="2" s="1"/>
  <c r="X182" i="2"/>
  <c r="Y182" i="2" s="1" a="1"/>
  <c r="Y182" i="2" s="1"/>
  <c r="X183" i="2"/>
  <c r="Y183" i="2" s="1" a="1"/>
  <c r="Y183" i="2" s="1"/>
  <c r="X184" i="2"/>
  <c r="Y184" i="2" s="1" a="1"/>
  <c r="Y184" i="2" s="1"/>
  <c r="X185" i="2"/>
  <c r="Y185" i="2" s="1" a="1"/>
  <c r="Y185" i="2" s="1"/>
  <c r="X186" i="2"/>
  <c r="Y186" i="2" s="1" a="1"/>
  <c r="Y186" i="2" s="1"/>
  <c r="X187" i="2"/>
  <c r="Y187" i="2" s="1" a="1"/>
  <c r="Y187" i="2" s="1"/>
  <c r="X188" i="2"/>
  <c r="Y188" i="2" s="1" a="1"/>
  <c r="Y188" i="2" s="1"/>
  <c r="X189" i="2"/>
  <c r="Y189" i="2" s="1" a="1"/>
  <c r="Y189" i="2" s="1"/>
  <c r="X190" i="2"/>
  <c r="Y190" i="2" s="1" a="1"/>
  <c r="Y190" i="2" s="1"/>
  <c r="X191" i="2"/>
  <c r="Y191" i="2" s="1" a="1"/>
  <c r="Y191" i="2" s="1"/>
  <c r="X192" i="2"/>
  <c r="Y192" i="2" s="1" a="1"/>
  <c r="Y192" i="2" s="1"/>
  <c r="X193" i="2"/>
  <c r="Y193" i="2" s="1" a="1"/>
  <c r="Y193" i="2" s="1"/>
  <c r="X194" i="2"/>
  <c r="Y194" i="2" s="1" a="1"/>
  <c r="Y194" i="2" s="1"/>
  <c r="X195" i="2"/>
  <c r="Y195" i="2" s="1" a="1"/>
  <c r="Y195" i="2" s="1"/>
  <c r="X196" i="2"/>
  <c r="Y196" i="2" s="1" a="1"/>
  <c r="Y196" i="2" s="1"/>
  <c r="X197" i="2"/>
  <c r="Y197" i="2" s="1" a="1"/>
  <c r="Y197" i="2" s="1"/>
  <c r="X198" i="2"/>
  <c r="Y198" i="2" s="1" a="1"/>
  <c r="Y198" i="2" s="1"/>
  <c r="X199" i="2"/>
  <c r="Y199" i="2" s="1" a="1"/>
  <c r="Y199" i="2" s="1"/>
  <c r="X200" i="2"/>
  <c r="Y200" i="2" s="1" a="1"/>
  <c r="Y200" i="2" s="1"/>
  <c r="A49" i="120" l="1"/>
  <c r="A78" i="120"/>
  <c r="AB20" i="120"/>
  <c r="AB19" i="120"/>
  <c r="A29" i="120"/>
  <c r="A142" i="120"/>
  <c r="A118" i="120"/>
  <c r="A119" i="120"/>
  <c r="A121" i="120"/>
  <c r="A147" i="120"/>
  <c r="A148" i="120"/>
  <c r="A149" i="120"/>
  <c r="A131" i="120"/>
  <c r="A132" i="120"/>
  <c r="A21" i="120"/>
  <c r="A22" i="120"/>
  <c r="A23" i="120"/>
  <c r="A24" i="120"/>
  <c r="A25" i="120"/>
  <c r="A26" i="120"/>
  <c r="A27" i="120"/>
  <c r="A28" i="120"/>
  <c r="A130" i="120"/>
  <c r="B49" i="120"/>
  <c r="V21" i="120"/>
  <c r="V22" i="120"/>
  <c r="V23" i="120"/>
  <c r="V24" i="120"/>
  <c r="V25" i="120"/>
  <c r="V26" i="120"/>
  <c r="V27" i="120"/>
  <c r="V28" i="120"/>
  <c r="V29" i="120"/>
  <c r="C106" i="120"/>
  <c r="W21" i="120"/>
  <c r="W22" i="120"/>
  <c r="W23" i="120"/>
  <c r="W24" i="120"/>
  <c r="W25" i="120"/>
  <c r="W26" i="120"/>
  <c r="W27" i="120"/>
  <c r="C114" i="120" s="1"/>
  <c r="W28" i="120"/>
  <c r="C115" i="120" s="1"/>
  <c r="W29" i="120"/>
  <c r="C116" i="120" s="1"/>
  <c r="C117" i="120"/>
  <c r="C118" i="120"/>
  <c r="C119" i="120"/>
  <c r="C120" i="120"/>
  <c r="C121" i="120"/>
  <c r="C122" i="120"/>
  <c r="C123" i="120"/>
  <c r="V18" i="120"/>
  <c r="W18" i="120" s="1"/>
  <c r="D131" i="120"/>
  <c r="D132" i="120"/>
  <c r="D133" i="120"/>
  <c r="D134" i="120"/>
  <c r="D135" i="120"/>
  <c r="D136" i="120"/>
  <c r="D137" i="120"/>
  <c r="D138" i="120"/>
  <c r="D139" i="120"/>
  <c r="D140" i="120"/>
  <c r="D141" i="120"/>
  <c r="D142" i="120"/>
  <c r="D143" i="120"/>
  <c r="D144" i="120"/>
  <c r="D145" i="120"/>
  <c r="D146" i="120"/>
  <c r="D147" i="120"/>
  <c r="D148" i="120"/>
  <c r="D149" i="120"/>
  <c r="D130" i="120"/>
  <c r="AA158" i="120"/>
  <c r="AA159" i="120"/>
  <c r="AA160" i="120"/>
  <c r="AA161" i="120"/>
  <c r="AA162" i="120"/>
  <c r="AA163" i="120"/>
  <c r="AA164" i="120"/>
  <c r="AA165" i="120"/>
  <c r="AA166" i="120"/>
  <c r="AA167" i="120"/>
  <c r="AA168" i="120"/>
  <c r="AA169" i="120"/>
  <c r="AA170" i="120"/>
  <c r="AN158" i="120"/>
  <c r="AN159" i="120"/>
  <c r="AN160" i="120"/>
  <c r="AN161" i="120"/>
  <c r="AN162" i="120"/>
  <c r="AN163" i="120"/>
  <c r="AN164" i="120"/>
  <c r="AN165" i="120"/>
  <c r="AN166" i="120"/>
  <c r="AN167" i="120"/>
  <c r="AN168" i="120"/>
  <c r="AN169" i="120"/>
  <c r="AN170" i="120"/>
  <c r="R131" i="120"/>
  <c r="R132" i="120"/>
  <c r="R133" i="120"/>
  <c r="R134" i="120"/>
  <c r="R135" i="120"/>
  <c r="R136" i="120"/>
  <c r="R137" i="120"/>
  <c r="R138" i="120"/>
  <c r="R139" i="120"/>
  <c r="R140" i="120"/>
  <c r="R141" i="120"/>
  <c r="R142" i="120"/>
  <c r="R143" i="120"/>
  <c r="R144" i="120"/>
  <c r="R145" i="120"/>
  <c r="R146" i="120"/>
  <c r="R147" i="120"/>
  <c r="R148" i="120"/>
  <c r="R149" i="120"/>
  <c r="B133" i="120"/>
  <c r="B134" i="120"/>
  <c r="B135" i="120"/>
  <c r="B136" i="120"/>
  <c r="B137" i="120"/>
  <c r="B138" i="120"/>
  <c r="B139" i="120"/>
  <c r="B140" i="120"/>
  <c r="B141" i="120"/>
  <c r="B142" i="120"/>
  <c r="B143" i="120"/>
  <c r="B144" i="120"/>
  <c r="B145" i="120"/>
  <c r="B146" i="120"/>
  <c r="B147" i="120"/>
  <c r="B148" i="120"/>
  <c r="B131" i="120"/>
  <c r="B132" i="120"/>
  <c r="P106" i="120"/>
  <c r="P107" i="120"/>
  <c r="P108" i="120"/>
  <c r="P109" i="120"/>
  <c r="P110" i="120"/>
  <c r="P111" i="120"/>
  <c r="P112" i="120"/>
  <c r="P113" i="120"/>
  <c r="P114" i="120"/>
  <c r="P115" i="120"/>
  <c r="P116" i="120"/>
  <c r="P117" i="120"/>
  <c r="P118" i="120"/>
  <c r="P119" i="120"/>
  <c r="P120" i="120"/>
  <c r="P121" i="120"/>
  <c r="P122" i="120"/>
  <c r="P123" i="120"/>
  <c r="P124" i="120"/>
  <c r="B106" i="120"/>
  <c r="B107" i="120"/>
  <c r="B108" i="120"/>
  <c r="B109" i="120"/>
  <c r="B110" i="120"/>
  <c r="B111" i="120"/>
  <c r="B112" i="120"/>
  <c r="B113" i="120"/>
  <c r="B114" i="120"/>
  <c r="B115" i="120"/>
  <c r="B116" i="120"/>
  <c r="B117" i="120"/>
  <c r="B118" i="120"/>
  <c r="B119" i="120"/>
  <c r="B120" i="120"/>
  <c r="B121" i="120"/>
  <c r="B122" i="120"/>
  <c r="B123" i="120"/>
  <c r="B124" i="120"/>
  <c r="T48" i="120"/>
  <c r="T49" i="120"/>
  <c r="T50" i="120"/>
  <c r="T51" i="120"/>
  <c r="T52" i="120"/>
  <c r="T54" i="120"/>
  <c r="T55" i="120"/>
  <c r="T56" i="120"/>
  <c r="T57" i="120"/>
  <c r="T58" i="120"/>
  <c r="T59" i="120"/>
  <c r="T60" i="120"/>
  <c r="T61" i="120"/>
  <c r="T62" i="120"/>
  <c r="T63" i="120"/>
  <c r="T64" i="120"/>
  <c r="P77" i="120"/>
  <c r="P78" i="120"/>
  <c r="P79" i="120"/>
  <c r="P80" i="120"/>
  <c r="P81" i="120"/>
  <c r="P82" i="120"/>
  <c r="P83" i="120"/>
  <c r="P84" i="120"/>
  <c r="P85" i="120"/>
  <c r="P86" i="120"/>
  <c r="P87" i="120"/>
  <c r="P88" i="120"/>
  <c r="P89" i="120"/>
  <c r="P90" i="120"/>
  <c r="P91" i="120"/>
  <c r="P92" i="120"/>
  <c r="P95" i="120"/>
  <c r="P98" i="120"/>
  <c r="AC40" i="120" s="1"/>
  <c r="P99" i="120"/>
  <c r="B81" i="120"/>
  <c r="B82" i="120"/>
  <c r="B83" i="120"/>
  <c r="B84" i="120"/>
  <c r="B85" i="120"/>
  <c r="B86" i="120"/>
  <c r="B87" i="120"/>
  <c r="B88" i="120"/>
  <c r="B89" i="120"/>
  <c r="B90" i="120"/>
  <c r="B91" i="120"/>
  <c r="B92" i="120"/>
  <c r="B95" i="120"/>
  <c r="B98" i="120"/>
  <c r="B99" i="120"/>
  <c r="B77" i="120"/>
  <c r="B78" i="120"/>
  <c r="B79" i="120"/>
  <c r="B80" i="120"/>
  <c r="F48" i="120"/>
  <c r="F49" i="120"/>
  <c r="F50" i="120"/>
  <c r="F51" i="120"/>
  <c r="F52" i="120"/>
  <c r="F53" i="120"/>
  <c r="F54" i="120"/>
  <c r="F55" i="120"/>
  <c r="F56" i="120"/>
  <c r="F57" i="120"/>
  <c r="D48" i="120"/>
  <c r="D49" i="120"/>
  <c r="D50" i="120"/>
  <c r="D51" i="120"/>
  <c r="D52" i="120"/>
  <c r="D53" i="120"/>
  <c r="D54" i="120"/>
  <c r="D55" i="120"/>
  <c r="D56" i="120"/>
  <c r="D57" i="120"/>
  <c r="D58" i="120"/>
  <c r="D59" i="120"/>
  <c r="D60" i="120"/>
  <c r="D61" i="120"/>
  <c r="D62" i="120"/>
  <c r="D63" i="120"/>
  <c r="D64" i="120"/>
  <c r="D69" i="120"/>
  <c r="B50" i="120"/>
  <c r="B51" i="120"/>
  <c r="B52" i="120"/>
  <c r="B53" i="120"/>
  <c r="B54" i="120"/>
  <c r="B55" i="120"/>
  <c r="B56" i="120"/>
  <c r="B57" i="120"/>
  <c r="B58" i="120"/>
  <c r="B59" i="120"/>
  <c r="B60" i="120"/>
  <c r="B61" i="120"/>
  <c r="B62" i="120"/>
  <c r="B63" i="120"/>
  <c r="B64" i="120"/>
  <c r="B69" i="120"/>
  <c r="X21" i="120"/>
  <c r="Y21" i="120" s="1"/>
  <c r="E50" i="120" s="1"/>
  <c r="X22" i="120"/>
  <c r="Y22" i="120" s="1"/>
  <c r="E51" i="120" s="1"/>
  <c r="X23" i="120"/>
  <c r="Y23" i="120" s="1"/>
  <c r="E52" i="120" s="1"/>
  <c r="X24" i="120"/>
  <c r="Y24" i="120" s="1"/>
  <c r="E53" i="120" s="1"/>
  <c r="X25" i="120"/>
  <c r="Y25" i="120" s="1"/>
  <c r="E54" i="120" s="1"/>
  <c r="X26" i="120"/>
  <c r="Y26" i="120" s="1"/>
  <c r="E55" i="120" s="1"/>
  <c r="X27" i="120"/>
  <c r="Y27" i="120" s="1"/>
  <c r="E56" i="120" s="1"/>
  <c r="X28" i="120"/>
  <c r="Y28" i="120" s="1"/>
  <c r="E57" i="120" s="1"/>
  <c r="X29" i="120"/>
  <c r="Y29" i="120" s="1"/>
  <c r="E58" i="120" s="1"/>
  <c r="X34" i="120"/>
  <c r="Y34" i="120" s="1"/>
  <c r="E63" i="120" s="1"/>
  <c r="X35" i="120"/>
  <c r="Y35" i="120" s="1"/>
  <c r="E64" i="120" s="1"/>
  <c r="X36" i="120"/>
  <c r="Y36" i="120" s="1"/>
  <c r="E65" i="120" s="1"/>
  <c r="X37" i="120"/>
  <c r="Y37" i="120" s="1"/>
  <c r="E66" i="120" s="1"/>
  <c r="G66" i="120" s="1"/>
  <c r="X38" i="120"/>
  <c r="Y38" i="120" s="1"/>
  <c r="E67" i="120" s="1"/>
  <c r="X39" i="120"/>
  <c r="Y39" i="120" s="1"/>
  <c r="E68" i="120" s="1"/>
  <c r="G68" i="120" s="1"/>
  <c r="X41" i="120"/>
  <c r="Y41" i="120" s="1"/>
  <c r="E70" i="120" s="1"/>
  <c r="G70" i="120" s="1"/>
  <c r="S21" i="120"/>
  <c r="C133" i="120" s="1"/>
  <c r="S22" i="120"/>
  <c r="C134" i="120" s="1"/>
  <c r="S23" i="120"/>
  <c r="C135" i="120" s="1"/>
  <c r="S24" i="120"/>
  <c r="C136" i="120" s="1"/>
  <c r="S25" i="120"/>
  <c r="C137" i="120" s="1"/>
  <c r="S26" i="120"/>
  <c r="C138" i="120" s="1"/>
  <c r="S27" i="120"/>
  <c r="C139" i="120" s="1"/>
  <c r="S28" i="120"/>
  <c r="C140" i="120" s="1"/>
  <c r="C142" i="120"/>
  <c r="C143" i="120"/>
  <c r="C144" i="120"/>
  <c r="C145" i="120"/>
  <c r="C146" i="120"/>
  <c r="C147" i="120"/>
  <c r="C148" i="120"/>
  <c r="C131" i="120"/>
  <c r="C132" i="120"/>
  <c r="R21" i="120"/>
  <c r="R22" i="120"/>
  <c r="R23" i="120"/>
  <c r="R24" i="120"/>
  <c r="R25" i="120"/>
  <c r="R26" i="120"/>
  <c r="R27" i="120"/>
  <c r="R28" i="120"/>
  <c r="R29" i="120"/>
  <c r="S29" i="120" s="1"/>
  <c r="C141" i="120" s="1"/>
  <c r="R34" i="120"/>
  <c r="R35" i="120"/>
  <c r="R36" i="120"/>
  <c r="R37" i="120"/>
  <c r="R38" i="120"/>
  <c r="R39" i="120"/>
  <c r="C149" i="120"/>
  <c r="R18" i="120"/>
  <c r="S18" i="120" s="1"/>
  <c r="C78" i="120"/>
  <c r="O21" i="120"/>
  <c r="C79" i="120" s="1"/>
  <c r="O22" i="120"/>
  <c r="C80" i="120" s="1"/>
  <c r="N23" i="120"/>
  <c r="O23" i="120" s="1"/>
  <c r="C81" i="120" s="1"/>
  <c r="N24" i="120"/>
  <c r="O24" i="120" s="1"/>
  <c r="C82" i="120" s="1"/>
  <c r="N25" i="120"/>
  <c r="O25" i="120" s="1"/>
  <c r="C83" i="120" s="1"/>
  <c r="N26" i="120"/>
  <c r="O26" i="120" s="1"/>
  <c r="C84" i="120" s="1"/>
  <c r="N27" i="120"/>
  <c r="O27" i="120" s="1"/>
  <c r="C85" i="120" s="1"/>
  <c r="N28" i="120"/>
  <c r="O28" i="120" s="1"/>
  <c r="C86" i="120" s="1"/>
  <c r="N29" i="120"/>
  <c r="O29" i="120" s="1"/>
  <c r="C87" i="120" s="1"/>
  <c r="N34" i="120"/>
  <c r="O34" i="120" s="1"/>
  <c r="C92" i="120" s="1"/>
  <c r="N35" i="120"/>
  <c r="O35" i="120" s="1"/>
  <c r="C93" i="120" s="1"/>
  <c r="N36" i="120"/>
  <c r="O36" i="120" s="1"/>
  <c r="C94" i="120" s="1"/>
  <c r="N37" i="120"/>
  <c r="O37" i="120" s="1"/>
  <c r="C95" i="120" s="1"/>
  <c r="N38" i="120"/>
  <c r="O38" i="120" s="1"/>
  <c r="C96" i="120" s="1"/>
  <c r="N39" i="120"/>
  <c r="O39" i="120" s="1"/>
  <c r="C97" i="120" s="1"/>
  <c r="N41" i="120"/>
  <c r="O41" i="120" s="1"/>
  <c r="C99" i="120" s="1"/>
  <c r="K27" i="120"/>
  <c r="L27" i="120" s="1"/>
  <c r="C56" i="120" s="1"/>
  <c r="K28" i="120"/>
  <c r="L28" i="120" s="1"/>
  <c r="C57" i="120" s="1"/>
  <c r="K29" i="120"/>
  <c r="L29" i="120" s="1"/>
  <c r="C58" i="120" s="1"/>
  <c r="C59" i="120"/>
  <c r="K34" i="120"/>
  <c r="K35" i="120"/>
  <c r="L35" i="120" s="1"/>
  <c r="C61" i="120" s="1"/>
  <c r="K36" i="120"/>
  <c r="L36" i="120" s="1"/>
  <c r="C62" i="120" s="1"/>
  <c r="K37" i="120"/>
  <c r="L37" i="120" s="1"/>
  <c r="C63" i="120" s="1"/>
  <c r="K38" i="120"/>
  <c r="L38" i="120" s="1"/>
  <c r="C64" i="120" s="1"/>
  <c r="K39" i="120"/>
  <c r="L39" i="120" s="1"/>
  <c r="C65" i="120" s="1"/>
  <c r="K41" i="120"/>
  <c r="L41" i="120" s="1"/>
  <c r="B48" i="120"/>
  <c r="B149" i="120"/>
  <c r="B130" i="120"/>
  <c r="R130" i="120"/>
  <c r="B105" i="120"/>
  <c r="P105" i="120"/>
  <c r="B76" i="120"/>
  <c r="P76" i="120"/>
  <c r="D47" i="120"/>
  <c r="B47" i="120"/>
  <c r="X18" i="120"/>
  <c r="O18" i="120"/>
  <c r="X4" i="121"/>
  <c r="X5" i="121"/>
  <c r="X6" i="121"/>
  <c r="X7" i="121"/>
  <c r="X8" i="121"/>
  <c r="X9" i="121"/>
  <c r="X10" i="121"/>
  <c r="X11" i="121"/>
  <c r="X12" i="121"/>
  <c r="X13" i="121"/>
  <c r="X14" i="121"/>
  <c r="X15" i="121"/>
  <c r="X16" i="121"/>
  <c r="X17" i="121"/>
  <c r="X18" i="121"/>
  <c r="X19" i="121"/>
  <c r="X20" i="121"/>
  <c r="X21" i="121"/>
  <c r="X22" i="121"/>
  <c r="X23" i="121"/>
  <c r="X24" i="121"/>
  <c r="X25" i="121"/>
  <c r="X26" i="121"/>
  <c r="X3" i="121"/>
  <c r="C48" i="120"/>
  <c r="C49" i="120"/>
  <c r="K21" i="120"/>
  <c r="L21" i="120" s="1"/>
  <c r="C50" i="120" s="1"/>
  <c r="K22" i="120"/>
  <c r="L22" i="120" s="1"/>
  <c r="C51" i="120" s="1"/>
  <c r="K23" i="120"/>
  <c r="L23" i="120" s="1"/>
  <c r="C52" i="120" s="1"/>
  <c r="K24" i="120"/>
  <c r="L24" i="120" s="1"/>
  <c r="C53" i="120" s="1"/>
  <c r="K25" i="120"/>
  <c r="L25" i="120" s="1"/>
  <c r="C54" i="120" s="1"/>
  <c r="K26" i="120"/>
  <c r="L26" i="120" s="1"/>
  <c r="C55" i="120" s="1"/>
  <c r="K18" i="120"/>
  <c r="A140" i="120" l="1"/>
  <c r="A57" i="120"/>
  <c r="A86" i="120"/>
  <c r="A139" i="120"/>
  <c r="A56" i="120"/>
  <c r="A85" i="120"/>
  <c r="AC35" i="120"/>
  <c r="A138" i="120"/>
  <c r="A55" i="120"/>
  <c r="A84" i="120"/>
  <c r="A137" i="120"/>
  <c r="A54" i="120"/>
  <c r="A83" i="120"/>
  <c r="A111" i="120"/>
  <c r="A53" i="120"/>
  <c r="A82" i="120"/>
  <c r="A110" i="120"/>
  <c r="A52" i="120"/>
  <c r="A81" i="120"/>
  <c r="A141" i="120"/>
  <c r="A58" i="120"/>
  <c r="A87" i="120"/>
  <c r="A134" i="120"/>
  <c r="A51" i="120"/>
  <c r="A80" i="120"/>
  <c r="A133" i="120"/>
  <c r="A50" i="120"/>
  <c r="A79" i="120"/>
  <c r="AC37" i="120"/>
  <c r="AC32" i="120"/>
  <c r="AC31" i="120"/>
  <c r="AC30" i="120"/>
  <c r="C76" i="120"/>
  <c r="C67" i="120"/>
  <c r="G67" i="120" s="1"/>
  <c r="Y18" i="120"/>
  <c r="E47" i="120" s="1"/>
  <c r="G65" i="120"/>
  <c r="C69" i="120"/>
  <c r="G69" i="120" s="1"/>
  <c r="L34" i="120"/>
  <c r="C60" i="120" s="1"/>
  <c r="G60" i="120" s="1"/>
  <c r="AB37" i="120"/>
  <c r="AB33" i="120"/>
  <c r="AC33" i="120" s="1"/>
  <c r="AB41" i="120"/>
  <c r="AC41" i="120" s="1"/>
  <c r="AB36" i="120"/>
  <c r="AC36" i="120" s="1"/>
  <c r="AB39" i="120"/>
  <c r="AC39" i="120" s="1"/>
  <c r="AB35" i="120"/>
  <c r="AB38" i="120"/>
  <c r="AC38" i="120" s="1"/>
  <c r="AC20" i="120"/>
  <c r="AB21" i="120"/>
  <c r="AC21" i="120" s="1"/>
  <c r="AB29" i="120"/>
  <c r="AC29" i="120" s="1"/>
  <c r="AB25" i="120"/>
  <c r="AC25" i="120" s="1"/>
  <c r="AB27" i="120"/>
  <c r="AC27" i="120" s="1"/>
  <c r="AB23" i="120"/>
  <c r="AC23" i="120" s="1"/>
  <c r="AB28" i="120"/>
  <c r="AC28" i="120" s="1"/>
  <c r="AB24" i="120"/>
  <c r="AB26" i="120"/>
  <c r="AC26" i="120" s="1"/>
  <c r="AB22" i="120"/>
  <c r="AC22" i="120" s="1"/>
  <c r="AC19" i="120"/>
  <c r="E131" i="120"/>
  <c r="E143" i="120"/>
  <c r="E135" i="120"/>
  <c r="E144" i="120"/>
  <c r="E136" i="120"/>
  <c r="E146" i="120"/>
  <c r="E138" i="120"/>
  <c r="A124" i="120"/>
  <c r="E145" i="120"/>
  <c r="E137" i="120"/>
  <c r="A123" i="120"/>
  <c r="A117" i="120"/>
  <c r="A116" i="120"/>
  <c r="A115" i="120"/>
  <c r="A109" i="120"/>
  <c r="A47" i="120"/>
  <c r="A108" i="120"/>
  <c r="E147" i="120"/>
  <c r="E139" i="120"/>
  <c r="E149" i="120"/>
  <c r="E141" i="120"/>
  <c r="E133" i="120"/>
  <c r="A105" i="120"/>
  <c r="A107" i="120"/>
  <c r="A145" i="120"/>
  <c r="A144" i="120"/>
  <c r="A136" i="120"/>
  <c r="A122" i="120"/>
  <c r="A114" i="120"/>
  <c r="A106" i="120"/>
  <c r="A143" i="120"/>
  <c r="A135" i="120"/>
  <c r="A146" i="120"/>
  <c r="E132" i="120"/>
  <c r="E142" i="120"/>
  <c r="E134" i="120"/>
  <c r="A76" i="120"/>
  <c r="A113" i="120"/>
  <c r="A120" i="120"/>
  <c r="A112" i="120"/>
  <c r="E148" i="120"/>
  <c r="E140" i="120"/>
  <c r="C105" i="120"/>
  <c r="C124" i="120"/>
  <c r="C112" i="120"/>
  <c r="C111" i="120"/>
  <c r="C110" i="120"/>
  <c r="C109" i="120"/>
  <c r="C108" i="120"/>
  <c r="C113" i="120"/>
  <c r="G57" i="120"/>
  <c r="G62" i="120"/>
  <c r="G55" i="120"/>
  <c r="G51" i="120"/>
  <c r="G54" i="120"/>
  <c r="G56" i="120"/>
  <c r="G48" i="120"/>
  <c r="G63" i="120"/>
  <c r="G64" i="120"/>
  <c r="G58" i="120"/>
  <c r="G50" i="120"/>
  <c r="G49" i="120"/>
  <c r="G59" i="120"/>
  <c r="G53" i="120"/>
  <c r="G61" i="120"/>
  <c r="G52" i="120"/>
  <c r="AA157" i="120"/>
  <c r="AN157" i="120"/>
  <c r="L18" i="120"/>
  <c r="AB18" i="120" s="1"/>
  <c r="I46" i="120" l="1"/>
  <c r="T53" i="120"/>
  <c r="AC24" i="120" s="1"/>
  <c r="AB34" i="120"/>
  <c r="AC34" i="120" s="1"/>
  <c r="C107" i="120"/>
  <c r="C47" i="120"/>
  <c r="G47" i="120" s="1"/>
  <c r="T47" i="120" l="1"/>
  <c r="AC18" i="120" s="1"/>
  <c r="H46" i="120"/>
  <c r="V3" i="2"/>
  <c r="W3" i="2"/>
  <c r="V4" i="2"/>
  <c r="W4" i="2"/>
  <c r="V5" i="2"/>
  <c r="W5" i="2"/>
  <c r="V6" i="2"/>
  <c r="W6" i="2"/>
  <c r="V7" i="2"/>
  <c r="W7" i="2"/>
  <c r="V8" i="2"/>
  <c r="W8" i="2"/>
  <c r="V9" i="2"/>
  <c r="W9" i="2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V32" i="2"/>
  <c r="W32" i="2"/>
  <c r="V33" i="2"/>
  <c r="W33" i="2"/>
  <c r="V34" i="2"/>
  <c r="W34" i="2"/>
  <c r="V35" i="2"/>
  <c r="W35" i="2"/>
  <c r="V36" i="2"/>
  <c r="W36" i="2"/>
  <c r="V37" i="2"/>
  <c r="W37" i="2"/>
  <c r="V38" i="2"/>
  <c r="W38" i="2"/>
  <c r="V39" i="2"/>
  <c r="W39" i="2"/>
  <c r="V40" i="2"/>
  <c r="W40" i="2"/>
  <c r="V41" i="2"/>
  <c r="W41" i="2"/>
  <c r="V42" i="2"/>
  <c r="W42" i="2"/>
  <c r="V43" i="2"/>
  <c r="W43" i="2"/>
  <c r="V44" i="2"/>
  <c r="W44" i="2"/>
  <c r="V45" i="2"/>
  <c r="W45" i="2"/>
  <c r="V46" i="2"/>
  <c r="W46" i="2"/>
  <c r="V47" i="2"/>
  <c r="W47" i="2"/>
  <c r="V48" i="2"/>
  <c r="W48" i="2"/>
  <c r="V49" i="2"/>
  <c r="W49" i="2"/>
  <c r="V50" i="2"/>
  <c r="W50" i="2"/>
  <c r="V51" i="2"/>
  <c r="W51" i="2"/>
  <c r="V52" i="2"/>
  <c r="W52" i="2"/>
  <c r="V53" i="2"/>
  <c r="W53" i="2"/>
  <c r="V54" i="2"/>
  <c r="W54" i="2"/>
  <c r="V55" i="2"/>
  <c r="W55" i="2"/>
  <c r="V56" i="2"/>
  <c r="W56" i="2"/>
  <c r="V57" i="2"/>
  <c r="W57" i="2"/>
  <c r="V58" i="2"/>
  <c r="W58" i="2"/>
  <c r="V59" i="2"/>
  <c r="W59" i="2"/>
  <c r="V60" i="2"/>
  <c r="W60" i="2"/>
  <c r="V61" i="2"/>
  <c r="W61" i="2"/>
  <c r="V62" i="2"/>
  <c r="W62" i="2"/>
  <c r="V63" i="2"/>
  <c r="W63" i="2"/>
  <c r="V64" i="2"/>
  <c r="W64" i="2"/>
  <c r="V65" i="2"/>
  <c r="W65" i="2"/>
  <c r="V66" i="2"/>
  <c r="W66" i="2"/>
  <c r="V67" i="2"/>
  <c r="W67" i="2"/>
  <c r="V68" i="2"/>
  <c r="W68" i="2"/>
  <c r="V69" i="2"/>
  <c r="W69" i="2"/>
  <c r="V70" i="2"/>
  <c r="W70" i="2"/>
  <c r="V71" i="2"/>
  <c r="W71" i="2"/>
  <c r="V72" i="2"/>
  <c r="W72" i="2"/>
  <c r="V73" i="2"/>
  <c r="W73" i="2"/>
  <c r="V74" i="2"/>
  <c r="W74" i="2"/>
  <c r="V75" i="2"/>
  <c r="W75" i="2"/>
  <c r="V76" i="2"/>
  <c r="W76" i="2"/>
  <c r="V77" i="2"/>
  <c r="W77" i="2"/>
  <c r="V78" i="2"/>
  <c r="W78" i="2"/>
  <c r="V79" i="2"/>
  <c r="W79" i="2"/>
  <c r="V80" i="2"/>
  <c r="W80" i="2"/>
  <c r="V81" i="2"/>
  <c r="W81" i="2"/>
  <c r="V82" i="2"/>
  <c r="W82" i="2"/>
  <c r="V83" i="2"/>
  <c r="W83" i="2"/>
  <c r="V84" i="2"/>
  <c r="W84" i="2"/>
  <c r="V85" i="2"/>
  <c r="W85" i="2"/>
  <c r="V86" i="2"/>
  <c r="W86" i="2"/>
  <c r="V87" i="2"/>
  <c r="W87" i="2"/>
  <c r="V88" i="2"/>
  <c r="W88" i="2"/>
  <c r="V89" i="2"/>
  <c r="W89" i="2"/>
  <c r="V90" i="2"/>
  <c r="W90" i="2"/>
  <c r="V91" i="2"/>
  <c r="W91" i="2"/>
  <c r="V92" i="2"/>
  <c r="W92" i="2"/>
  <c r="V93" i="2"/>
  <c r="W93" i="2"/>
  <c r="V94" i="2"/>
  <c r="W94" i="2"/>
  <c r="V95" i="2"/>
  <c r="W95" i="2"/>
  <c r="V96" i="2"/>
  <c r="W96" i="2"/>
  <c r="V97" i="2"/>
  <c r="W97" i="2"/>
  <c r="V98" i="2"/>
  <c r="W98" i="2"/>
  <c r="V99" i="2"/>
  <c r="W99" i="2"/>
  <c r="V100" i="2"/>
  <c r="W100" i="2"/>
  <c r="V101" i="2"/>
  <c r="W101" i="2"/>
  <c r="V102" i="2"/>
  <c r="W102" i="2"/>
  <c r="V103" i="2"/>
  <c r="W103" i="2"/>
  <c r="V104" i="2"/>
  <c r="W104" i="2"/>
  <c r="V105" i="2"/>
  <c r="W105" i="2"/>
  <c r="V107" i="2"/>
  <c r="W107" i="2"/>
  <c r="V108" i="2"/>
  <c r="W108" i="2"/>
  <c r="V109" i="2"/>
  <c r="W109" i="2"/>
  <c r="V110" i="2"/>
  <c r="W110" i="2"/>
  <c r="V111" i="2"/>
  <c r="W111" i="2"/>
  <c r="V112" i="2"/>
  <c r="W112" i="2"/>
  <c r="V113" i="2"/>
  <c r="W113" i="2"/>
  <c r="V114" i="2"/>
  <c r="W114" i="2"/>
  <c r="V115" i="2"/>
  <c r="W115" i="2"/>
  <c r="V116" i="2"/>
  <c r="W116" i="2"/>
  <c r="V117" i="2"/>
  <c r="W117" i="2"/>
  <c r="V118" i="2"/>
  <c r="W118" i="2"/>
  <c r="V119" i="2"/>
  <c r="W119" i="2"/>
  <c r="V120" i="2"/>
  <c r="W120" i="2"/>
  <c r="V121" i="2"/>
  <c r="W121" i="2"/>
  <c r="V122" i="2"/>
  <c r="W122" i="2"/>
  <c r="V123" i="2"/>
  <c r="W123" i="2"/>
  <c r="V124" i="2"/>
  <c r="W124" i="2"/>
  <c r="V125" i="2"/>
  <c r="W125" i="2"/>
  <c r="V126" i="2"/>
  <c r="W126" i="2"/>
  <c r="V127" i="2"/>
  <c r="W127" i="2"/>
  <c r="V128" i="2"/>
  <c r="W128" i="2"/>
  <c r="V129" i="2"/>
  <c r="W129" i="2"/>
  <c r="V130" i="2"/>
  <c r="W130" i="2"/>
  <c r="V131" i="2"/>
  <c r="W131" i="2"/>
  <c r="V132" i="2"/>
  <c r="W132" i="2"/>
  <c r="V133" i="2"/>
  <c r="W133" i="2"/>
  <c r="V134" i="2"/>
  <c r="W134" i="2"/>
  <c r="V135" i="2"/>
  <c r="W135" i="2"/>
  <c r="V136" i="2"/>
  <c r="W136" i="2"/>
  <c r="V137" i="2"/>
  <c r="W137" i="2"/>
  <c r="V138" i="2"/>
  <c r="W138" i="2"/>
  <c r="V139" i="2"/>
  <c r="W139" i="2"/>
  <c r="V140" i="2"/>
  <c r="W140" i="2"/>
  <c r="V141" i="2"/>
  <c r="W141" i="2"/>
  <c r="V142" i="2"/>
  <c r="W142" i="2"/>
  <c r="V143" i="2"/>
  <c r="W143" i="2"/>
  <c r="V144" i="2"/>
  <c r="W144" i="2"/>
  <c r="V145" i="2"/>
  <c r="W145" i="2"/>
  <c r="V146" i="2"/>
  <c r="W146" i="2"/>
  <c r="V147" i="2"/>
  <c r="W147" i="2"/>
  <c r="V148" i="2"/>
  <c r="W148" i="2"/>
  <c r="V149" i="2"/>
  <c r="W149" i="2"/>
  <c r="V150" i="2"/>
  <c r="W150" i="2"/>
  <c r="V151" i="2"/>
  <c r="W151" i="2"/>
  <c r="V152" i="2"/>
  <c r="W152" i="2"/>
  <c r="V153" i="2"/>
  <c r="W153" i="2"/>
  <c r="V154" i="2"/>
  <c r="W154" i="2"/>
  <c r="V155" i="2"/>
  <c r="W155" i="2"/>
  <c r="V156" i="2"/>
  <c r="W156" i="2"/>
  <c r="V157" i="2"/>
  <c r="W157" i="2"/>
  <c r="V158" i="2"/>
  <c r="W158" i="2"/>
  <c r="V159" i="2"/>
  <c r="W159" i="2"/>
  <c r="V160" i="2"/>
  <c r="W160" i="2"/>
  <c r="V161" i="2"/>
  <c r="W161" i="2"/>
  <c r="V162" i="2"/>
  <c r="W162" i="2"/>
  <c r="V163" i="2"/>
  <c r="W163" i="2"/>
  <c r="V164" i="2"/>
  <c r="W164" i="2"/>
  <c r="V165" i="2"/>
  <c r="W165" i="2"/>
  <c r="V166" i="2"/>
  <c r="W166" i="2"/>
  <c r="V167" i="2"/>
  <c r="W167" i="2"/>
  <c r="V168" i="2"/>
  <c r="W168" i="2"/>
  <c r="V169" i="2"/>
  <c r="W169" i="2"/>
  <c r="V170" i="2"/>
  <c r="W170" i="2"/>
  <c r="V171" i="2"/>
  <c r="W171" i="2"/>
  <c r="V172" i="2"/>
  <c r="W172" i="2"/>
  <c r="V173" i="2"/>
  <c r="W173" i="2"/>
  <c r="V174" i="2"/>
  <c r="W174" i="2"/>
  <c r="V175" i="2"/>
  <c r="W175" i="2"/>
  <c r="V176" i="2"/>
  <c r="W176" i="2"/>
  <c r="V177" i="2"/>
  <c r="W177" i="2"/>
  <c r="V178" i="2"/>
  <c r="W178" i="2"/>
  <c r="V179" i="2"/>
  <c r="W179" i="2"/>
  <c r="V180" i="2"/>
  <c r="W180" i="2"/>
  <c r="V181" i="2"/>
  <c r="W181" i="2"/>
  <c r="V182" i="2"/>
  <c r="W182" i="2"/>
  <c r="V183" i="2"/>
  <c r="W183" i="2"/>
  <c r="V184" i="2"/>
  <c r="W184" i="2"/>
  <c r="V185" i="2"/>
  <c r="W185" i="2"/>
  <c r="V186" i="2"/>
  <c r="W186" i="2"/>
  <c r="V187" i="2"/>
  <c r="W187" i="2"/>
  <c r="V188" i="2"/>
  <c r="W188" i="2"/>
  <c r="V189" i="2"/>
  <c r="W189" i="2"/>
  <c r="V190" i="2"/>
  <c r="W190" i="2"/>
  <c r="V191" i="2"/>
  <c r="W191" i="2"/>
  <c r="V192" i="2"/>
  <c r="W192" i="2"/>
  <c r="V193" i="2"/>
  <c r="W193" i="2"/>
  <c r="V194" i="2"/>
  <c r="W194" i="2"/>
  <c r="V195" i="2"/>
  <c r="W195" i="2"/>
  <c r="V196" i="2"/>
  <c r="W196" i="2"/>
  <c r="V197" i="2"/>
  <c r="W197" i="2"/>
  <c r="V198" i="2"/>
  <c r="W198" i="2"/>
  <c r="V199" i="2"/>
  <c r="W199" i="2"/>
  <c r="V200" i="2"/>
  <c r="W200" i="2"/>
  <c r="C130" i="120" l="1"/>
  <c r="E130" i="120" s="1"/>
  <c r="R15" i="117" l="1"/>
  <c r="R14" i="117"/>
  <c r="R13" i="117"/>
  <c r="R12" i="117"/>
  <c r="R11" i="117"/>
  <c r="R10" i="117"/>
  <c r="R9" i="117"/>
  <c r="R8" i="117"/>
  <c r="R7" i="117"/>
  <c r="R6" i="117"/>
  <c r="Q5" i="117"/>
  <c r="P5" i="117"/>
  <c r="O5" i="117"/>
  <c r="M5" i="117"/>
  <c r="L5" i="117"/>
  <c r="K5" i="117"/>
  <c r="J5" i="117"/>
  <c r="I5" i="117"/>
  <c r="H5" i="117"/>
  <c r="G5" i="117"/>
  <c r="F5" i="117"/>
  <c r="C1" i="2"/>
  <c r="A1" i="120" l="1"/>
  <c r="A1" i="117"/>
  <c r="A1" i="115"/>
  <c r="B2" i="54"/>
  <c r="R5" i="117"/>
  <c r="P6" i="115"/>
  <c r="B2" i="114" l="1"/>
  <c r="DB5" i="114" l="1"/>
  <c r="CM5" i="114"/>
  <c r="BX5" i="114"/>
  <c r="BI5" i="114"/>
  <c r="AT5" i="114"/>
  <c r="AE5" i="114"/>
  <c r="P5" i="114"/>
  <c r="L1" i="2" l="1"/>
  <c r="S1" i="2"/>
  <c r="R1" i="2"/>
  <c r="P1" i="2"/>
  <c r="O1" i="2"/>
  <c r="N1" i="2"/>
  <c r="Q1" i="2"/>
  <c r="T1" i="2"/>
  <c r="M1" i="2"/>
  <c r="K1" i="2"/>
  <c r="U1" i="2"/>
  <c r="J1" i="2"/>
  <c r="V1" i="2" l="1"/>
  <c r="W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Jadina Orben Wolff</author>
    <author>Raissa Perini</author>
  </authors>
  <commentList>
    <comment ref="C6" authorId="0" shapeId="0" xr:uid="{BBCCCABA-B491-426D-A6E3-40AD27824124}">
      <text>
        <r>
          <rPr>
            <b/>
            <sz val="9"/>
            <color indexed="81"/>
            <rFont val="Segoe UI"/>
            <family val="2"/>
          </rPr>
          <t>Jadina Orben Wolff:
3 unidades mês R$ 86 cada</t>
        </r>
      </text>
    </comment>
    <comment ref="C7" authorId="0" shapeId="0" xr:uid="{5175FD2E-FCF9-4CB6-A783-93C0E62680A6}">
      <text>
        <r>
          <rPr>
            <b/>
            <sz val="9"/>
            <color indexed="81"/>
            <rFont val="Segoe UI"/>
            <family val="2"/>
          </rPr>
          <t>Jadina Orben Wolff:
2 unidades mês R$ 249,00 cada</t>
        </r>
      </text>
    </comment>
    <comment ref="C8" authorId="0" shapeId="0" xr:uid="{C4EC0551-14D2-4DF6-A387-84B4D4584488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 R$ 595 unidade</t>
        </r>
      </text>
    </comment>
    <comment ref="C9" authorId="0" shapeId="0" xr:uid="{D8746C99-EA8E-4FA0-81B6-D66634F5D786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 R$ 595 unidade</t>
        </r>
      </text>
    </comment>
    <comment ref="C10" authorId="0" shapeId="0" xr:uid="{6C8C60D0-B89B-4BCF-AE03-365A9E354B6D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 R$ 469, unidade</t>
        </r>
      </text>
    </comment>
    <comment ref="C11" authorId="0" shapeId="0" xr:uid="{62F83874-C6B7-4831-AC91-530FDAE26E2B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 R$ 595 unidade</t>
        </r>
      </text>
    </comment>
    <comment ref="C12" authorId="0" shapeId="0" xr:uid="{13721CAD-001B-4723-92E9-81CF34963658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60 resmas mês R$ 21,80 cada</t>
        </r>
      </text>
    </comment>
    <comment ref="C13" authorId="0" shapeId="0" xr:uid="{54CB71DA-0D5F-4826-A0AC-A81BF045A573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R$ 8,71 cada , 25 unidade mês</t>
        </r>
      </text>
    </comment>
    <comment ref="C14" authorId="0" shapeId="0" xr:uid="{07436244-CE94-4144-9713-FB8A371CBD92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R$ 11,90 cx 2 cx mês</t>
        </r>
      </text>
    </comment>
    <comment ref="C15" authorId="0" shapeId="0" xr:uid="{95698D1A-63F8-4EA7-A7FB-612E50416C1F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R$ 3,65, 5cx mês</t>
        </r>
      </text>
    </comment>
    <comment ref="C16" authorId="0" shapeId="0" xr:uid="{FAF3F094-BDF5-4C33-9381-6B79DF16ABD6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R$ 1,41  uni 15 un mês</t>
        </r>
      </text>
    </comment>
    <comment ref="C17" authorId="0" shapeId="0" xr:uid="{583613DC-4F54-4029-A0F7-5C02A96CD952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R$ 0,59 , 50 un mês</t>
        </r>
      </text>
    </comment>
    <comment ref="C18" authorId="0" shapeId="0" xr:uid="{5D2CE0A9-3C40-4D0D-BBCC-30B81D33A421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carimbo, cauculadora , prancheta ,fichario</t>
        </r>
      </text>
    </comment>
    <comment ref="C27" authorId="0" shapeId="0" xr:uid="{B1048B25-3284-40AF-BD40-D4725834CDB5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5 litros , R$112</t>
        </r>
      </text>
    </comment>
    <comment ref="C28" authorId="0" shapeId="0" xr:uid="{A7AFF4A9-19C2-4CE6-BE27-A9A37A106042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2 unidades  R$20 cada</t>
        </r>
      </text>
    </comment>
    <comment ref="C29" authorId="0" shapeId="0" xr:uid="{1A2BC52F-F898-404E-9A3E-0C0D94587322}">
      <text>
        <r>
          <rPr>
            <b/>
            <sz val="9"/>
            <color indexed="81"/>
            <rFont val="Segoe UI"/>
            <family val="2"/>
          </rPr>
          <t>Jadina Orben Wolff
10 vasssouras R$ 8,50</t>
        </r>
      </text>
    </comment>
    <comment ref="C30" authorId="0" shapeId="0" xr:uid="{C2BDDCD0-6B91-4827-86C4-9150C82ABE4A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5 unidades R$ 56,38</t>
        </r>
      </text>
    </comment>
    <comment ref="C31" authorId="0" shapeId="0" xr:uid="{824AB72C-9D6C-4389-A51D-26A6552C72D1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5 unidades R$ 31</t>
        </r>
      </text>
    </comment>
    <comment ref="C32" authorId="0" shapeId="0" xr:uid="{6025DA8C-E982-4A99-A497-56FB3A9DECE2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5 unidades R$ 24 cada</t>
        </r>
      </text>
    </comment>
    <comment ref="C33" authorId="0" shapeId="0" xr:uid="{F5F3CB36-0973-4CF3-B237-8581E8F7A8F0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R$7,13
2 unidades a cada 2 meses</t>
        </r>
      </text>
    </comment>
    <comment ref="C34" authorId="0" shapeId="0" xr:uid="{B777AF47-3A97-4D19-95B9-C9CF0F2AB650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5 unidades R$ 19 cada</t>
        </r>
      </text>
    </comment>
    <comment ref="C39" authorId="0" shapeId="0" xr:uid="{4D5F9FFE-85A5-42CD-8A2C-C4A896235AFC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R$50,00 cada    20 colaboradores , 3 unidades cada fev, outubro 2 um cada</t>
        </r>
      </text>
    </comment>
    <comment ref="C44" authorId="0" shapeId="0" xr:uid="{9B9617C3-EDA1-439D-8F5E-8DBA479C87E3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preço unitario R$ 34,86
6 unidades</t>
        </r>
      </text>
    </comment>
    <comment ref="C45" authorId="0" shapeId="0" xr:uid="{33C0FA42-9F89-42D1-90E3-5C522FF8996B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preço unitario R$ 6,34
5 kg mês</t>
        </r>
      </text>
    </comment>
    <comment ref="C46" authorId="0" shapeId="0" xr:uid="{C6E2170D-5EE1-4DAC-8809-4BE81C630E1B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preço unitario R$ 4,18
5 unidades mês</t>
        </r>
      </text>
    </comment>
    <comment ref="C47" authorId="0" shapeId="0" xr:uid="{36E7470B-97DB-44D3-BEB4-FA6B7C45409C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10 unidades mês R$1,03</t>
        </r>
      </text>
    </comment>
    <comment ref="C62" authorId="0" shapeId="0" xr:uid="{794A2287-758C-47FC-BC6A-67553FF416B9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R$ 300  2 unidades mês</t>
        </r>
      </text>
    </comment>
    <comment ref="C67" authorId="0" shapeId="0" xr:uid="{26809085-4BEC-44FB-AEA8-EADD89FEDED8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total 9 impressoras media R$600  cada conserto</t>
        </r>
      </text>
    </comment>
    <comment ref="C68" authorId="0" shapeId="0" xr:uid="{05A2910D-C7AE-4D6F-9079-FFDB80D2860D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total de 30 coletores , media 1000 conserto de cada .</t>
        </r>
      </text>
    </comment>
    <comment ref="C75" authorId="0" shapeId="0" xr:uid="{0810D24D-890C-4E1D-B121-1E23F55389FC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total de 55 latas de 18 litros , 130m² cada lata</t>
        </r>
      </text>
    </comment>
    <comment ref="C76" authorId="0" shapeId="0" xr:uid="{DC0B8FB8-427A-405A-99C3-094C1FF5F608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R$577 lata de 18 litros</t>
        </r>
      </text>
    </comment>
    <comment ref="C77" authorId="0" shapeId="0" xr:uid="{0268CF0E-8F3B-46AF-83D5-7A7C285EBA66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270 lata de 18 litros</t>
        </r>
      </text>
    </comment>
    <comment ref="C78" authorId="0" shapeId="0" xr:uid="{61E75A3B-C0C1-4E4B-A714-EE6942857295}">
      <text>
        <r>
          <rPr>
            <b/>
            <sz val="9"/>
            <color indexed="81"/>
            <rFont val="Segoe UI"/>
            <family val="2"/>
          </rPr>
          <t>Jadina Orben Wolff:rolo  R$ 10,90</t>
        </r>
      </text>
    </comment>
    <comment ref="C79" authorId="0" shapeId="0" xr:uid="{7E414DBB-A6F4-42D4-8511-3756FA22C744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R$469,00</t>
        </r>
      </text>
    </comment>
    <comment ref="C86" authorId="0" shapeId="0" xr:uid="{6D6AE9FF-3164-42F3-8F76-8B5F674B0F97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 Atulamente temos 6 empilhadeiras  N°1,2,3,4,12 e 13 </t>
        </r>
      </text>
    </comment>
    <comment ref="C87" authorId="1" shapeId="0" xr:uid="{BEC047B8-7E2A-4722-9361-F7C7C73FDC0C}">
      <text>
        <r>
          <rPr>
            <b/>
            <sz val="9"/>
            <color indexed="81"/>
            <rFont val="Segoe UI"/>
            <family val="2"/>
          </rPr>
          <t>Jadina : para impressora zebra , temos 3 unidades R$ 2385 unidade</t>
        </r>
      </text>
    </comment>
    <comment ref="C100" authorId="0" shapeId="0" xr:uid="{DF99894B-9A68-4630-9D25-B82678591F18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R$37,80 um 80 mês</t>
        </r>
      </text>
    </comment>
    <comment ref="C101" authorId="0" shapeId="0" xr:uid="{FF17AB05-5D56-4AD8-94C9-DEFCF5F5B12B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R$8,00 80 unidade mês</t>
        </r>
      </text>
    </comment>
    <comment ref="C102" authorId="0" shapeId="0" xr:uid="{AB86071D-5E43-4A0C-8C0C-C44F5C28A08B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R$ 99 
5 unidade ano</t>
        </r>
      </text>
    </comment>
    <comment ref="C119" authorId="0" shapeId="0" xr:uid="{8CA41EB8-9FF6-4A6D-8631-38C802E7A920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conforme realizado 2024 R$ 250,00</t>
        </r>
      </text>
    </comment>
    <comment ref="C122" authorId="0" shapeId="0" xr:uid="{FAF64FE4-6281-4459-88BF-3A9CCB91E61E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Total remos 5 rampas</t>
        </r>
      </text>
    </comment>
    <comment ref="C124" authorId="0" shapeId="0" xr:uid="{809944D2-685B-40CB-824E-F5396CCD9173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6 unidades  R$1000 cada</t>
        </r>
      </text>
    </comment>
    <comment ref="C130" authorId="0" shapeId="0" xr:uid="{D59EB5CF-C1FE-4720-A2A4-A87D25DA437D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conforme realizado 2025 R$ 200,00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<sst xmlns="http://schemas.openxmlformats.org/spreadsheetml/2006/main" count="4190" uniqueCount="841">
  <si>
    <t>Serviços Terceiros</t>
  </si>
  <si>
    <t>OPERAÇÃO</t>
  </si>
  <si>
    <t>4300016 - SERVIÇOS DE TERCEIROS</t>
  </si>
  <si>
    <t>4300042 - AMOSTRAS / PROTOTIPOS</t>
  </si>
  <si>
    <t>Materiais de Produção</t>
  </si>
  <si>
    <t>4100003 - MATERIAIS AUXILIARES</t>
  </si>
  <si>
    <t>4100002 - MATERIAL DE EMBALAGEM</t>
  </si>
  <si>
    <t>Logística</t>
  </si>
  <si>
    <t>4300056 - FRETES E CARRETOS S/ VENDAS</t>
  </si>
  <si>
    <t>4300052 - DESPESAS POSTAIS E MALOTES</t>
  </si>
  <si>
    <t>4300023 - ENERGIA ELETRICA/AGUA E ESGOTO</t>
  </si>
  <si>
    <t>Infraestrutura industrial e Manutenção</t>
  </si>
  <si>
    <t>4300081 - MANUT. E ALUGUEL DE SOFTWARE</t>
  </si>
  <si>
    <t>Informática e Comunicações</t>
  </si>
  <si>
    <t>4300080 - MANUT. EQUIP. PROCESSAM. DADOS</t>
  </si>
  <si>
    <t>4300079 - MATERIAL DE PROCESSAMENTO DE DADOS</t>
  </si>
  <si>
    <t>4300076 - MULTAS DEDUTIVEIS</t>
  </si>
  <si>
    <t>Impostos, Taxas e Doações</t>
  </si>
  <si>
    <t>4300074 - TAXAS, CONTRIB. A SIND./ASSOC.</t>
  </si>
  <si>
    <t>Despesas de Vendas e Publicidade</t>
  </si>
  <si>
    <t>4300060 - BONIFICAÇÕES E CORTESIAS</t>
  </si>
  <si>
    <t>4300087 - BENS DE NATUREZA PERMANENTE</t>
  </si>
  <si>
    <t>Despesas Administrativas</t>
  </si>
  <si>
    <t>4300051 - LANCHES/REFEIÇÕES/MATERIAL COPA</t>
  </si>
  <si>
    <t>4300041 - VESTUARIO PROFISSIONAL/EPI/ERGONOMIA</t>
  </si>
  <si>
    <t>4300040 - MATERIAIS DE LIMPEZA E CONSERVAÇÃO</t>
  </si>
  <si>
    <t>4300038 - CONS. DE MOVEIS E UTENSILIOS</t>
  </si>
  <si>
    <t>4300037 - CONS. DE MAQ. E EQUIP. ESCRITORIO</t>
  </si>
  <si>
    <t>4300018 - MATERIAL DE EXPEDIENTE</t>
  </si>
  <si>
    <t>4300034 - CONS. DE MAQ. E FERRAM. INDST.</t>
  </si>
  <si>
    <t>4300032 - CONS. DE IMOVEIS E EDIF. INDLS.</t>
  </si>
  <si>
    <t>4300027 - IMPOSTOS E TAXAS ESTADUAIS</t>
  </si>
  <si>
    <t>4300054 - FOTOCOPIAS/AUTENTICAÇÕES/CARTÓRIO</t>
  </si>
  <si>
    <t>4300031 - FERRAMENTAS DESGASTAVEIS</t>
  </si>
  <si>
    <t>PACOTE</t>
  </si>
  <si>
    <t>CONTA CONTABIL</t>
  </si>
  <si>
    <t>GRUPO_1</t>
  </si>
  <si>
    <t>ÁREA</t>
  </si>
  <si>
    <t>ANO</t>
  </si>
  <si>
    <t>dez</t>
  </si>
  <si>
    <t>nov</t>
  </si>
  <si>
    <t>out</t>
  </si>
  <si>
    <t>set</t>
  </si>
  <si>
    <t>ago</t>
  </si>
  <si>
    <t>jul</t>
  </si>
  <si>
    <t>jun</t>
  </si>
  <si>
    <t>mai</t>
  </si>
  <si>
    <t>abr</t>
  </si>
  <si>
    <t>mar</t>
  </si>
  <si>
    <t>fev</t>
  </si>
  <si>
    <t>jan</t>
  </si>
  <si>
    <t>CENTRO DE CUSTOS</t>
  </si>
  <si>
    <t xml:space="preserve"> </t>
  </si>
  <si>
    <t>Total Geral</t>
  </si>
  <si>
    <t>total</t>
  </si>
  <si>
    <t>.</t>
  </si>
  <si>
    <t xml:space="preserve">JAN </t>
  </si>
  <si>
    <t xml:space="preserve">FEV </t>
  </si>
  <si>
    <t xml:space="preserve">MAR </t>
  </si>
  <si>
    <t xml:space="preserve">ABR </t>
  </si>
  <si>
    <t xml:space="preserve">MAI </t>
  </si>
  <si>
    <t xml:space="preserve">JUN </t>
  </si>
  <si>
    <t xml:space="preserve">JUL </t>
  </si>
  <si>
    <t xml:space="preserve">AGO </t>
  </si>
  <si>
    <t xml:space="preserve">SET </t>
  </si>
  <si>
    <t xml:space="preserve">OUT </t>
  </si>
  <si>
    <t xml:space="preserve">NOV </t>
  </si>
  <si>
    <t xml:space="preserve">DEZ </t>
  </si>
  <si>
    <t xml:space="preserve">TOTAL </t>
  </si>
  <si>
    <t>OBS E PREMISSAS</t>
  </si>
  <si>
    <t xml:space="preserve">SUBTOTAL </t>
  </si>
  <si>
    <t>Média/mês</t>
  </si>
  <si>
    <t>ÁREA / CONTA</t>
  </si>
  <si>
    <t>ESSAS COLUNAS NÃO DEVEM SER COPIADAS PARA AS BASES DAS ÁREAS</t>
  </si>
  <si>
    <t>2022 YTD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</si>
  <si>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</si>
  <si>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</si>
  <si>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</si>
  <si>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</si>
  <si>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</si>
  <si>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</si>
  <si>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</si>
  <si>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</si>
  <si>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</si>
  <si>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</si>
  <si>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</si>
  <si>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</si>
  <si>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ANO</t>
  </si>
  <si>
    <t>4300099 - FRETES SOBRE DEVOLUÇÃO</t>
  </si>
  <si>
    <t>4300102 - SERVIÇOS LOGISTICOS</t>
  </si>
  <si>
    <t>4300070 - REFUGO/ SUCATA</t>
  </si>
  <si>
    <t>2025 ÁREA</t>
  </si>
  <si>
    <t>TOTAL</t>
  </si>
  <si>
    <t>COD. FORNECEDOR</t>
  </si>
  <si>
    <t>FORNECEDOR / SOFTWARE</t>
  </si>
  <si>
    <t>DESCRIÇÃO DO SERVIÇO PRESTADO / PARA QUE É UTILIZADO</t>
  </si>
  <si>
    <t>CCs</t>
  </si>
  <si>
    <t>Plano de contas</t>
  </si>
  <si>
    <t>Centro de Custo</t>
  </si>
  <si>
    <t>Conta contabil</t>
  </si>
  <si>
    <t>Descrição / detalhamento</t>
  </si>
  <si>
    <t>CONTA CONTÁBIL</t>
  </si>
  <si>
    <t>CENTRO DE CUSTO</t>
  </si>
  <si>
    <t>2026 ÁREA</t>
  </si>
  <si>
    <t>ORIGEM</t>
  </si>
  <si>
    <t>QTDE VIAJANTES</t>
  </si>
  <si>
    <t>DIAS VIAGEM</t>
  </si>
  <si>
    <t>Locomoção</t>
  </si>
  <si>
    <t>4300143 - DESPESA COM LOCACAO DE VEICULOS</t>
  </si>
  <si>
    <t>4300043 - DESPESAS COM HOSPEDAGENS</t>
  </si>
  <si>
    <t>4300148 - DESPESAS DE VIAGENS INTERNACIONAIS</t>
  </si>
  <si>
    <t>10320 - QUALIDADE</t>
  </si>
  <si>
    <t>4300049 - OLEOS, COMBUSTÍVEIS E LUBRIFICANTES</t>
  </si>
  <si>
    <t>4300159 - DESPESA COM DEMONSTRAÇÃO - COMERCIAL</t>
  </si>
  <si>
    <t>4300100 - FRETES SOBRE TRANSFERÊNCIAS</t>
  </si>
  <si>
    <t>Nome</t>
  </si>
  <si>
    <t>AT</t>
  </si>
  <si>
    <t>Comercial</t>
  </si>
  <si>
    <t>Geral</t>
  </si>
  <si>
    <t>Diretoria</t>
  </si>
  <si>
    <t>Promotor</t>
  </si>
  <si>
    <t>Refeição Curitiba</t>
  </si>
  <si>
    <t>Refeição Joinville</t>
  </si>
  <si>
    <t>Refeição Linhares</t>
  </si>
  <si>
    <t>Refeição Manaus</t>
  </si>
  <si>
    <t>Demais regiões</t>
  </si>
  <si>
    <t>Destino</t>
  </si>
  <si>
    <t>Refeição (vlr uni)</t>
  </si>
  <si>
    <t>Hospedagem (vlr uni)</t>
  </si>
  <si>
    <t>Trade Marketing</t>
  </si>
  <si>
    <t>Origem</t>
  </si>
  <si>
    <t>Valor</t>
  </si>
  <si>
    <t>SIM</t>
  </si>
  <si>
    <t>NÃO</t>
  </si>
  <si>
    <t>SETOR</t>
  </si>
  <si>
    <t>Carro</t>
  </si>
  <si>
    <t>Moto</t>
  </si>
  <si>
    <t>VALIDADOR (verifica se os valores foram distribuidos corretamente no mês a mês)</t>
  </si>
  <si>
    <t>MESES EM QUE OS VALORES DA VIAGEM SERÃO REALIZADOS</t>
  </si>
  <si>
    <t>MOTIVO VIAGEM (Descrever o motivo da viagem)</t>
  </si>
  <si>
    <t>Vai solicitar compra de passagem aérea?</t>
  </si>
  <si>
    <t>Reemb.KM (vlr uni)</t>
  </si>
  <si>
    <t>XX</t>
  </si>
  <si>
    <t>Não</t>
  </si>
  <si>
    <t>4300147 - DESPESAS COM VIAGENS</t>
  </si>
  <si>
    <t>HOSPEDAGEM</t>
  </si>
  <si>
    <t>PASSAGEM AÉREA</t>
  </si>
  <si>
    <t>Vai utilizar veículo próprio? Se sim, defina se carro ou moto</t>
  </si>
  <si>
    <t>Chave</t>
  </si>
  <si>
    <t>AMERICANA - SP</t>
  </si>
  <si>
    <t xml:space="preserve">ARACATUBA - SP </t>
  </si>
  <si>
    <t>ARAGUAINA - TO</t>
  </si>
  <si>
    <t>ARAPONGAS - PR</t>
  </si>
  <si>
    <t>ARARANGUA - SC</t>
  </si>
  <si>
    <t>ARUJA - SP</t>
  </si>
  <si>
    <t>ASSIS - SP</t>
  </si>
  <si>
    <t>ATIBAIA - SP</t>
  </si>
  <si>
    <t>BALNEARIO CAMBORIU - SC</t>
  </si>
  <si>
    <t>BARRA FUNDA - SP</t>
  </si>
  <si>
    <t>BARUERI - SP</t>
  </si>
  <si>
    <t>BELEM - PA</t>
  </si>
  <si>
    <t>BELO HORIZONTE - MG</t>
  </si>
  <si>
    <t>BLUMENAU - SC</t>
  </si>
  <si>
    <t xml:space="preserve">BRUSQUE - SC </t>
  </si>
  <si>
    <t>CACHOEIRO DE ITAPEMIRIM - ES</t>
  </si>
  <si>
    <t>CAMPINAS - SP</t>
  </si>
  <si>
    <t>CANOAS - RS</t>
  </si>
  <si>
    <t>CASCAVEL - PR</t>
  </si>
  <si>
    <t>CAXIAS DO SUL - RS</t>
  </si>
  <si>
    <t>CHAPECO - SC</t>
  </si>
  <si>
    <t>CONCÓRDIA - SC</t>
  </si>
  <si>
    <t xml:space="preserve">CONTAGEM - MG </t>
  </si>
  <si>
    <t>COTIA - SP</t>
  </si>
  <si>
    <t>CRICIUMA - SC</t>
  </si>
  <si>
    <t>CUIABA - MT</t>
  </si>
  <si>
    <t>CURITIBA - PR</t>
  </si>
  <si>
    <t xml:space="preserve">CURITIBANOS - SC </t>
  </si>
  <si>
    <t>FARROUPILHA - RS</t>
  </si>
  <si>
    <t>FLORIANOPOLIS - SC</t>
  </si>
  <si>
    <t>FORTALEZA - CE</t>
  </si>
  <si>
    <t>FOZ DO IGUAÇU - PR</t>
  </si>
  <si>
    <t>GOIANA - PE</t>
  </si>
  <si>
    <t>GOIANIA - GO</t>
  </si>
  <si>
    <t>GRAMADO - RS</t>
  </si>
  <si>
    <t>GUARAPUAVA - PR</t>
  </si>
  <si>
    <t>GUARULHOS - SP</t>
  </si>
  <si>
    <t>ILHEUS - BA</t>
  </si>
  <si>
    <t xml:space="preserve">IMPERATRIZ - MA </t>
  </si>
  <si>
    <t>ITAJAI - SC</t>
  </si>
  <si>
    <t>ITAPEMA - SC</t>
  </si>
  <si>
    <t>JAIBA - MG</t>
  </si>
  <si>
    <t>JARAGUA - GO</t>
  </si>
  <si>
    <t>JOINVILLE - SC</t>
  </si>
  <si>
    <t>JUNDIAI - SP</t>
  </si>
  <si>
    <t>LAGES - SC</t>
  </si>
  <si>
    <t>LIMEIRA - SP</t>
  </si>
  <si>
    <t>LINHARES - ES</t>
  </si>
  <si>
    <t>LONDRINA - PR</t>
  </si>
  <si>
    <t xml:space="preserve">LUCAS DO RIO VERDE - MT </t>
  </si>
  <si>
    <t>MANAUS - AM</t>
  </si>
  <si>
    <t>MARABA - PA</t>
  </si>
  <si>
    <t>MARINGA - PR</t>
  </si>
  <si>
    <t>NOVO HAMBURGO - RS</t>
  </si>
  <si>
    <t>OSASCO - SP</t>
  </si>
  <si>
    <t>PALMAS - TO</t>
  </si>
  <si>
    <t>PASSO FUNDO - RS</t>
  </si>
  <si>
    <t xml:space="preserve">PASSOS - MG </t>
  </si>
  <si>
    <t>PATO BRANCO - PR</t>
  </si>
  <si>
    <t>PINHEIROS - ES</t>
  </si>
  <si>
    <t>PIRACICABA - SP</t>
  </si>
  <si>
    <t>PONTA GROSSA - PR</t>
  </si>
  <si>
    <t>PORTO ALEGRE - RS</t>
  </si>
  <si>
    <t>PRESIDENTE GETULIO - SC</t>
  </si>
  <si>
    <t>PRESIDENTE PRUDENTE - SP</t>
  </si>
  <si>
    <t>RECIFE - PE</t>
  </si>
  <si>
    <t>RIBEIRAO PRETO - SP</t>
  </si>
  <si>
    <t>RIO DE JANEIRO - RJ</t>
  </si>
  <si>
    <t>RIO DO SUL - SC</t>
  </si>
  <si>
    <t>RIO GRANDE - RS</t>
  </si>
  <si>
    <t>SALVADOR - BA</t>
  </si>
  <si>
    <t xml:space="preserve">SANTA CATARINA - SC </t>
  </si>
  <si>
    <t>SAO JOSE - SC</t>
  </si>
  <si>
    <t>SAO JOSE DO RIO PRETO - SP</t>
  </si>
  <si>
    <t>SAO LUIS - MA</t>
  </si>
  <si>
    <t>SAO PAULO - SP</t>
  </si>
  <si>
    <t>SÃO PAULO - SP</t>
  </si>
  <si>
    <t>SERRA - ES</t>
  </si>
  <si>
    <t>SOBRAL - CE</t>
  </si>
  <si>
    <t>TERESINA - PI</t>
  </si>
  <si>
    <t xml:space="preserve">TRES PONTAS - MG </t>
  </si>
  <si>
    <t>TUBARAO - SC</t>
  </si>
  <si>
    <t>UBERLANDIA - MG</t>
  </si>
  <si>
    <t>UMUARAMA - PR</t>
  </si>
  <si>
    <t xml:space="preserve">VARGINHA - MG </t>
  </si>
  <si>
    <t>VARZEA GRANDE - MT</t>
  </si>
  <si>
    <t>VILA VELHA - ES</t>
  </si>
  <si>
    <t>VITORIA - ES</t>
  </si>
  <si>
    <t>Será necessária a locação de veículo?</t>
  </si>
  <si>
    <r>
      <t xml:space="preserve">Total locação- </t>
    </r>
    <r>
      <rPr>
        <b/>
        <sz val="9"/>
        <color rgb="FFFF0000"/>
        <rFont val="Calibri"/>
        <family val="2"/>
        <scheme val="minor"/>
      </rPr>
      <t>Orçar na conta 4300143</t>
    </r>
  </si>
  <si>
    <r>
      <t xml:space="preserve">Total KM - </t>
    </r>
    <r>
      <rPr>
        <b/>
        <sz val="9"/>
        <color rgb="FFFF0000"/>
        <rFont val="Calibri"/>
        <family val="2"/>
        <scheme val="minor"/>
      </rPr>
      <t>Orçar na conta 4300147</t>
    </r>
  </si>
  <si>
    <t>DADOS DO SETOR</t>
  </si>
  <si>
    <t>Estimativa de km rodados (informe o total de km)</t>
  </si>
  <si>
    <t>Valor Passagem</t>
  </si>
  <si>
    <r>
      <t xml:space="preserve">Total Passagem (Ida e volta) - </t>
    </r>
    <r>
      <rPr>
        <b/>
        <sz val="9"/>
        <color rgb="FFFF0000"/>
        <rFont val="Calibri"/>
        <family val="2"/>
        <scheme val="minor"/>
      </rPr>
      <t>Orçar na conta 43000136</t>
    </r>
  </si>
  <si>
    <t xml:space="preserve">Outros (descreva o detalhamento da despesa) </t>
  </si>
  <si>
    <r>
      <t>DESTINO Se</t>
    </r>
    <r>
      <rPr>
        <b/>
        <sz val="9"/>
        <color rgb="FFFF0000"/>
        <rFont val="Calibri"/>
        <family val="2"/>
        <scheme val="minor"/>
      </rPr>
      <t xml:space="preserve"> Internacional? - Orçar na conta 4300148</t>
    </r>
  </si>
  <si>
    <t>CAXIAS - MA</t>
  </si>
  <si>
    <t>MONTES CLAROS - MG</t>
  </si>
  <si>
    <t>VOLTA REDONDA - RJ</t>
  </si>
  <si>
    <t>Valor Locação (média)</t>
  </si>
  <si>
    <t>Média de valor dia</t>
  </si>
  <si>
    <t>SAO JOSE DOS PINHAIS - PR</t>
  </si>
  <si>
    <t>Tabela valor médio locação veículos</t>
  </si>
  <si>
    <t>Valor ultima viagem realizada (base Marisete)</t>
  </si>
  <si>
    <t>Tabela valores Hospedagem</t>
  </si>
  <si>
    <t>Vai solicitar reserva de Hospedagem?</t>
  </si>
  <si>
    <r>
      <t xml:space="preserve">Total Hospedagem - </t>
    </r>
    <r>
      <rPr>
        <b/>
        <sz val="9"/>
        <color rgb="FFFF0000"/>
        <rFont val="Calibri"/>
        <family val="2"/>
        <scheme val="minor"/>
      </rPr>
      <t>Orçar na conta 4300043</t>
    </r>
  </si>
  <si>
    <t>Tabela valores Passagem aérea</t>
  </si>
  <si>
    <r>
      <t xml:space="preserve">Total Refeição - </t>
    </r>
    <r>
      <rPr>
        <b/>
        <sz val="9"/>
        <color rgb="FFFF0000"/>
        <rFont val="Calibri"/>
        <family val="2"/>
        <scheme val="minor"/>
      </rPr>
      <t>Orçar na conta 4300147</t>
    </r>
  </si>
  <si>
    <r>
      <t xml:space="preserve">Outros (R$) - </t>
    </r>
    <r>
      <rPr>
        <b/>
        <sz val="9"/>
        <color rgb="FFFF0000"/>
        <rFont val="Calibri"/>
        <family val="2"/>
        <scheme val="minor"/>
      </rPr>
      <t>Orçar na conta 43000147</t>
    </r>
  </si>
  <si>
    <t>DADOS DA VIAGEM</t>
  </si>
  <si>
    <r>
      <t>R$ referente combustivel abast carro loc p/ devolução -</t>
    </r>
    <r>
      <rPr>
        <b/>
        <sz val="9"/>
        <color rgb="FFFF0000"/>
        <rFont val="Calibri"/>
        <family val="2"/>
        <scheme val="minor"/>
      </rPr>
      <t xml:space="preserve"> Orçar na conta 4300147</t>
    </r>
  </si>
  <si>
    <t>REFEIÇÃO</t>
  </si>
  <si>
    <t>LOCAÇÃO VEÍCULO</t>
  </si>
  <si>
    <t>REEMBOLSO KM</t>
  </si>
  <si>
    <t>OUTROS</t>
  </si>
  <si>
    <t xml:space="preserve">Total Viagem </t>
  </si>
  <si>
    <t xml:space="preserve">VIAGENS INTERNACIONAIS </t>
  </si>
  <si>
    <t>4300136 - DESPESA COM PASSAGEM AEREAS</t>
  </si>
  <si>
    <t>Total conta 43000147</t>
  </si>
  <si>
    <t>REEMBOLSO KM (Carro próprio)</t>
  </si>
  <si>
    <t>Valor passagem origem x destino não cadastrado</t>
  </si>
  <si>
    <r>
      <t xml:space="preserve">Total Passagem (Ida e volta) - </t>
    </r>
    <r>
      <rPr>
        <b/>
        <sz val="9"/>
        <color rgb="FFFF0000"/>
        <rFont val="Calibri"/>
        <family val="2"/>
        <scheme val="minor"/>
      </rPr>
      <t>Orçar na conta 4300136</t>
    </r>
  </si>
  <si>
    <t>Total conta 4300136</t>
  </si>
  <si>
    <r>
      <t xml:space="preserve">Valor passagem origem x destino não cadastrado </t>
    </r>
    <r>
      <rPr>
        <b/>
        <sz val="9"/>
        <color rgb="FFFF0000"/>
        <rFont val="Calibri"/>
        <family val="2"/>
        <scheme val="minor"/>
      </rPr>
      <t>( se ao selecionar SIM os valores ficarem 0,00 preencher com o valor) orçar na 4300136</t>
    </r>
  </si>
  <si>
    <t>VIAGEM</t>
  </si>
  <si>
    <t>Reembolso km (carro próprio)</t>
  </si>
  <si>
    <t>R$ referente combustivel abast carro loc p/ devolução</t>
  </si>
  <si>
    <t xml:space="preserve">Total Refeição </t>
  </si>
  <si>
    <t>Outros (R$)</t>
  </si>
  <si>
    <t>Total locação veículo</t>
  </si>
  <si>
    <t>Total Hospedagem</t>
  </si>
  <si>
    <t>Total Passagem aérea</t>
  </si>
  <si>
    <t>VIAGENS NACIONAIS - CALCULOS DESPESAS</t>
  </si>
  <si>
    <t>DISTRIBUIÇÃO VALORES CALCULADOS NA TABELA ACIMA</t>
  </si>
  <si>
    <t>CHAVE</t>
  </si>
  <si>
    <t>📌 ABAS DO ARQUIVO</t>
  </si>
  <si>
    <t>GERAL e CC:</t>
  </si>
  <si>
    <t>📌 OBSERVAÇÕES IMPORTANTES</t>
  </si>
  <si>
    <t>A área é responsável por distribuir o orçamento entre os centros de custo. A análise é feita por área.</t>
  </si>
  <si>
    <t>O plano de contas foi disponibilizado pelo time da Contabilidade com diversos exemplos para a alocação correta de recurso. Ainda assim, caso permaneça alguma dúvida, entrar em contato com Tatiana Brandl ou Luana Luiza Goes Augusto.</t>
  </si>
  <si>
    <t>📞 QUALQUER DÚVIDA SOBRE O PREENCHIMENTO, ACIONAR O PLANEJAMENTO FINANCEIRO</t>
  </si>
  <si>
    <t>Eduardo Cavalli</t>
  </si>
  <si>
    <t>Tatiane Petri</t>
  </si>
  <si>
    <t>Camila Coradassi</t>
  </si>
  <si>
    <t>VITÓRIA - ES</t>
  </si>
  <si>
    <t>FLORIANÓPOLIS - SC</t>
  </si>
  <si>
    <t>NAVEGANTES - SC</t>
  </si>
  <si>
    <t>IMPERATRIZ - MA</t>
  </si>
  <si>
    <t>BELÉM - PA</t>
  </si>
  <si>
    <t>GOIÂNIA - GO</t>
  </si>
  <si>
    <t>SÃO LUIZ DO MARANHÃO - MA</t>
  </si>
  <si>
    <r>
      <t>DESTINO</t>
    </r>
    <r>
      <rPr>
        <b/>
        <sz val="9"/>
        <color rgb="FFFF0000"/>
        <rFont val="Calibri"/>
        <family val="2"/>
        <scheme val="minor"/>
      </rPr>
      <t xml:space="preserve"> (Internacional? - Orçar na conta 4300148 - último quadro desse arquivo)</t>
    </r>
  </si>
  <si>
    <t>Tabela dinâmica contendo histórico do realizado da área, com abertura de todas as Contas Contábeis de Operação.</t>
  </si>
  <si>
    <t>DETALHAMENTO e DEMAIS ABAS:</t>
  </si>
  <si>
    <t>Abas específicas para detalhamento de contas.</t>
  </si>
  <si>
    <t>ORÇAMENTO 2026:</t>
  </si>
  <si>
    <t>Na aba ORÇAMENTO 2026: Selecione a Conta Contábil e Centro de Custos</t>
  </si>
  <si>
    <r>
      <rPr>
        <b/>
        <sz val="16"/>
        <color theme="0" tint="-0.499984740745262"/>
        <rFont val="Wingdings 2"/>
        <family val="1"/>
        <charset val="2"/>
      </rPr>
      <t>.</t>
    </r>
    <r>
      <rPr>
        <b/>
        <sz val="14"/>
        <color theme="0" tint="-0.499984740745262"/>
        <rFont val="Wingdings 2"/>
        <family val="1"/>
        <charset val="2"/>
      </rPr>
      <t xml:space="preserve"> </t>
    </r>
    <r>
      <rPr>
        <b/>
        <sz val="14"/>
        <color theme="0" tint="-0.499984740745262"/>
        <rFont val="Calibri"/>
        <family val="2"/>
        <scheme val="minor"/>
      </rPr>
      <t>PREENCHIMENTO BASE ADM E BACKUP</t>
    </r>
  </si>
  <si>
    <t>Exemplo 01: Aba Orçamento 2026:</t>
  </si>
  <si>
    <r>
      <rPr>
        <b/>
        <sz val="16"/>
        <color theme="0" tint="-0.499984740745262"/>
        <rFont val="Wingdings 2"/>
        <family val="1"/>
        <charset val="2"/>
      </rPr>
      <t>.</t>
    </r>
    <r>
      <rPr>
        <b/>
        <sz val="14"/>
        <color theme="0" tint="-0.499984740745262"/>
        <rFont val="Wingdings 2"/>
        <family val="1"/>
        <charset val="2"/>
      </rPr>
      <t xml:space="preserve"> </t>
    </r>
    <r>
      <rPr>
        <b/>
        <sz val="14"/>
        <color theme="0" tint="-0.499984740745262"/>
        <rFont val="Calibri"/>
        <family val="2"/>
        <scheme val="minor"/>
      </rPr>
      <t>EXEMPLOS</t>
    </r>
  </si>
  <si>
    <t>Exemplo 02: Aba Detalhamento:</t>
  </si>
  <si>
    <t>VAR 2025 X 2026 ÁREA</t>
  </si>
  <si>
    <t xml:space="preserve"> VAR 2025 X 2026 ÁREA</t>
  </si>
  <si>
    <t>Dados históricos de 2018 a 2025 e local onde a área deve preencher sua proposta de orçamento para 2026.</t>
  </si>
  <si>
    <r>
      <rPr>
        <b/>
        <sz val="14"/>
        <color rgb="FFFF0000"/>
        <rFont val="Calibri"/>
        <family val="2"/>
        <scheme val="minor"/>
      </rPr>
      <t>→</t>
    </r>
    <r>
      <rPr>
        <sz val="10"/>
        <color theme="1"/>
        <rFont val="Calibri"/>
        <family val="2"/>
        <scheme val="minor"/>
      </rPr>
      <t xml:space="preserve"> Tomando como base seu realizado de 2025:</t>
    </r>
  </si>
  <si>
    <r>
      <rPr>
        <b/>
        <sz val="16"/>
        <color rgb="FFFF0000"/>
        <rFont val="Calibri"/>
        <family val="2"/>
        <scheme val="minor"/>
      </rPr>
      <t>→</t>
    </r>
    <r>
      <rPr>
        <sz val="10"/>
        <color theme="1"/>
        <rFont val="Calibri"/>
        <family val="2"/>
        <scheme val="minor"/>
      </rPr>
      <t xml:space="preserve"> Na coluna OBS E PREMISSAS, será apontado em qual aba deverá ser preenchido o detalhamento do orçamento solicitado.</t>
    </r>
  </si>
  <si>
    <t>⚠️ Após preencher a aba ORÇAMENTO 2026, você deverá compor esse orçamento de todas as contas na aba DETALHAMENTO ou na aba específica solicitada ("Detalhar na aba XXXX")
 *** Os valores preenchidos nas abas de detalhamento devem ser os mesmos que constam na aba "ORÇAMENTO 2026"</t>
  </si>
  <si>
    <t>BLOCO 1</t>
  </si>
  <si>
    <t>BLOCO 2</t>
  </si>
  <si>
    <t>BLOCO 3</t>
  </si>
  <si>
    <t>BLOCO 5</t>
  </si>
  <si>
    <t>BLOCO 4</t>
  </si>
  <si>
    <t>BLOCO 6</t>
  </si>
  <si>
    <t>📌 INSTRUÇÕES PARA PREENCHIMENTO DA ABA</t>
  </si>
  <si>
    <r>
      <rPr>
        <b/>
        <sz val="14"/>
        <color rgb="FFFF0000"/>
        <rFont val="Calibri"/>
        <family val="2"/>
        <scheme val="minor"/>
      </rPr>
      <t>**</t>
    </r>
    <r>
      <rPr>
        <b/>
        <sz val="14"/>
        <color theme="0" tint="-0.499984740745262"/>
        <rFont val="Calibri"/>
        <family val="2"/>
        <scheme val="minor"/>
      </rPr>
      <t xml:space="preserve"> Considerando que os Blocos 2, 3, 4 e 5 já estão referenciados ao Bloco 1, basta realizar a alocação dos valores conforme os meses de ocorrência das despesas.</t>
    </r>
  </si>
  <si>
    <t>Nesta aba, devem ser preenchidas as informações sobre as viagens da área, bem como a distribuição dos valores nos meses em que ocorrerão as respectivas despesas.</t>
  </si>
  <si>
    <r>
      <rPr>
        <b/>
        <sz val="14"/>
        <color rgb="FFFF0000"/>
        <rFont val="Calibri"/>
        <family val="2"/>
        <scheme val="minor"/>
      </rPr>
      <t>**</t>
    </r>
    <r>
      <rPr>
        <b/>
        <sz val="14"/>
        <color theme="0" tint="-0.499984740745262"/>
        <rFont val="Calibri"/>
        <family val="2"/>
        <scheme val="minor"/>
      </rPr>
      <t xml:space="preserve"> Cada linha preenchida representa uma viagem</t>
    </r>
  </si>
  <si>
    <r>
      <rPr>
        <b/>
        <sz val="14"/>
        <color rgb="FFFF0000"/>
        <rFont val="Calibri"/>
        <family val="2"/>
        <scheme val="minor"/>
      </rPr>
      <t>→</t>
    </r>
    <r>
      <rPr>
        <b/>
        <sz val="14"/>
        <color theme="0" tint="-0.499984740745262"/>
        <rFont val="Calibri"/>
        <family val="2"/>
        <scheme val="minor"/>
      </rPr>
      <t xml:space="preserve"> Preencher todas as células cinzas do Bloco 1 – Neste bloco, serão calculadas todas as despesas da viagem com base nas informações inseridas nas células cinzas.</t>
    </r>
  </si>
  <si>
    <r>
      <rPr>
        <b/>
        <sz val="14"/>
        <color rgb="FFFF0000"/>
        <rFont val="Calibri"/>
        <family val="2"/>
        <scheme val="minor"/>
      </rPr>
      <t>→</t>
    </r>
    <r>
      <rPr>
        <b/>
        <sz val="14"/>
        <color theme="0" tint="-0.499984740745262"/>
        <rFont val="Calibri"/>
        <family val="2"/>
        <scheme val="minor"/>
      </rPr>
      <t xml:space="preserve"> Distribuir os valores calculados no Bloco 1 entre os Blocos 2, 3, 4 e 5, conforme os meses em que ocorrerão as despesas.</t>
    </r>
  </si>
  <si>
    <r>
      <rPr>
        <b/>
        <sz val="14"/>
        <color rgb="FFFF0000"/>
        <rFont val="Calibri"/>
        <family val="2"/>
        <scheme val="minor"/>
      </rPr>
      <t>**</t>
    </r>
    <r>
      <rPr>
        <b/>
        <sz val="14"/>
        <color theme="0" tint="-0.499984740745262"/>
        <rFont val="Calibri"/>
        <family val="2"/>
        <scheme val="minor"/>
      </rPr>
      <t xml:space="preserve"> Validar se a coluna AC está com o status ""VALORES OK"", caso contrário reavaliar a distribuição das despesas nos Blocos 2, 3, 4 e 5</t>
    </r>
  </si>
  <si>
    <r>
      <rPr>
        <b/>
        <sz val="14"/>
        <color rgb="FFFF0000"/>
        <rFont val="Calibri"/>
        <family val="2"/>
        <scheme val="minor"/>
      </rPr>
      <t>→</t>
    </r>
    <r>
      <rPr>
        <b/>
        <sz val="14"/>
        <color theme="0" tint="-0.499984740745262"/>
        <rFont val="Calibri"/>
        <family val="2"/>
        <scheme val="minor"/>
      </rPr>
      <t xml:space="preserve"> Para viagens internacionais, preencher todos os campos do Bloco 6</t>
    </r>
  </si>
  <si>
    <r>
      <rPr>
        <b/>
        <sz val="12"/>
        <color rgb="FFFF0000"/>
        <rFont val="Calibri"/>
        <family val="2"/>
        <scheme val="minor"/>
      </rPr>
      <t>→</t>
    </r>
    <r>
      <rPr>
        <b/>
        <sz val="12"/>
        <color theme="0" tint="-0.499984740745262"/>
        <rFont val="Calibri"/>
        <family val="2"/>
        <scheme val="minor"/>
      </rPr>
      <t xml:space="preserve"> Preencher todas as células cinzas </t>
    </r>
  </si>
  <si>
    <r>
      <rPr>
        <b/>
        <sz val="12"/>
        <color rgb="FFFF0000"/>
        <rFont val="Calibri"/>
        <family val="2"/>
        <scheme val="minor"/>
      </rPr>
      <t>→</t>
    </r>
    <r>
      <rPr>
        <b/>
        <sz val="12"/>
        <color theme="0" tint="-0.499984740745262"/>
        <rFont val="Calibri"/>
        <family val="2"/>
        <scheme val="minor"/>
      </rPr>
      <t xml:space="preserve"> Copiar valores mensais (célula VERDE) e colar na aba "ORÇAMENTO 2026"</t>
    </r>
  </si>
  <si>
    <t>Abrir o orçamento por cada peça enviada e qual é meio envio (transportadoras ou correios)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</si>
  <si>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</si>
  <si>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</si>
  <si>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</si>
  <si>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</si>
  <si>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</si>
  <si>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</si>
  <si>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</si>
  <si>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</si>
  <si>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</si>
  <si>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</si>
  <si>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</si>
  <si>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</si>
  <si>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INFORMAR O VALOR MÉDIO DE ENVIO POR CORREIOS (CADA PEÇA)</t>
  </si>
  <si>
    <t>INFORMAR O VALOR MÉDIO DE ENVIO POR TRANSPORTADORA (CADA PEÇA)</t>
  </si>
  <si>
    <t>Orçamento mensal</t>
  </si>
  <si>
    <t>Preenchimento da área</t>
  </si>
  <si>
    <t>GRUPO</t>
  </si>
  <si>
    <t>QTDA</t>
  </si>
  <si>
    <t xml:space="preserve">PREÇO MÉDIO </t>
  </si>
  <si>
    <t>ORÇAMENTO</t>
  </si>
  <si>
    <t>ADAPTADOR</t>
  </si>
  <si>
    <t>AMOSTRA</t>
  </si>
  <si>
    <t>APLICADOR</t>
  </si>
  <si>
    <t>ARR</t>
  </si>
  <si>
    <t>BASE</t>
  </si>
  <si>
    <t>BATERIA</t>
  </si>
  <si>
    <t>BIELA</t>
  </si>
  <si>
    <t>BOBINA</t>
  </si>
  <si>
    <t>BOMBONA</t>
  </si>
  <si>
    <t>CAIXA</t>
  </si>
  <si>
    <t>CALCO</t>
  </si>
  <si>
    <t>CALÇO</t>
  </si>
  <si>
    <t>CANETA</t>
  </si>
  <si>
    <t>CARTUCHO</t>
  </si>
  <si>
    <t>CLICHE</t>
  </si>
  <si>
    <t>CONTRAPESO</t>
  </si>
  <si>
    <t>DISCO</t>
  </si>
  <si>
    <t>DIVISORIA</t>
  </si>
  <si>
    <t>DIVISORIAS</t>
  </si>
  <si>
    <t>EIXO</t>
  </si>
  <si>
    <t>EMBALAGEM</t>
  </si>
  <si>
    <t>ETIQUETA</t>
  </si>
  <si>
    <t>EXTENSAO</t>
  </si>
  <si>
    <t>FITA</t>
  </si>
  <si>
    <t>FITILHO</t>
  </si>
  <si>
    <t>FLIP</t>
  </si>
  <si>
    <t>FOLHETO</t>
  </si>
  <si>
    <t>FUSIVEL</t>
  </si>
  <si>
    <t>GRADE</t>
  </si>
  <si>
    <t>JOGO</t>
  </si>
  <si>
    <t>KIT</t>
  </si>
  <si>
    <t>LAMINA</t>
  </si>
  <si>
    <t>LIMPA</t>
  </si>
  <si>
    <t>MANUAL</t>
  </si>
  <si>
    <t>MAQUINA</t>
  </si>
  <si>
    <t>MICROFILME</t>
  </si>
  <si>
    <t>MIDIA</t>
  </si>
  <si>
    <t>MOLDURA</t>
  </si>
  <si>
    <t>MOTHERBOARD</t>
  </si>
  <si>
    <t>MOTOR</t>
  </si>
  <si>
    <t>OLEO</t>
  </si>
  <si>
    <t>PALLET</t>
  </si>
  <si>
    <t>PANO</t>
  </si>
  <si>
    <t>PARAFUSADEIRA</t>
  </si>
  <si>
    <t>PASTA</t>
  </si>
  <si>
    <t>PF</t>
  </si>
  <si>
    <t>PILHA</t>
  </si>
  <si>
    <t>PLASTICO</t>
  </si>
  <si>
    <t>POM</t>
  </si>
  <si>
    <t>PP</t>
  </si>
  <si>
    <t>RESIST</t>
  </si>
  <si>
    <t>RIBBON</t>
  </si>
  <si>
    <t>SACO</t>
  </si>
  <si>
    <t>SELO</t>
  </si>
  <si>
    <t>SUPORTE</t>
  </si>
  <si>
    <t>SV</t>
  </si>
  <si>
    <t>TABULEIROS</t>
  </si>
  <si>
    <t>TAMPA</t>
  </si>
  <si>
    <t>TONER</t>
  </si>
  <si>
    <t>Validem se grupo associado está correto ao item Item</t>
  </si>
  <si>
    <t>Item</t>
  </si>
  <si>
    <t>Descrição Item</t>
  </si>
  <si>
    <t>Grupo</t>
  </si>
  <si>
    <t>750109N</t>
  </si>
  <si>
    <t>CAIXA UNIT BODY GROOM AQUA</t>
  </si>
  <si>
    <t>760852N</t>
  </si>
  <si>
    <t>CAIXA EMBAL UNIT PAP OND CAF DUO COFFEE AM 127V</t>
  </si>
  <si>
    <t>757742N</t>
  </si>
  <si>
    <t>CAIXA EMBAL UNIT PAP OND CAF CP14 127V</t>
  </si>
  <si>
    <t>CAIXA PAPELAO ONDULADO 02</t>
  </si>
  <si>
    <t>CAIXA 7</t>
  </si>
  <si>
    <t>saco plastico 20x30</t>
  </si>
  <si>
    <t>CAIXA PAPELAO ONDULADO DISPLAY 32</t>
  </si>
  <si>
    <t>CALÇO DE ISOPOR 18.5 CM - RECORTADO</t>
  </si>
  <si>
    <t>Caixa Display 51</t>
  </si>
  <si>
    <t>DIVISORIAS DE PAPELAO</t>
  </si>
  <si>
    <t>ETIQUETA DE PAPEL S/IMPRESSAO 90X50 - COM 750UN PARA IMPRESS</t>
  </si>
  <si>
    <t>CALÇO DE ISOPOR 12.5 CM - RECORTADO</t>
  </si>
  <si>
    <t>BOBINA DE FILME POLIETILENO 33 MICRAS</t>
  </si>
  <si>
    <t>ETIQUETA CORREIO 104X145 BRANCA</t>
  </si>
  <si>
    <t>PALLET 2580x950mm</t>
  </si>
  <si>
    <t>CAIXA PAP 04</t>
  </si>
  <si>
    <t>BOBINA PLASTICO BOLHA</t>
  </si>
  <si>
    <t>GRADE FRONTAL VENT TURBO SILENCE 40 GRAV</t>
  </si>
  <si>
    <t>CAIXA DE PAP ONDULADO 4.1</t>
  </si>
  <si>
    <t>CAIXA SALDO BAHIA MICROSYSTEM PEQUENO</t>
  </si>
  <si>
    <t>CAIXA SALDO BAHIA MICROSYSTEM GRANDE</t>
  </si>
  <si>
    <t>CAIXA SALDO BAHIA DVD</t>
  </si>
  <si>
    <t>CAIXA SALDO BAHIA AUTO RADIO</t>
  </si>
  <si>
    <t>713823N</t>
  </si>
  <si>
    <t>CAIXA EMBAL SALDO PAP OND  BAHIA AUTO RADIO</t>
  </si>
  <si>
    <t>CAIXA PAP 05</t>
  </si>
  <si>
    <t>CAIXA DE PAP ONDULADO 03</t>
  </si>
  <si>
    <t>CAIXA DE PAP ONDULADO 03.1</t>
  </si>
  <si>
    <t>CAIXA PAPELAO OND 4</t>
  </si>
  <si>
    <t>CAIXA DE PAP ONDULADO 5.1</t>
  </si>
  <si>
    <t>CAIXA PAPELAO OND 10</t>
  </si>
  <si>
    <t>CAIXA DE PAPELAO PARA PICKING - PEQUENA</t>
  </si>
  <si>
    <t>762054N</t>
  </si>
  <si>
    <t>BOBINA PICOTADA BIO PRIME 35x45x0.018cm</t>
  </si>
  <si>
    <t>762331N</t>
  </si>
  <si>
    <t>BOBINA PICOTADA BIO PRIME 2 35x45x0.018cm</t>
  </si>
  <si>
    <t>ETIQUETA DE PAPEL IMPRESSA</t>
  </si>
  <si>
    <t>saco platicos 12x20</t>
  </si>
  <si>
    <t>CAIXA PAP P/ MOTOR</t>
  </si>
  <si>
    <t>caixa display 55</t>
  </si>
  <si>
    <t>CAIXA DE PAP ONDULADO 5</t>
  </si>
  <si>
    <t>CAIXA PAP ONDULADO 10.2</t>
  </si>
  <si>
    <t>CAIXA PAPELAO ONDULADO 10.3</t>
  </si>
  <si>
    <t>CAIXA DE PAP ONDULADO 10.1</t>
  </si>
  <si>
    <t>saco plastico 70x70</t>
  </si>
  <si>
    <t>CAIXA MASTER ACUSTICA PHT510</t>
  </si>
  <si>
    <t>782213N</t>
  </si>
  <si>
    <t>CAIXA EMBAL UNIT 220V PAP OND UNID INT PH9000QFM</t>
  </si>
  <si>
    <t>CAIXA MASTER KIT HERMES 3</t>
  </si>
  <si>
    <t>776874N</t>
  </si>
  <si>
    <t>CAIXA EMBAL COLET 127V PAP OND CAF CP30 INOX</t>
  </si>
  <si>
    <t>CAIXA PAP OND 1 AQ AB1000 127V</t>
  </si>
  <si>
    <t>ETIQ   COLOR CERTIF.  SGS  CAIXA  - 50 X 22.6MM</t>
  </si>
  <si>
    <t>CAIXA PAP 1 AQ AB1000 220V</t>
  </si>
  <si>
    <t>CAIXA UNIT PAP OND VENT COL MT 40 DESM. (467*472*255)</t>
  </si>
  <si>
    <t>CAIXA MASTER PAP OND  EF BELLAGIO MAXX UNIF 220V</t>
  </si>
  <si>
    <t>CAIXA MASTER PAP OND BAT PARIS INOX UNIF 127V 556*677*310</t>
  </si>
  <si>
    <t>CAIXA  MASTER PAP OND LQ PH900 UNIF 127V 520*463*338</t>
  </si>
  <si>
    <t>CAIXA MASTER PAP OND UNIF LQ CRISTAL 700 220V</t>
  </si>
  <si>
    <t>CAIXA MASTER PAP OND BAT PEROLA  UNIF 220V 432*443*317</t>
  </si>
  <si>
    <t>CAIXA MASTER PAP OND BAT PARIS INOX UNIF 220V 556*677*310</t>
  </si>
  <si>
    <t>718414N</t>
  </si>
  <si>
    <t>PLASTICO BOLHA 1X100MX30Pol VIRGEM CORTADO 0.5CM</t>
  </si>
  <si>
    <t>711571N</t>
  </si>
  <si>
    <t>CAIXA EMBAL PAP OND + CALCO MICRO SYSTEM MSP311</t>
  </si>
  <si>
    <t>713247N</t>
  </si>
  <si>
    <t>CAIXA UNIT PAP OND BC TEST LINE 328x324x335mm</t>
  </si>
  <si>
    <t>782183N</t>
  </si>
  <si>
    <t>CAIXA EMBAL ACESSORIO PAP OND NECTAR TURBO 110W</t>
  </si>
  <si>
    <t>750968N</t>
  </si>
  <si>
    <t>CAIXA EMBAL PAP OND + CALCO BAHIA PH1100</t>
  </si>
  <si>
    <t>788204N</t>
  </si>
  <si>
    <t>EMBALAGEM ACESSORIO TV PH58E38DSG</t>
  </si>
  <si>
    <t>782201N</t>
  </si>
  <si>
    <t>CAIXA EMBAL ACESSORIO PAP OND CLIMATIZADOR 3 EM 1</t>
  </si>
  <si>
    <t>785408N</t>
  </si>
  <si>
    <t>CAIXA EMBAL ACESSORIO PAP OND AQUECEDOR FAMA</t>
  </si>
  <si>
    <t>718865N</t>
  </si>
  <si>
    <t>CAIXA EMBAL UNIT PAP OND TV PH32E20DSGWA</t>
  </si>
  <si>
    <t>713386N</t>
  </si>
  <si>
    <t>CAIXA UNIT PAP OND HOME THEATER FAMA 260</t>
  </si>
  <si>
    <t>707291N</t>
  </si>
  <si>
    <t>CAIXA EMBAL UNIT PAP OND RADIO RELOGIO PH75</t>
  </si>
  <si>
    <t>716238N</t>
  </si>
  <si>
    <t>CAIXA EMBAL UNIT PAP OND RADIO RELOGIO BS68</t>
  </si>
  <si>
    <t>707018N</t>
  </si>
  <si>
    <t>CAIXA EMBAL UNIT PAP OND AUDIO PH60 (NAC)</t>
  </si>
  <si>
    <t>782447N</t>
  </si>
  <si>
    <t>CAIXA EMBAL COLET PAP OND 127V ASP PO DUST OFF N</t>
  </si>
  <si>
    <t>714871N</t>
  </si>
  <si>
    <t>CALCO PAPELAO SALDO CB TV 19</t>
  </si>
  <si>
    <t>775723N</t>
  </si>
  <si>
    <t>CAIXA MASTER 127V PAP OND SEC CABELOS SP3300V</t>
  </si>
  <si>
    <t>755864N</t>
  </si>
  <si>
    <t>ETIQ ADES COUCHE 1.7x1cm AMERELO</t>
  </si>
  <si>
    <t>EMBALAGEM ACESSORIO RADIO RELOGIO</t>
  </si>
  <si>
    <t>777415N</t>
  </si>
  <si>
    <t>CAIXA UNIT 127V PAP OND MICROONDAS PME22 BR</t>
  </si>
  <si>
    <t>789781N</t>
  </si>
  <si>
    <t>CAIXA UNIT PAP OND FACI 1400 127V</t>
  </si>
  <si>
    <t>ETIQUETA ADESIVA SEM IMPRESSAO 90X50</t>
  </si>
  <si>
    <t>fita de arquear</t>
  </si>
  <si>
    <t>CAIXA DE PAP ONDULADO 1 (162x115x28)</t>
  </si>
  <si>
    <t>ETIQ  ENCE BRANCA - 70 X 97MM</t>
  </si>
  <si>
    <t>CAIXA EMBAL COLET PAP OND FE FB195A 220V</t>
  </si>
  <si>
    <t>FITA DE POLIAMIDA TIPO KAPTON 25MMX33M ESD</t>
  </si>
  <si>
    <t>FITILHO (PECA)</t>
  </si>
  <si>
    <t>EIXO DO TIMAO</t>
  </si>
  <si>
    <t>LIMPA CONTATO</t>
  </si>
  <si>
    <t>718367N</t>
  </si>
  <si>
    <t>CAIXA EMBAL UNIT PAP OND PH32E31DG LED</t>
  </si>
  <si>
    <t>719973N</t>
  </si>
  <si>
    <t>CAIXA EMBAL UNIT PAP OND TV PTV24N92D LED</t>
  </si>
  <si>
    <t>716342N</t>
  </si>
  <si>
    <t>CAIXA EMBAL PAP OND TV PH28T35DG</t>
  </si>
  <si>
    <t>716762N</t>
  </si>
  <si>
    <t>CAIXA EMBAL PAP OND TV PH29E52DG (NAC)</t>
  </si>
  <si>
    <t>718394N</t>
  </si>
  <si>
    <t>CAIXA UNIT PAP OND TV PH16D10D</t>
  </si>
  <si>
    <t>718593N</t>
  </si>
  <si>
    <t>CAIXA EMBAL UNIT  BIV PAP OND TVPH24E30D LED</t>
  </si>
  <si>
    <t>718815N</t>
  </si>
  <si>
    <t>CAIXA EMBAL UNIT PAP OND TV LCD PH40E20DSGWA</t>
  </si>
  <si>
    <t>718867N</t>
  </si>
  <si>
    <t>CAIXA EMBAL UNIT PAP OND TV PH24N91D LED</t>
  </si>
  <si>
    <t>718971N</t>
  </si>
  <si>
    <t>CAIXA EMBAL UNIT PAP OND TV LCD PH28N91D</t>
  </si>
  <si>
    <t>719030N</t>
  </si>
  <si>
    <t>CAIXA EMBAL UNIT PAP OND TV LCD PH28N91DSGW</t>
  </si>
  <si>
    <t>719032N</t>
  </si>
  <si>
    <t>CAIXA EMBAL UNIT PAP OND TV LCD PH32B51DSGWA</t>
  </si>
  <si>
    <t>719216N</t>
  </si>
  <si>
    <t>CAIXA EMBAL UNIT PAP OND TV LCD PH32B51DG</t>
  </si>
  <si>
    <t>MOLDURA RJ45</t>
  </si>
  <si>
    <t>MAQUINA PARA FABRICAÇAO DE ALMOFADA DE AR</t>
  </si>
  <si>
    <t>saco platicos 35x45</t>
  </si>
  <si>
    <t>CAIXA EMBAL UNIT PAP OND 220V MULTIPRO ALL IN ONE 2 PR</t>
  </si>
  <si>
    <t>CAIXA MASTER 127V PAP OND MULTIPRO ALL IN ONE 2 PR</t>
  </si>
  <si>
    <t>CAIXA EMBAL UNIT PAP OND C50 TURBO OSCILLATION 220V</t>
  </si>
  <si>
    <t>JOGO CHAVE ALLEN</t>
  </si>
  <si>
    <t>DIVISORIA DE PAPELAO</t>
  </si>
  <si>
    <t>APLICADOR DE FITA</t>
  </si>
  <si>
    <t>PASTA PARA SUPORTE  DE PAREDE</t>
  </si>
  <si>
    <t>Embalagem de isopor para copo de liquidificador</t>
  </si>
  <si>
    <t>ETIQ  CERTIFICACAO  SGS PRODUTO - 20 X 15.7MM</t>
  </si>
  <si>
    <t>FOLHETO  INSTR UNIF VENT MT 30/40 SIX DESM (1407 REV.5)</t>
  </si>
  <si>
    <t>Motor Universal 7426A-L-CZ 700W 127V KW</t>
  </si>
  <si>
    <t>CX MASTER PAP OND BAT BELLAGIO UNIF 127V 478*510*330 1618 R3</t>
  </si>
  <si>
    <t>Motor Universal 7426A-L-CZ 700W 220V KW</t>
  </si>
  <si>
    <t>CX UNIT PAP OND LQ PH800 246*310*198</t>
  </si>
  <si>
    <t>CAIXA MASTER PAP OND EF BELLAGIO MAXX VM  127V</t>
  </si>
  <si>
    <t>ETIQ 60 X 80 COD BARRAS VM COUCHE ADES/PERM. 30G BORRACHA</t>
  </si>
  <si>
    <t>CAIXA MASTER PAP OND UNIF LQ PH1400 220V</t>
  </si>
  <si>
    <t>CAIXA MASTER PAP OND MULTI PLUS 2 127V 304*480*370</t>
  </si>
  <si>
    <t>CX MASTER LQ DIAMANTE BLACK FILTER - CL II 127V 495*565*306</t>
  </si>
  <si>
    <t>CAIXA MASTER PAP OND BAT PARIS INOX BR 127V 556*677*310</t>
  </si>
  <si>
    <t>ETIQUETA VERM 59mm BR</t>
  </si>
  <si>
    <t>CX UNIT PAP OND MULTIPRO ALL IN ONE PR + CITRUS 301*362*232</t>
  </si>
  <si>
    <t>CX MASTER PAP OND UNIF LQ PH800 220V 504 X 606 X 314</t>
  </si>
  <si>
    <t>CAIXA UNIT PAP OND VENTUS 40 SIX REV0</t>
  </si>
  <si>
    <t>FITA ADESIVA TRANSP 48MM X100M</t>
  </si>
  <si>
    <t>CAIXA UNIT VENT VENTUS 40 (450*530*176)</t>
  </si>
  <si>
    <t>ETIQUETA RED 59mm PAN 716C PH</t>
  </si>
  <si>
    <t>786160N</t>
  </si>
  <si>
    <t>ETIQ AMARELA 100x75mm NACIONAL</t>
  </si>
  <si>
    <t>ETIQUETA 90x90mm PAN CYANC BR</t>
  </si>
  <si>
    <t>ETIQUETA 90x90mm PAN 428C BR</t>
  </si>
  <si>
    <t>785373N</t>
  </si>
  <si>
    <t>ETIQ GANHE MINI PRANCHA E PENTE</t>
  </si>
  <si>
    <t>785369N</t>
  </si>
  <si>
    <t>ETIQ GANHE PINCA LED</t>
  </si>
  <si>
    <t>785372N</t>
  </si>
  <si>
    <t>ETIQ GANHE PENTE ANTIESTATICO</t>
  </si>
  <si>
    <t>ETIQUETA 59mm PAN 429C BR</t>
  </si>
  <si>
    <t>778586N</t>
  </si>
  <si>
    <t>ETIQ GANHE PAPA BOLINHAS</t>
  </si>
  <si>
    <t>786159N</t>
  </si>
  <si>
    <t>ETIQ VERMELHA 100x75mm NACIONAL</t>
  </si>
  <si>
    <t>ETIQUETA RED 160X160mm PAN 716C BR</t>
  </si>
  <si>
    <t>TABULEIROS KIT SAND/ CAF</t>
  </si>
  <si>
    <t>785370N</t>
  </si>
  <si>
    <t>ETIQ GANHE BOLSA PASSEIO</t>
  </si>
  <si>
    <t>785371N</t>
  </si>
  <si>
    <t>ETIQ GANHE MINI PRANCHA</t>
  </si>
  <si>
    <t>ETIQUETA RED 89mm PAN 716C PH</t>
  </si>
  <si>
    <t>784638N</t>
  </si>
  <si>
    <t>ETIQ PARDA ZEBRA 8.6x4.5cm</t>
  </si>
  <si>
    <t>ETIQUETA RED 90X90mm PAN 716C BR</t>
  </si>
  <si>
    <t>712796N</t>
  </si>
  <si>
    <t>MANUAL AUDIO PB126 BR</t>
  </si>
  <si>
    <t>LAMINA DE FATIAR ALL IN ONE XAPNG</t>
  </si>
  <si>
    <t>GRADE/BANDEJA MONTADO - Bebedouro Aqua Biv</t>
  </si>
  <si>
    <t>ETIQUETA 59mm PAN 428C BR</t>
  </si>
  <si>
    <t>785374N</t>
  </si>
  <si>
    <t>ETIQ ESPELHO DUPLA FACE</t>
  </si>
  <si>
    <t>RIBOM CERA 110X450</t>
  </si>
  <si>
    <t>RIBBON PRETO CERA 110MM X 74M</t>
  </si>
  <si>
    <t>BOBINA PICOTADA BIO 35X45</t>
  </si>
  <si>
    <t>BOBINA SACO PLASTICO BIO PICOTADO 35X45</t>
  </si>
  <si>
    <t>Etiqueta Ades. Impressa Couche 20x139mm</t>
  </si>
  <si>
    <t>BASE PH40U16DSG LED</t>
  </si>
  <si>
    <t>ETIQUETA ENCE 127V LAV ROUPA PHLR8</t>
  </si>
  <si>
    <t>FUSIV TERMICO 142C 10A250V</t>
  </si>
  <si>
    <t>FITA ADESIVA</t>
  </si>
  <si>
    <t>SELO INSPECAO FUNDO AMARELO ESCRITA PRETO</t>
  </si>
  <si>
    <t>CAIXA MASTER 220V GRILL SAND CROME 2P</t>
  </si>
  <si>
    <t>Caixa de papelao ondulado envoltoria para LED</t>
  </si>
  <si>
    <t>CAIXA DE PAP ONDULADO 1.1 (157x210x29)</t>
  </si>
  <si>
    <t>CAIXA PAP P/ FACA SAMURAI</t>
  </si>
  <si>
    <t>ETIQ 100 X 35 1 CARREIRA AMARELA</t>
  </si>
  <si>
    <t>ETIQ 100 X 35 1 CARREIRA VM</t>
  </si>
  <si>
    <t>AMOSTRA DE CHAVE</t>
  </si>
  <si>
    <t>CONTRAPESO VENT COLUNA 30</t>
  </si>
  <si>
    <t>Chave Eletronica 12 Velocidades 220V KAWO</t>
  </si>
  <si>
    <t>ARR VEDANTE CAF CB26</t>
  </si>
  <si>
    <t>KIT ACESSORIOS     ACAP ONIX</t>
  </si>
  <si>
    <t>MOTOR 127V 450W (KW7425M12-SN1)</t>
  </si>
  <si>
    <t>ETIQ TENS/N.SER 127V COLUNA 30 B</t>
  </si>
  <si>
    <t>PF CAB PAN 3,5 X 13 INOX</t>
  </si>
  <si>
    <t>MOTOR 127V 3V LQ DIAMANTE</t>
  </si>
  <si>
    <t>PP HOMO C/ 20%     TALCO</t>
  </si>
  <si>
    <t>BIELA VENT PROTECT TURBO 30</t>
  </si>
  <si>
    <t>BATERIA NB PHN14101</t>
  </si>
  <si>
    <t>DISCO RIGIDO - HD - 500GB (9.5mm)</t>
  </si>
  <si>
    <t>ADAPTADOR AC PHN14101</t>
  </si>
  <si>
    <t>MIDIA DVD RECOVERY LINUX M 14H</t>
  </si>
  <si>
    <t>MIDIA DVD RECOVERY LINUX M 14G</t>
  </si>
  <si>
    <t>MOTHERBOARD 15A-XXXXXX</t>
  </si>
  <si>
    <t>POM 90.04 NATURAL</t>
  </si>
  <si>
    <t>RESIST ESP 19INT X 45MM COMP 300W X 230V</t>
  </si>
  <si>
    <t>SV VCD RECOVERY LINUX PHN14F</t>
  </si>
  <si>
    <t>MIDIA DVD RECOVERY LINUX M 10D</t>
  </si>
  <si>
    <t>ADAPTADOR AC PHN10300</t>
  </si>
  <si>
    <t>DISCO RIGIDO - HD - 320GB (9,5mm)</t>
  </si>
  <si>
    <t>RESIST ESP 30 INT X 35 EXT 70MM COMP  850W X 220V   COM TERM</t>
  </si>
  <si>
    <t>DISCO RIGIDO - HD - 750GB</t>
  </si>
  <si>
    <t>SV VCD RECOVERY W7 HB 64b 15A-xx</t>
  </si>
  <si>
    <t>MIDIA DVD RECOVERY LINUX M 14M2</t>
  </si>
  <si>
    <t>SV VCD RECOVERY W7 ST 32b PHN14D</t>
  </si>
  <si>
    <t>758183N</t>
  </si>
  <si>
    <t>SUPORTE TREMPE RAPIDO ESMALTADA PRETA</t>
  </si>
  <si>
    <t>MIDIA DVD RECOVERY W8 SL 64b 14N-3D</t>
  </si>
  <si>
    <t>MIDIA DVD RECOVERY W8 SL 64b DTC</t>
  </si>
  <si>
    <t>MIDIA DVD RECOVERY W8 SL 64b 11B</t>
  </si>
  <si>
    <t>RESIST ESP DIAM 19INT X DIAM 24 EST X 115MM COMP 550W X 230V</t>
  </si>
  <si>
    <t>RESIST ESP DIAM 19INT X DIAM 24 EST X 90MM COMP 550W X 230V</t>
  </si>
  <si>
    <t>SV VCD RECOVERY W7 ST 32b 14H</t>
  </si>
  <si>
    <t>BASE VENT TURBO SILENCE 30/40</t>
  </si>
  <si>
    <t>RESIST ESPIRAL DIAM 21EXT X 16INTX 50MM COMP 250W X 230V</t>
  </si>
  <si>
    <t>MIDIA VIRGEM DVDs 4.7Gb</t>
  </si>
  <si>
    <t>MIDIA DVD RECOVERY LINUX M 14L</t>
  </si>
  <si>
    <t>MIDIA DVD RECOVERY W8.1 64b 14M2-3D</t>
  </si>
  <si>
    <t>OLEO HIDRAULICO    HLP ISO-VG 46</t>
  </si>
  <si>
    <t>MIDIA DVD RECOVERY W8 SL 14J</t>
  </si>
  <si>
    <t>719237N</t>
  </si>
  <si>
    <t>CAIXA EMBAL UNIT PAP OND TV LCD PH32E31DSGW</t>
  </si>
  <si>
    <t>719474N</t>
  </si>
  <si>
    <t>CAIXA EMBAL UNIT PAP OND TV LCD PH32C10DSGWA</t>
  </si>
  <si>
    <t>BATERIA LI-ION RECARRECAVEL 7.2 VOLTS 1.0 AH</t>
  </si>
  <si>
    <t>APLICADOR DE FILME STRECH</t>
  </si>
  <si>
    <t>CANETA AZUL BIC CRISTAL</t>
  </si>
  <si>
    <t>719747N</t>
  </si>
  <si>
    <t>CAIXA EMBAL UNIT PAP OND TV LCD PH40F10DSGWA</t>
  </si>
  <si>
    <t>719214N</t>
  </si>
  <si>
    <t>CAIXA EMBAL UNIT PAP OND TV LCD PH39U20DSGW</t>
  </si>
  <si>
    <t>719291N</t>
  </si>
  <si>
    <t>CAIXA EMBAL UNIT PAP OND TV LCD PH55E61DSGWA</t>
  </si>
  <si>
    <t>719173N</t>
  </si>
  <si>
    <t>CAIXA EMBAL UNIT PAP OND TV LCD PH39N86DSGW</t>
  </si>
  <si>
    <t>CALÇO DE EPS DISPLAY 14.5CM</t>
  </si>
  <si>
    <t>TAMPA TANQUE PLAST PRE CAF BCF18I</t>
  </si>
  <si>
    <t>CAIXA MALETA 01 FACA LIQUI</t>
  </si>
  <si>
    <t>BOMBONA PLASTICA 25/30 L</t>
  </si>
  <si>
    <t>721449N</t>
  </si>
  <si>
    <t>CALCO PROT PLAST BOLHAO TV PH28D27D</t>
  </si>
  <si>
    <t>PILHA ALCALINA PEQUENA AA - EMBALAGEM C/ 2</t>
  </si>
  <si>
    <t>PANO PAPEL WIPER WYPALL X-60 - PCT c/ 100 pçs</t>
  </si>
  <si>
    <t>EXTENSAO OPTICA  LC 2,5MT</t>
  </si>
  <si>
    <t>EXTENSAO SM - SC-UPC  FIBRA OTICA C/ CONECTAR</t>
  </si>
  <si>
    <t>FLIP CHART</t>
  </si>
  <si>
    <t>TONER CE323 MAGENTA</t>
  </si>
  <si>
    <t>TONER CE321 CIANO</t>
  </si>
  <si>
    <t>TONER CE320 PRETO</t>
  </si>
  <si>
    <t>CARTUCHO N60 PRETO</t>
  </si>
  <si>
    <t>TONER CE 505</t>
  </si>
  <si>
    <t>ETIQUETA DE PAPEL ADESIVA IMPRESSA</t>
  </si>
  <si>
    <t>ETIQUETA ADESIVA COUCHE 90X50MM  IMPRESSA AMARELA</t>
  </si>
  <si>
    <t>CAIXA PAP VENT MEGA TURBO 50 (520*500*245)</t>
  </si>
  <si>
    <t>766312N</t>
  </si>
  <si>
    <t>CAIXA SALDO UNIT PAP OND VENT VENTUS TURBO 30/40</t>
  </si>
  <si>
    <t>CAIXA UNIT 220V PAP OND PAN ARROZ PH5 VISOR GLASS</t>
  </si>
  <si>
    <t>CLICHE PARA EMBALAGEM DE PAPELAO</t>
  </si>
  <si>
    <t>CAIXA DISPLAY PAP OND (LCD) PH65 1535X180X920</t>
  </si>
  <si>
    <t>caixa display 58</t>
  </si>
  <si>
    <t>Caixa display 43</t>
  </si>
  <si>
    <t>RESIST 127V 800W CAF PH41</t>
  </si>
  <si>
    <t>RIBBON CERA 110X74 PARA IMPRESSORA BOLINHA</t>
  </si>
  <si>
    <t>Informar memória de cálculo para orçamento de 2026 (cenário "normal" e caso hajam saldos pendentes de baixa, já considerar em orçamento)</t>
  </si>
  <si>
    <t>ASSIST. TÉCNICA - LOGÍSTICA</t>
  </si>
  <si>
    <t>23210 - ASSISTÊNCIA TÉCNICA - LOGISTICA</t>
  </si>
  <si>
    <t>23200 - ASSISTÊNCIA TÉCNICA - GERENCIA LOGISTICA</t>
  </si>
  <si>
    <t>4300021 - ALUGUEIS DE MAQ. E EQUIP. INDLS.</t>
  </si>
  <si>
    <t>23221 - ASSISTÊNCIA TÉCNICA - LOGISTICA/DESMONTE</t>
  </si>
  <si>
    <t>4300134 - DESPESA COM PALETIZACAO</t>
  </si>
  <si>
    <t>Detalhar na aba "Detalhamento"</t>
  </si>
  <si>
    <t>ÁREA SEGREGADA</t>
  </si>
  <si>
    <t>Detalhar na aba "VIAGENS"</t>
  </si>
  <si>
    <t>Detalhar na aba "4300056 e 4300052 - FRETES"</t>
  </si>
  <si>
    <t>Detalhar na aba "4100002 - MATERIAL DE EMBALAGEM"</t>
  </si>
  <si>
    <t>Detalhar na aba "4300070 - REFUGO SUCATA"</t>
  </si>
  <si>
    <t>Detalhar na aba "4300081 - MANUT. E ALUGUEL DE S"</t>
  </si>
  <si>
    <r>
      <rPr>
        <b/>
        <sz val="16"/>
        <color rgb="FFFF0000"/>
        <rFont val="Calibri"/>
        <family val="2"/>
        <scheme val="minor"/>
      </rPr>
      <t>→</t>
    </r>
    <r>
      <rPr>
        <sz val="10"/>
        <color theme="1"/>
        <rFont val="Calibri"/>
        <family val="2"/>
        <scheme val="minor"/>
      </rPr>
      <t xml:space="preserve"> Preencha sua necessidade de orçamento na linha destacado na cor amarelo (conforme exemplo 1 abaixo)</t>
    </r>
  </si>
  <si>
    <r>
      <rPr>
        <b/>
        <sz val="14"/>
        <color rgb="FFFF0000"/>
        <rFont val="Calibri"/>
        <family val="2"/>
        <scheme val="minor"/>
      </rPr>
      <t>→</t>
    </r>
    <r>
      <rPr>
        <b/>
        <sz val="14"/>
        <color theme="0" tint="-0.499984740745262"/>
        <rFont val="Calibri"/>
        <family val="2"/>
        <scheme val="minor"/>
      </rPr>
      <t xml:space="preserve"> Copiar valores mensais (célula VERDE) e colar na aba "ORÇAMENTO 2026" em suas respectivas contas</t>
    </r>
  </si>
  <si>
    <t>843779-Toner CE280A</t>
  </si>
  <si>
    <t>849349-Toner W1330X</t>
  </si>
  <si>
    <t xml:space="preserve">852473-folha A4 </t>
  </si>
  <si>
    <t>809375- estilete largo</t>
  </si>
  <si>
    <t xml:space="preserve">852463-clips3/0 c/450 cx </t>
  </si>
  <si>
    <t>809440-lamina estilete c/10un cx</t>
  </si>
  <si>
    <t>809397-marca texto</t>
  </si>
  <si>
    <t>852459-caneta esterografica azul</t>
  </si>
  <si>
    <t xml:space="preserve">outros </t>
  </si>
  <si>
    <t>888385-CARTUCHO DE TONER AZUL</t>
  </si>
  <si>
    <t>888387-CARTUCHO DE TONER amarelo</t>
  </si>
  <si>
    <t>888386-CARTUCHO DE TONER Preto</t>
  </si>
  <si>
    <t>888384-CARTUCHO DE TONER Margenta</t>
  </si>
  <si>
    <t>Conserto e manutenção de  armários (chaveiro)</t>
  </si>
  <si>
    <t>868644- alcool isopropilico ( desmonte)</t>
  </si>
  <si>
    <t>849479- alcool etilico ( desmonte)</t>
  </si>
  <si>
    <t xml:space="preserve">840243-vassoura nylon </t>
  </si>
  <si>
    <t>849311-REFIL MOP ESFREGAO PO ACRILICO 60cm</t>
  </si>
  <si>
    <t>849646-Pa de lixo</t>
  </si>
  <si>
    <t>867860-Cabo p/ rodo mop esfregão Chapa de Aço Bettanin 1,3m com Rosca</t>
  </si>
  <si>
    <t>872058-Suporte para Mop esfregao  Pó Bettanin 1,20m</t>
  </si>
  <si>
    <t>849610-ALCOOL LIQUIDO 70% 1L</t>
  </si>
  <si>
    <t>camista gola polo ADM</t>
  </si>
  <si>
    <t>805003-CAFE A VACUO 500 GR</t>
  </si>
  <si>
    <t>851856-ACUCAR 1KG</t>
  </si>
  <si>
    <t>842013-FILTRO P/ CAFE GRANDE N 103</t>
  </si>
  <si>
    <t>869889-LEITOR CÓDIGO DE BARRAS S/FIO LBW-200</t>
  </si>
  <si>
    <t>Manutenção impressoras</t>
  </si>
  <si>
    <t>Manutenção coletores</t>
  </si>
  <si>
    <t>Software da Balança Recebimento BOX Vision</t>
  </si>
  <si>
    <t>Software da Balança Expedição  V2</t>
  </si>
  <si>
    <t>BOXCUBO LTDA Improdutivo</t>
  </si>
  <si>
    <t>878128-SERVICOS DE TRANSPORTE , Transfrencia de material entre CDS</t>
  </si>
  <si>
    <t>800208-Ribon Cera impressora Zebra</t>
  </si>
  <si>
    <t>809591-Ribon Impressora bolinha</t>
  </si>
  <si>
    <t>871753-LANTERNA TATICA POLICIAL LED X900 RECARREGAVEL ZOOM CBRN1065</t>
  </si>
  <si>
    <t>892780-CHAVE PONTA PHILIPS 1/8x3</t>
  </si>
  <si>
    <t>892779-CHAVE PONTA PHILIPS 1/4x5</t>
  </si>
  <si>
    <t>892778-JOGO CHAVE ALLEN 1/16 POL A 1/2 POL 12 PECAS</t>
  </si>
  <si>
    <t>892598-CHAVE PHILLIPS 3/16X4</t>
  </si>
  <si>
    <t>887614-MARTELO UNHA CABEÇA 25MM CABO EM MADEIRA</t>
  </si>
  <si>
    <t>873219-ALICATE DE CORTE DIAGONAL 6.5 POL</t>
  </si>
  <si>
    <t>863954-CHAVE DE FENDA 1/4 X 6</t>
  </si>
  <si>
    <t>863949-CHAVE DE FENDA 1/8 X 3</t>
  </si>
  <si>
    <t>863952-CHAVE DE FENDA 3/16 X 4</t>
  </si>
  <si>
    <t>Serviço de calibragem da balança REC</t>
  </si>
  <si>
    <t>Peças para manutenção equipamentos (empilhadeiras)</t>
  </si>
  <si>
    <t>4300146 - DESPESA COM TAXI E APLICATIVOS DE TRANSPORTE INTERNO</t>
  </si>
  <si>
    <t>805012 - GUARDANAPO</t>
  </si>
  <si>
    <t>Despesa com locomoção dos colaboradores entre unidades/ emergencias médicas/ treinamentos</t>
  </si>
  <si>
    <t>884034-FILTRO FIT 230 CANOVAS (filtro bebedouro industrial)</t>
  </si>
  <si>
    <t>Cabeça de impressão para impressoras</t>
  </si>
  <si>
    <t>Peças encontradas avariadas durante processo de separação, realizado preenchimento do formulario  CD-AT.FO.064  com ok da gestão, na sequencia realizado abertura do next , onde passa aprovação , depois de tudo ok feito descate fisico do material e na sequencia despesa na conta .</t>
  </si>
  <si>
    <t xml:space="preserve">Informar conceitos (o que é lançado, como é lançado, porque é lançado : </t>
  </si>
  <si>
    <t xml:space="preserve">RNCs -Peças de  não Conformidade </t>
  </si>
  <si>
    <t xml:space="preserve">O que é lançado nessa conta?  </t>
  </si>
  <si>
    <t>Qtd de RNC 827</t>
  </si>
  <si>
    <t>Qtd de peças:5205</t>
  </si>
  <si>
    <t xml:space="preserve"> Total valor : R$ 74.852</t>
  </si>
  <si>
    <t>878196-KIT TOGGLEBAR IMPRESSORA ZEBRA ZT230</t>
  </si>
  <si>
    <t xml:space="preserve">Café c/Coordenador p/Funcionários destaque do mês , Britaniou </t>
  </si>
  <si>
    <t xml:space="preserve">4 licenças power BI (Andre, Diogo,Jean Pitta , geral) </t>
  </si>
  <si>
    <t>845811-SSD KINGSTON A400 480GB - 500MB/S PARA LEITURA E 450MB/S</t>
  </si>
  <si>
    <t>856305-TINTA DEMARCACAO AMARELA 18L</t>
  </si>
  <si>
    <t>893263-TINTA 18 LITROS EPOXI BI COMPONENTE PARA PISO CINZA</t>
  </si>
  <si>
    <t xml:space="preserve">892777-	TINTA DEMARCAÇAO VIARIA BRANCO 18L
</t>
  </si>
  <si>
    <t>803204-SOLVENTE/THINNER 5 LITROS</t>
  </si>
  <si>
    <t>896302-ROLO P/PINTURA ANTI RESPINGOC/CABO 23CM</t>
  </si>
  <si>
    <t>896304- ESMALTE SINTÉTICO AMARELO SEGURANÇA 18L</t>
  </si>
  <si>
    <t>Com base em 2025 , média de valores 9k mês , para 2026 orçamento mensal de 8.5 k.</t>
  </si>
  <si>
    <t xml:space="preserve">Serviço cofecçaõ banners </t>
  </si>
  <si>
    <t>Manutenção escadas acesso banheiro masculino</t>
  </si>
  <si>
    <t xml:space="preserve">Serviço de confecção 3 bancadas giratorias p/ mesas de conferencia </t>
  </si>
  <si>
    <t xml:space="preserve">Serviço de manutenção rampas de acesso </t>
  </si>
  <si>
    <t xml:space="preserve">Serviço de manutenção setor desmonte </t>
  </si>
  <si>
    <t>Sucata 8,5 mensal</t>
  </si>
  <si>
    <t>Café de resultados colaboradores destaque do mês Britaniou. 3.600 + Café para administrativo.</t>
  </si>
  <si>
    <t>INFORMAR O TOTAL DE EXPEDIÇÃO (PEÇAS ENVIADAS TRANSPORTADORAS )</t>
  </si>
  <si>
    <t>INFORMAR O TOTAL DE EXPEDIÇÃO (PEÇAS ENVIADAS CORREIOS)</t>
  </si>
  <si>
    <t>Brindes para Funcionário destaque do mês Britaniou</t>
  </si>
  <si>
    <t>Aquisição de uniforme para equipe.</t>
  </si>
  <si>
    <t>Aquisição de SSD para computadores.</t>
  </si>
  <si>
    <t>Utilização de Uber para treinamento da CIPA, emergência médica, reuniões.</t>
  </si>
  <si>
    <t>Brinde para campanha de produtividade e presenteísmo da equipe.</t>
  </si>
  <si>
    <t>INFORMAR O TOTAL DE EXPEDIÇÃO (PEÇAS DISPLAY)</t>
  </si>
  <si>
    <t>INFORMAR O TOTAL DE EXPEDIÇÃO (PEÇAS ENVIADAS PRODUTO ACABADO)</t>
  </si>
  <si>
    <t>INFORMAR O VALOR MÉDIO DE ENVIO POR PRODUTO ACABADO (CADA PEÇA)</t>
  </si>
  <si>
    <t>INFORMAR O VALOR MÉDIO DE ENVIO DISPLAY (CADA PEÇA)</t>
  </si>
  <si>
    <t>INFORMAR O VALOR MÉDIO DE GASTO POR TRANSPORTADORA (TOTAL)</t>
  </si>
  <si>
    <t>INFORMAR O VALOR MÉDIO DE GASTO POR PRODUTO ACABADO (TOTAL)</t>
  </si>
  <si>
    <t>INFORMAR VALOR MÉDIO DE GASTO DE ENVIO DISPLAY (TOTAL)</t>
  </si>
  <si>
    <t>INFORMAR O VALOR MÉDIO DE GASTO POR CORREIOS (TOTAL)</t>
  </si>
  <si>
    <t>Teremos um aumento de 12% em 2026 no volumes de peças.</t>
  </si>
  <si>
    <t>Teremos um aumento de 12% nas peças + aumento de itens individuais como ribon de R$35 para R$37,8 e R$7,8 para R$8,00 unitario</t>
  </si>
  <si>
    <t>Orçamento transferido do varejo para manutenção de empilhadeira  9k/mês + 3 cabeças de impressora zebra  2.385</t>
  </si>
  <si>
    <t>Aumentamos 5K pois estão faltando insumos como folhas A4 em 2025 para impressão das NF's.</t>
  </si>
  <si>
    <t>Baners informativos de qualidade, manutençao escadas, docas de caminhão, bancadas de separação.</t>
  </si>
  <si>
    <t>Orçamento para manutenção de impressoras e coletores.</t>
  </si>
  <si>
    <t>Acrescimo das mensalidade das balanças de aferção 2x 590 x 12  e 4 licenças powe B.I.</t>
  </si>
  <si>
    <t>Orçamento para viagens profissionais.</t>
  </si>
  <si>
    <t>Autorizado +40k/mês para uso dos Correios Nordeste evitando barreira fiscal, estamos utilizando 22k</t>
  </si>
  <si>
    <t>Orçamento transferido do varejo ( 10 viagens/mês a 750,00 para trasnferencia de peças que chegam no container no B2)</t>
  </si>
  <si>
    <t>Orçado pintura do CD para 2026.</t>
  </si>
  <si>
    <t xml:space="preserve">Aumento 12% no volume de peças + 6% de reajuste anual das transportadoras. </t>
  </si>
  <si>
    <t>2 viagens mensais , para reuniões Curitiba e visita postos autorizados</t>
  </si>
  <si>
    <t xml:space="preserve">Outros  (descreva o detalhamento da despesa) </t>
  </si>
  <si>
    <t>Fazer o orçamento por grupo de itens. Como é definido a quantidade a ser comprada de cada item. Qual logica dessa definição? Seria com base o comprado em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</si>
</sst>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#;[Red]\(#,###\)"/>
    <numFmt numFmtId="165" formatCode="_(* #,##0.00_);_(* \(#,##0.00\);_(* &quot;-&quot;??_);_(@_)"/>
    <numFmt numFmtId="166" formatCode="_-* #,##0_-;\-* #,##0_-;_-* &quot;-&quot;??_-;_-@_-"/>
    <numFmt numFmtId="167" formatCode="_-* #,##0.000_-;\-* #,##0.000_-;_-* &quot;-&quot;??_-;_-@_-"/>
    <numFmt numFmtId="168" formatCode="_-&quot;R$&quot;* #,##0.00_-;\-&quot;R$&quot;* #,##0.00_-;_-&quot;R$&quot;* &quot;-&quot;??_-;_-@_-"/>
    <numFmt numFmtId="169" formatCode="_(&quot;R$&quot;* #,##0.00_);_(&quot;R$&quot;* \(#,##0.00\);_(&quot;R$&quot;* &quot;-&quot;??_);_(@_)"/>
    <numFmt numFmtId="170" formatCode="#,##0;\(#,##0\)"/>
    <numFmt numFmtId="171" formatCode="#,##0.0;\(#,##0.0\)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2"/>
      <color theme="0"/>
      <name val="Bahnschrift SemiBold Condensed"/>
      <family val="2"/>
    </font>
    <font>
      <sz val="9"/>
      <color theme="1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0" tint="-0.499984740745262"/>
      <name val="Bahnschrift SemiBold Condensed"/>
      <family val="2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sz val="9"/>
      <color theme="0"/>
      <name val="Calibri Light"/>
      <family val="2"/>
      <scheme val="major"/>
    </font>
    <font>
      <b/>
      <sz val="8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b/>
      <sz val="11"/>
      <color theme="8" tint="-0.499984740745262"/>
      <name val="Calibri Light"/>
      <family val="2"/>
      <scheme val="major"/>
    </font>
    <font>
      <sz val="10"/>
      <color theme="8" tint="-0.499984740745262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8" tint="-0.499984740745262"/>
      <name val="Calibri Light"/>
      <family val="2"/>
      <scheme val="major"/>
    </font>
    <font>
      <sz val="8"/>
      <color theme="1"/>
      <name val="Calibri"/>
      <family val="2"/>
      <scheme val="minor"/>
    </font>
    <font>
      <b/>
      <u/>
      <sz val="14"/>
      <color rgb="FFFF0000"/>
      <name val="Bahnschrift SemiBold Condensed"/>
      <family val="2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</font>
    <font>
      <b/>
      <sz val="12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4"/>
      <color theme="0" tint="-0.499984740745262"/>
      <name val="Bahnschrift SemiBold Condensed"/>
      <family val="2"/>
    </font>
    <font>
      <sz val="9"/>
      <color theme="0"/>
      <name val="Calibri"/>
      <family val="2"/>
      <scheme val="minor"/>
    </font>
    <font>
      <sz val="18"/>
      <color theme="0"/>
      <name val="Bahnschrift SemiBold Condensed"/>
      <family val="2"/>
    </font>
    <font>
      <b/>
      <sz val="16"/>
      <color theme="0" tint="-0.499984740745262"/>
      <name val="Bahnschrift SemiBold Condensed"/>
      <family val="2"/>
    </font>
    <font>
      <sz val="16"/>
      <color theme="1"/>
      <name val="Calibri Light"/>
      <family val="2"/>
      <scheme val="major"/>
    </font>
    <font>
      <b/>
      <sz val="14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0" tint="-0.499984740745262"/>
      <name val="Wingdings 2"/>
      <family val="1"/>
      <charset val="2"/>
    </font>
    <font>
      <b/>
      <sz val="14"/>
      <color theme="0" tint="-0.499984740745262"/>
      <name val="Calibri"/>
      <family val="1"/>
      <charset val="2"/>
      <scheme val="minor"/>
    </font>
    <font>
      <b/>
      <sz val="16"/>
      <color theme="0" tint="-0.499984740745262"/>
      <name val="Wingdings 2"/>
      <family val="1"/>
      <charset val="2"/>
    </font>
    <font>
      <b/>
      <sz val="12"/>
      <color rgb="FF002060"/>
      <name val="Calibri"/>
      <family val="2"/>
      <scheme val="minor"/>
    </font>
    <font>
      <b/>
      <sz val="9"/>
      <color theme="1"/>
      <name val="Calibri Light"/>
      <family val="2"/>
      <scheme val="major"/>
    </font>
    <font>
      <b/>
      <sz val="15"/>
      <color rgb="FFFF0000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8" tint="-0.499984740745262"/>
      <name val="Calibri Light"/>
      <family val="2"/>
      <scheme val="maj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9"/>
      <color theme="1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sz val="9"/>
      <color theme="0"/>
      <name val="Calibri Light"/>
      <family val="2"/>
      <scheme val="major"/>
    </font>
    <font>
      <b/>
      <sz val="9"/>
      <color theme="0"/>
      <name val="Calibri Light"/>
      <family val="2"/>
      <scheme val="major"/>
    </font>
  </fonts>
  <fills count="30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499984740745262"/>
        <bgColor theme="4" tint="0.79998168889431442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double">
        <color theme="0" tint="-0.14993743705557422"/>
      </top>
      <bottom style="double">
        <color theme="0" tint="-0.14996795556505021"/>
      </bottom>
      <diagonal/>
    </border>
    <border>
      <left/>
      <right/>
      <top/>
      <bottom style="double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 style="double">
        <color theme="4" tint="-0.499984740745262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6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9">
    <xf numFmtId="0" fontId="0" fillId="0" borderId="0" xfId="0"/>
    <xf numFmtId="0" fontId="4" fillId="2" borderId="3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2" fillId="0" borderId="0" xfId="0" applyFont="1"/>
    <xf numFmtId="0" fontId="5" fillId="0" borderId="0" xfId="0" applyFont="1"/>
    <xf numFmtId="0" fontId="6" fillId="0" borderId="2" xfId="0" applyFont="1" applyBorder="1"/>
    <xf numFmtId="0" fontId="5" fillId="0" borderId="2" xfId="0" applyFont="1" applyBorder="1"/>
    <xf numFmtId="0" fontId="3" fillId="3" borderId="6" xfId="0" applyFont="1" applyFill="1" applyBorder="1" applyAlignment="1">
      <alignment vertical="center"/>
    </xf>
    <xf numFmtId="0" fontId="3" fillId="3" borderId="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166" fontId="3" fillId="8" borderId="6" xfId="1" applyNumberFormat="1" applyFont="1" applyFill="1" applyBorder="1" applyAlignment="1">
      <alignment horizontal="center" vertical="center"/>
    </xf>
    <xf numFmtId="14" fontId="9" fillId="7" borderId="0" xfId="0" applyNumberFormat="1" applyFont="1" applyFill="1" applyAlignment="1">
      <alignment horizontal="center" vertical="center"/>
    </xf>
    <xf numFmtId="0" fontId="6" fillId="0" borderId="8" xfId="0" applyFont="1" applyBorder="1"/>
    <xf numFmtId="0" fontId="6" fillId="0" borderId="9" xfId="0" applyFont="1" applyBorder="1" applyAlignment="1">
      <alignment horizontal="center" vertical="center"/>
    </xf>
    <xf numFmtId="0" fontId="5" fillId="0" borderId="10" xfId="0" applyFont="1" applyBorder="1"/>
    <xf numFmtId="0" fontId="6" fillId="0" borderId="10" xfId="0" applyFont="1" applyBorder="1"/>
    <xf numFmtId="0" fontId="6" fillId="0" borderId="11" xfId="0" applyFont="1" applyBorder="1"/>
    <xf numFmtId="167" fontId="12" fillId="9" borderId="5" xfId="1" applyNumberFormat="1" applyFont="1" applyFill="1" applyBorder="1" applyAlignment="1">
      <alignment horizontal="centerContinuous" vertical="center"/>
    </xf>
    <xf numFmtId="0" fontId="12" fillId="9" borderId="5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" fillId="2" borderId="3" xfId="0" applyFont="1" applyFill="1" applyBorder="1" applyAlignment="1">
      <alignment vertical="center"/>
    </xf>
    <xf numFmtId="1" fontId="10" fillId="6" borderId="0" xfId="1" applyNumberFormat="1" applyFont="1" applyFill="1" applyAlignment="1">
      <alignment horizontal="center" vertical="center"/>
    </xf>
    <xf numFmtId="0" fontId="13" fillId="0" borderId="4" xfId="0" applyFont="1" applyBorder="1"/>
    <xf numFmtId="0" fontId="13" fillId="0" borderId="0" xfId="0" applyFont="1"/>
    <xf numFmtId="0" fontId="14" fillId="2" borderId="0" xfId="0" applyFont="1" applyFill="1" applyAlignment="1">
      <alignment horizontal="center" vertical="center" wrapText="1"/>
    </xf>
    <xf numFmtId="0" fontId="11" fillId="0" borderId="0" xfId="0" applyFont="1"/>
    <xf numFmtId="164" fontId="7" fillId="0" borderId="4" xfId="0" applyNumberFormat="1" applyFont="1" applyBorder="1" applyAlignment="1">
      <alignment vertical="top"/>
    </xf>
    <xf numFmtId="0" fontId="13" fillId="0" borderId="0" xfId="0" applyFont="1" applyAlignment="1">
      <alignment vertical="top" wrapText="1"/>
    </xf>
    <xf numFmtId="0" fontId="14" fillId="2" borderId="0" xfId="0" applyFont="1" applyFill="1" applyAlignment="1">
      <alignment horizontal="left" vertical="top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0" fontId="15" fillId="0" borderId="13" xfId="1" applyNumberFormat="1" applyFont="1" applyFill="1" applyBorder="1" applyAlignment="1">
      <alignment vertical="center"/>
    </xf>
    <xf numFmtId="38" fontId="5" fillId="0" borderId="2" xfId="0" applyNumberFormat="1" applyFont="1" applyBorder="1" applyAlignment="1">
      <alignment horizontal="right"/>
    </xf>
    <xf numFmtId="38" fontId="6" fillId="5" borderId="2" xfId="0" applyNumberFormat="1" applyFont="1" applyFill="1" applyBorder="1" applyAlignment="1">
      <alignment horizontal="right"/>
    </xf>
    <xf numFmtId="38" fontId="6" fillId="6" borderId="2" xfId="0" applyNumberFormat="1" applyFont="1" applyFill="1" applyBorder="1" applyAlignment="1">
      <alignment horizontal="right"/>
    </xf>
    <xf numFmtId="38" fontId="5" fillId="0" borderId="2" xfId="0" applyNumberFormat="1" applyFont="1" applyBorder="1" applyAlignment="1">
      <alignment horizontal="right" vertical="center"/>
    </xf>
    <xf numFmtId="38" fontId="5" fillId="0" borderId="10" xfId="0" applyNumberFormat="1" applyFont="1" applyBorder="1" applyAlignment="1">
      <alignment horizontal="right" vertical="center"/>
    </xf>
    <xf numFmtId="38" fontId="5" fillId="0" borderId="10" xfId="0" applyNumberFormat="1" applyFont="1" applyBorder="1" applyAlignment="1">
      <alignment horizontal="right"/>
    </xf>
    <xf numFmtId="38" fontId="6" fillId="5" borderId="10" xfId="0" applyNumberFormat="1" applyFont="1" applyFill="1" applyBorder="1" applyAlignment="1">
      <alignment horizontal="right"/>
    </xf>
    <xf numFmtId="38" fontId="6" fillId="6" borderId="10" xfId="0" applyNumberFormat="1" applyFont="1" applyFill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right"/>
    </xf>
    <xf numFmtId="0" fontId="2" fillId="4" borderId="0" xfId="0" applyFont="1" applyFill="1"/>
    <xf numFmtId="0" fontId="0" fillId="4" borderId="0" xfId="0" applyFill="1"/>
    <xf numFmtId="164" fontId="7" fillId="0" borderId="0" xfId="0" applyNumberFormat="1" applyFont="1" applyAlignment="1">
      <alignment vertical="top"/>
    </xf>
    <xf numFmtId="0" fontId="17" fillId="10" borderId="0" xfId="0" applyFont="1" applyFill="1"/>
    <xf numFmtId="0" fontId="0" fillId="0" borderId="0" xfId="0" applyAlignment="1">
      <alignment horizontal="centerContinuous" vertical="center"/>
    </xf>
    <xf numFmtId="170" fontId="15" fillId="11" borderId="13" xfId="1" applyNumberFormat="1" applyFont="1" applyFill="1" applyBorder="1" applyAlignment="1">
      <alignment vertical="center"/>
    </xf>
    <xf numFmtId="170" fontId="19" fillId="11" borderId="17" xfId="1" applyNumberFormat="1" applyFont="1" applyFill="1" applyBorder="1" applyAlignment="1">
      <alignment horizontal="justify" vertical="center" wrapText="1"/>
    </xf>
    <xf numFmtId="170" fontId="16" fillId="11" borderId="17" xfId="1" applyNumberFormat="1" applyFont="1" applyFill="1" applyBorder="1" applyAlignment="1">
      <alignment horizontal="justify" vertical="center" wrapText="1"/>
    </xf>
    <xf numFmtId="0" fontId="9" fillId="0" borderId="0" xfId="0" applyFont="1"/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vertical="center"/>
    </xf>
    <xf numFmtId="0" fontId="18" fillId="0" borderId="5" xfId="0" applyFont="1" applyBorder="1" applyAlignment="1">
      <alignment horizontal="centerContinuous" vertical="center"/>
    </xf>
    <xf numFmtId="0" fontId="0" fillId="0" borderId="5" xfId="0" applyBorder="1" applyAlignment="1">
      <alignment horizontal="centerContinuous" vertical="center"/>
    </xf>
    <xf numFmtId="164" fontId="7" fillId="0" borderId="0" xfId="0" applyNumberFormat="1" applyFont="1" applyAlignment="1">
      <alignment horizontal="center" vertical="top"/>
    </xf>
    <xf numFmtId="0" fontId="13" fillId="0" borderId="0" xfId="0" applyFont="1" applyAlignment="1">
      <alignment horizontal="center"/>
    </xf>
    <xf numFmtId="44" fontId="9" fillId="7" borderId="18" xfId="25" applyFont="1" applyFill="1" applyBorder="1" applyAlignment="1">
      <alignment vertical="center"/>
    </xf>
    <xf numFmtId="44" fontId="9" fillId="7" borderId="18" xfId="25" applyFont="1" applyFill="1" applyBorder="1"/>
    <xf numFmtId="0" fontId="17" fillId="10" borderId="5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8" fillId="14" borderId="5" xfId="0" applyFont="1" applyFill="1" applyBorder="1" applyAlignment="1">
      <alignment horizontal="centerContinuous" vertical="center"/>
    </xf>
    <xf numFmtId="0" fontId="18" fillId="15" borderId="20" xfId="0" applyFont="1" applyFill="1" applyBorder="1" applyAlignment="1">
      <alignment horizontal="centerContinuous" vertical="center"/>
    </xf>
    <xf numFmtId="0" fontId="18" fillId="15" borderId="21" xfId="0" applyFont="1" applyFill="1" applyBorder="1" applyAlignment="1">
      <alignment horizontal="centerContinuous" vertical="center"/>
    </xf>
    <xf numFmtId="0" fontId="18" fillId="15" borderId="22" xfId="0" applyFont="1" applyFill="1" applyBorder="1" applyAlignment="1">
      <alignment horizontal="centerContinuous" vertical="center"/>
    </xf>
    <xf numFmtId="0" fontId="18" fillId="16" borderId="5" xfId="0" applyFont="1" applyFill="1" applyBorder="1" applyAlignment="1">
      <alignment horizontal="centerContinuous" vertical="center"/>
    </xf>
    <xf numFmtId="0" fontId="22" fillId="14" borderId="5" xfId="0" applyFont="1" applyFill="1" applyBorder="1" applyAlignment="1">
      <alignment horizontal="center" vertical="center" wrapText="1"/>
    </xf>
    <xf numFmtId="0" fontId="22" fillId="15" borderId="5" xfId="0" applyFont="1" applyFill="1" applyBorder="1" applyAlignment="1">
      <alignment horizontal="center" vertical="center" wrapText="1"/>
    </xf>
    <xf numFmtId="0" fontId="25" fillId="13" borderId="0" xfId="0" applyFont="1" applyFill="1" applyAlignment="1">
      <alignment horizontal="center" vertical="center" wrapText="1"/>
    </xf>
    <xf numFmtId="0" fontId="9" fillId="0" borderId="5" xfId="0" applyFont="1" applyBorder="1"/>
    <xf numFmtId="0" fontId="9" fillId="0" borderId="0" xfId="0" applyFont="1" applyAlignment="1">
      <alignment horizontal="left"/>
    </xf>
    <xf numFmtId="44" fontId="26" fillId="0" borderId="5" xfId="25" applyFont="1" applyFill="1" applyBorder="1" applyAlignment="1">
      <alignment horizontal="left" vertical="center" wrapText="1"/>
    </xf>
    <xf numFmtId="0" fontId="25" fillId="17" borderId="5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" fontId="27" fillId="0" borderId="5" xfId="0" applyNumberFormat="1" applyFont="1" applyBorder="1" applyAlignment="1">
      <alignment horizontal="center"/>
    </xf>
    <xf numFmtId="164" fontId="21" fillId="0" borderId="0" xfId="0" applyNumberFormat="1" applyFont="1" applyAlignment="1">
      <alignment vertical="top"/>
    </xf>
    <xf numFmtId="0" fontId="18" fillId="18" borderId="5" xfId="0" applyFont="1" applyFill="1" applyBorder="1" applyAlignment="1">
      <alignment horizontal="centerContinuous" vertical="center"/>
    </xf>
    <xf numFmtId="0" fontId="0" fillId="18" borderId="5" xfId="0" applyFill="1" applyBorder="1" applyAlignment="1">
      <alignment horizontal="centerContinuous" vertical="center"/>
    </xf>
    <xf numFmtId="0" fontId="23" fillId="18" borderId="5" xfId="0" applyFont="1" applyFill="1" applyBorder="1" applyAlignment="1">
      <alignment horizontal="center" vertical="center" wrapText="1"/>
    </xf>
    <xf numFmtId="0" fontId="18" fillId="19" borderId="5" xfId="0" applyFont="1" applyFill="1" applyBorder="1" applyAlignment="1">
      <alignment horizontal="centerContinuous" vertical="center"/>
    </xf>
    <xf numFmtId="0" fontId="23" fillId="19" borderId="5" xfId="0" applyFont="1" applyFill="1" applyBorder="1" applyAlignment="1">
      <alignment horizontal="center" vertical="center" wrapText="1"/>
    </xf>
    <xf numFmtId="0" fontId="9" fillId="19" borderId="5" xfId="0" applyFont="1" applyFill="1" applyBorder="1" applyAlignment="1">
      <alignment horizontal="center" vertical="center" wrapText="1"/>
    </xf>
    <xf numFmtId="0" fontId="22" fillId="19" borderId="5" xfId="0" applyFont="1" applyFill="1" applyBorder="1" applyAlignment="1">
      <alignment horizontal="center" vertical="center" wrapText="1"/>
    </xf>
    <xf numFmtId="0" fontId="18" fillId="20" borderId="5" xfId="0" applyFont="1" applyFill="1" applyBorder="1" applyAlignment="1">
      <alignment horizontal="centerContinuous" vertical="center"/>
    </xf>
    <xf numFmtId="0" fontId="0" fillId="20" borderId="5" xfId="0" applyFill="1" applyBorder="1" applyAlignment="1">
      <alignment horizontal="centerContinuous" vertical="center"/>
    </xf>
    <xf numFmtId="0" fontId="23" fillId="20" borderId="5" xfId="0" applyFont="1" applyFill="1" applyBorder="1" applyAlignment="1">
      <alignment horizontal="center" vertical="center" wrapText="1"/>
    </xf>
    <xf numFmtId="0" fontId="22" fillId="20" borderId="5" xfId="0" applyFont="1" applyFill="1" applyBorder="1" applyAlignment="1">
      <alignment horizontal="center" vertical="center" wrapText="1"/>
    </xf>
    <xf numFmtId="0" fontId="22" fillId="18" borderId="5" xfId="0" applyFont="1" applyFill="1" applyBorder="1" applyAlignment="1">
      <alignment horizontal="center" vertical="center" wrapText="1"/>
    </xf>
    <xf numFmtId="0" fontId="22" fillId="16" borderId="5" xfId="0" applyFont="1" applyFill="1" applyBorder="1" applyAlignment="1">
      <alignment horizontal="center" vertical="center" wrapText="1"/>
    </xf>
    <xf numFmtId="0" fontId="22" fillId="12" borderId="5" xfId="0" applyFont="1" applyFill="1" applyBorder="1" applyAlignment="1">
      <alignment horizontal="center" vertical="center" wrapText="1"/>
    </xf>
    <xf numFmtId="0" fontId="0" fillId="16" borderId="5" xfId="0" applyFill="1" applyBorder="1" applyAlignment="1">
      <alignment vertical="center"/>
    </xf>
    <xf numFmtId="14" fontId="28" fillId="0" borderId="0" xfId="0" applyNumberFormat="1" applyFont="1" applyAlignment="1">
      <alignment horizontal="left"/>
    </xf>
    <xf numFmtId="44" fontId="9" fillId="0" borderId="0" xfId="25" applyFont="1"/>
    <xf numFmtId="44" fontId="9" fillId="0" borderId="5" xfId="25" applyFont="1" applyBorder="1"/>
    <xf numFmtId="44" fontId="9" fillId="0" borderId="0" xfId="0" applyNumberFormat="1" applyFont="1"/>
    <xf numFmtId="44" fontId="25" fillId="17" borderId="5" xfId="25" applyFont="1" applyFill="1" applyBorder="1" applyAlignment="1">
      <alignment horizontal="center" vertical="center" wrapText="1"/>
    </xf>
    <xf numFmtId="0" fontId="9" fillId="12" borderId="5" xfId="0" applyFont="1" applyFill="1" applyBorder="1"/>
    <xf numFmtId="44" fontId="9" fillId="12" borderId="5" xfId="25" applyFont="1" applyFill="1" applyBorder="1"/>
    <xf numFmtId="0" fontId="22" fillId="21" borderId="5" xfId="0" applyFont="1" applyFill="1" applyBorder="1" applyAlignment="1">
      <alignment horizontal="center" vertical="center" wrapText="1"/>
    </xf>
    <xf numFmtId="0" fontId="26" fillId="0" borderId="5" xfId="0" applyFont="1" applyBorder="1" applyAlignment="1">
      <alignment vertical="center" wrapText="1"/>
    </xf>
    <xf numFmtId="0" fontId="0" fillId="21" borderId="5" xfId="0" applyFill="1" applyBorder="1" applyAlignment="1">
      <alignment horizontal="centerContinuous" vertical="center"/>
    </xf>
    <xf numFmtId="0" fontId="18" fillId="21" borderId="5" xfId="0" applyFont="1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18" fillId="12" borderId="5" xfId="0" applyFont="1" applyFill="1" applyBorder="1" applyAlignment="1">
      <alignment horizontal="centerContinuous" vertical="center"/>
    </xf>
    <xf numFmtId="44" fontId="9" fillId="0" borderId="0" xfId="25" applyFont="1" applyFill="1" applyBorder="1" applyAlignment="1">
      <alignment vertical="center"/>
    </xf>
    <xf numFmtId="44" fontId="22" fillId="0" borderId="0" xfId="25" applyFont="1" applyFill="1" applyBorder="1" applyAlignment="1">
      <alignment vertical="center"/>
    </xf>
    <xf numFmtId="44" fontId="9" fillId="0" borderId="0" xfId="25" applyFont="1" applyFill="1" applyBorder="1"/>
    <xf numFmtId="0" fontId="0" fillId="12" borderId="0" xfId="0" applyFill="1"/>
    <xf numFmtId="0" fontId="22" fillId="12" borderId="7" xfId="0" applyFont="1" applyFill="1" applyBorder="1" applyAlignment="1">
      <alignment horizontal="center" vertical="center" wrapText="1"/>
    </xf>
    <xf numFmtId="0" fontId="17" fillId="10" borderId="7" xfId="0" applyFont="1" applyFill="1" applyBorder="1" applyAlignment="1">
      <alignment horizontal="center" vertical="center"/>
    </xf>
    <xf numFmtId="44" fontId="9" fillId="18" borderId="19" xfId="25" applyFont="1" applyFill="1" applyBorder="1" applyAlignment="1">
      <alignment vertical="center"/>
    </xf>
    <xf numFmtId="44" fontId="9" fillId="19" borderId="19" xfId="25" applyFont="1" applyFill="1" applyBorder="1" applyAlignment="1">
      <alignment horizontal="center" vertical="center"/>
    </xf>
    <xf numFmtId="44" fontId="9" fillId="20" borderId="19" xfId="25" applyFont="1" applyFill="1" applyBorder="1" applyAlignment="1">
      <alignment vertical="center"/>
    </xf>
    <xf numFmtId="44" fontId="9" fillId="0" borderId="19" xfId="25" applyFont="1" applyFill="1" applyBorder="1" applyAlignment="1">
      <alignment vertical="center"/>
    </xf>
    <xf numFmtId="44" fontId="9" fillId="0" borderId="18" xfId="25" applyFont="1" applyFill="1" applyBorder="1" applyAlignment="1">
      <alignment vertical="center"/>
    </xf>
    <xf numFmtId="44" fontId="9" fillId="21" borderId="19" xfId="25" applyFont="1" applyFill="1" applyBorder="1" applyAlignment="1">
      <alignment vertical="center"/>
    </xf>
    <xf numFmtId="44" fontId="9" fillId="16" borderId="19" xfId="25" applyFont="1" applyFill="1" applyBorder="1" applyAlignment="1">
      <alignment vertical="center"/>
    </xf>
    <xf numFmtId="0" fontId="22" fillId="22" borderId="5" xfId="0" applyFont="1" applyFill="1" applyBorder="1" applyAlignment="1">
      <alignment horizontal="center" vertical="center" wrapText="1"/>
    </xf>
    <xf numFmtId="44" fontId="9" fillId="22" borderId="19" xfId="25" applyFont="1" applyFill="1" applyBorder="1" applyAlignment="1">
      <alignment vertical="center"/>
    </xf>
    <xf numFmtId="0" fontId="22" fillId="12" borderId="0" xfId="0" applyFont="1" applyFill="1" applyAlignment="1">
      <alignment horizontal="center" vertical="center" wrapText="1"/>
    </xf>
    <xf numFmtId="44" fontId="9" fillId="0" borderId="18" xfId="25" applyFont="1" applyBorder="1" applyAlignment="1">
      <alignment horizontal="center"/>
    </xf>
    <xf numFmtId="44" fontId="9" fillId="0" borderId="18" xfId="25" applyFont="1" applyBorder="1"/>
    <xf numFmtId="0" fontId="29" fillId="12" borderId="0" xfId="0" applyFont="1" applyFill="1"/>
    <xf numFmtId="0" fontId="25" fillId="13" borderId="5" xfId="0" applyFont="1" applyFill="1" applyBorder="1" applyAlignment="1">
      <alignment horizontal="center" vertical="center" wrapText="1"/>
    </xf>
    <xf numFmtId="0" fontId="25" fillId="13" borderId="7" xfId="0" applyFont="1" applyFill="1" applyBorder="1" applyAlignment="1">
      <alignment horizontal="center" vertical="center" wrapText="1"/>
    </xf>
    <xf numFmtId="0" fontId="30" fillId="7" borderId="18" xfId="0" applyFont="1" applyFill="1" applyBorder="1" applyAlignment="1">
      <alignment horizontal="center" vertical="center" wrapText="1"/>
    </xf>
    <xf numFmtId="0" fontId="9" fillId="14" borderId="25" xfId="0" applyFont="1" applyFill="1" applyBorder="1" applyAlignment="1">
      <alignment horizontal="left" vertical="center"/>
    </xf>
    <xf numFmtId="164" fontId="31" fillId="0" borderId="0" xfId="0" applyNumberFormat="1" applyFont="1" applyAlignment="1">
      <alignment vertical="top"/>
    </xf>
    <xf numFmtId="164" fontId="31" fillId="0" borderId="0" xfId="0" applyNumberFormat="1" applyFont="1" applyAlignment="1">
      <alignment horizontal="center" vertical="top"/>
    </xf>
    <xf numFmtId="0" fontId="0" fillId="22" borderId="5" xfId="0" applyFill="1" applyBorder="1" applyAlignment="1">
      <alignment vertical="center"/>
    </xf>
    <xf numFmtId="164" fontId="33" fillId="17" borderId="0" xfId="0" applyNumberFormat="1" applyFont="1" applyFill="1" applyAlignment="1">
      <alignment vertical="center"/>
    </xf>
    <xf numFmtId="0" fontId="32" fillId="17" borderId="0" xfId="0" applyFont="1" applyFill="1" applyAlignment="1">
      <alignment vertical="center"/>
    </xf>
    <xf numFmtId="164" fontId="34" fillId="0" borderId="4" xfId="0" applyNumberFormat="1" applyFont="1" applyBorder="1" applyAlignment="1">
      <alignment vertical="top"/>
    </xf>
    <xf numFmtId="164" fontId="34" fillId="0" borderId="4" xfId="0" applyNumberFormat="1" applyFont="1" applyBorder="1" applyAlignment="1">
      <alignment horizontal="center" vertical="top"/>
    </xf>
    <xf numFmtId="0" fontId="35" fillId="0" borderId="4" xfId="0" applyFont="1" applyBorder="1" applyAlignment="1">
      <alignment horizontal="center"/>
    </xf>
    <xf numFmtId="0" fontId="35" fillId="0" borderId="4" xfId="0" applyFont="1" applyBorder="1"/>
    <xf numFmtId="0" fontId="35" fillId="0" borderId="0" xfId="0" applyFont="1"/>
    <xf numFmtId="164" fontId="33" fillId="17" borderId="0" xfId="0" applyNumberFormat="1" applyFont="1" applyFill="1" applyAlignment="1">
      <alignment horizontal="left" vertical="center"/>
    </xf>
    <xf numFmtId="0" fontId="0" fillId="17" borderId="0" xfId="0" applyFill="1" applyAlignment="1">
      <alignment horizontal="left" vertical="center"/>
    </xf>
    <xf numFmtId="38" fontId="0" fillId="0" borderId="0" xfId="0" applyNumberFormat="1"/>
    <xf numFmtId="38" fontId="5" fillId="0" borderId="27" xfId="0" applyNumberFormat="1" applyFont="1" applyBorder="1" applyAlignment="1">
      <alignment horizontal="right"/>
    </xf>
    <xf numFmtId="0" fontId="3" fillId="3" borderId="0" xfId="0" applyFont="1" applyFill="1" applyAlignment="1">
      <alignment horizontal="center" vertical="center"/>
    </xf>
    <xf numFmtId="166" fontId="3" fillId="8" borderId="0" xfId="1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38" fontId="6" fillId="6" borderId="27" xfId="0" applyNumberFormat="1" applyFont="1" applyFill="1" applyBorder="1" applyAlignment="1">
      <alignment horizontal="right"/>
    </xf>
    <xf numFmtId="0" fontId="0" fillId="4" borderId="28" xfId="0" applyFill="1" applyBorder="1"/>
    <xf numFmtId="0" fontId="0" fillId="0" borderId="29" xfId="0" applyBorder="1" applyAlignment="1">
      <alignment horizontal="center"/>
    </xf>
    <xf numFmtId="0" fontId="0" fillId="0" borderId="29" xfId="0" applyBorder="1"/>
    <xf numFmtId="0" fontId="0" fillId="0" borderId="26" xfId="0" applyBorder="1"/>
    <xf numFmtId="38" fontId="5" fillId="0" borderId="0" xfId="0" applyNumberFormat="1" applyFont="1"/>
    <xf numFmtId="38" fontId="6" fillId="0" borderId="0" xfId="0" applyNumberFormat="1" applyFont="1"/>
    <xf numFmtId="164" fontId="36" fillId="0" borderId="4" xfId="0" applyNumberFormat="1" applyFont="1" applyBorder="1" applyAlignment="1">
      <alignment vertical="center"/>
    </xf>
    <xf numFmtId="164" fontId="36" fillId="0" borderId="4" xfId="0" applyNumberFormat="1" applyFont="1" applyBorder="1" applyAlignment="1">
      <alignment vertical="center" wrapText="1"/>
    </xf>
    <xf numFmtId="0" fontId="37" fillId="0" borderId="14" xfId="0" applyFont="1" applyBorder="1" applyAlignment="1">
      <alignment vertical="center"/>
    </xf>
    <xf numFmtId="0" fontId="37" fillId="0" borderId="14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7" fillId="0" borderId="15" xfId="0" applyFont="1" applyBorder="1" applyAlignment="1">
      <alignment vertical="center" wrapText="1"/>
    </xf>
    <xf numFmtId="0" fontId="37" fillId="0" borderId="0" xfId="0" applyFont="1" applyAlignment="1">
      <alignment vertical="center" wrapText="1"/>
    </xf>
    <xf numFmtId="164" fontId="36" fillId="0" borderId="0" xfId="0" applyNumberFormat="1" applyFont="1" applyAlignment="1">
      <alignment vertical="center"/>
    </xf>
    <xf numFmtId="0" fontId="36" fillId="0" borderId="0" xfId="0" applyFont="1" applyAlignment="1">
      <alignment horizontal="right" vertical="top" indent="1"/>
    </xf>
    <xf numFmtId="0" fontId="4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7" fillId="0" borderId="0" xfId="0" applyFont="1" applyAlignment="1">
      <alignment horizontal="left" vertical="center" wrapText="1"/>
    </xf>
    <xf numFmtId="0" fontId="18" fillId="0" borderId="14" xfId="0" applyFont="1" applyBorder="1" applyAlignment="1">
      <alignment vertical="center"/>
    </xf>
    <xf numFmtId="0" fontId="0" fillId="0" borderId="14" xfId="0" applyBorder="1" applyAlignment="1">
      <alignment vertical="center" wrapText="1"/>
    </xf>
    <xf numFmtId="0" fontId="0" fillId="0" borderId="0" xfId="0" applyAlignment="1">
      <alignment horizontal="left" vertical="center" indent="1"/>
    </xf>
    <xf numFmtId="0" fontId="9" fillId="0" borderId="19" xfId="0" applyFont="1" applyBorder="1" applyAlignment="1">
      <alignment vertical="center"/>
    </xf>
    <xf numFmtId="0" fontId="9" fillId="0" borderId="19" xfId="0" applyFont="1" applyBorder="1" applyAlignment="1">
      <alignment vertical="center" wrapText="1"/>
    </xf>
    <xf numFmtId="0" fontId="9" fillId="0" borderId="19" xfId="0" applyFont="1" applyBorder="1" applyAlignment="1">
      <alignment horizontal="center" vertical="center"/>
    </xf>
    <xf numFmtId="1" fontId="9" fillId="0" borderId="19" xfId="0" applyNumberFormat="1" applyFont="1" applyBorder="1" applyAlignment="1">
      <alignment horizontal="center" vertical="center"/>
    </xf>
    <xf numFmtId="44" fontId="22" fillId="0" borderId="19" xfId="25" applyFont="1" applyFill="1" applyBorder="1" applyAlignment="1">
      <alignment vertical="center"/>
    </xf>
    <xf numFmtId="44" fontId="9" fillId="0" borderId="19" xfId="25" applyFont="1" applyFill="1" applyBorder="1" applyAlignment="1">
      <alignment horizontal="center" vertical="center"/>
    </xf>
    <xf numFmtId="0" fontId="9" fillId="0" borderId="18" xfId="0" applyFont="1" applyBorder="1"/>
    <xf numFmtId="0" fontId="9" fillId="0" borderId="18" xfId="0" applyFont="1" applyBorder="1" applyAlignment="1">
      <alignment horizontal="center"/>
    </xf>
    <xf numFmtId="1" fontId="9" fillId="0" borderId="18" xfId="0" applyNumberFormat="1" applyFont="1" applyBorder="1" applyAlignment="1">
      <alignment horizontal="center"/>
    </xf>
    <xf numFmtId="44" fontId="22" fillId="0" borderId="18" xfId="25" applyFont="1" applyFill="1" applyBorder="1" applyAlignment="1">
      <alignment vertical="center"/>
    </xf>
    <xf numFmtId="44" fontId="9" fillId="0" borderId="18" xfId="25" applyFont="1" applyFill="1" applyBorder="1"/>
    <xf numFmtId="0" fontId="46" fillId="0" borderId="0" xfId="0" applyFont="1" applyAlignment="1">
      <alignment horizontal="left" vertical="center"/>
    </xf>
    <xf numFmtId="0" fontId="39" fillId="0" borderId="0" xfId="0" applyFont="1" applyAlignment="1">
      <alignment horizontal="right" vertical="center" indent="1"/>
    </xf>
    <xf numFmtId="164" fontId="44" fillId="0" borderId="0" xfId="0" applyNumberFormat="1" applyFont="1" applyAlignment="1">
      <alignment horizontal="left" vertical="center" wrapText="1"/>
    </xf>
    <xf numFmtId="164" fontId="36" fillId="0" borderId="0" xfId="0" applyNumberFormat="1" applyFont="1" applyAlignment="1">
      <alignment horizontal="left" vertical="center" wrapText="1"/>
    </xf>
    <xf numFmtId="164" fontId="36" fillId="0" borderId="0" xfId="0" applyNumberFormat="1" applyFont="1" applyAlignment="1">
      <alignment vertical="center" wrapText="1"/>
    </xf>
    <xf numFmtId="38" fontId="47" fillId="0" borderId="0" xfId="0" applyNumberFormat="1" applyFont="1"/>
    <xf numFmtId="0" fontId="9" fillId="11" borderId="18" xfId="0" applyFont="1" applyFill="1" applyBorder="1"/>
    <xf numFmtId="0" fontId="9" fillId="11" borderId="25" xfId="0" applyFont="1" applyFill="1" applyBorder="1" applyAlignment="1">
      <alignment vertical="center"/>
    </xf>
    <xf numFmtId="0" fontId="9" fillId="11" borderId="19" xfId="0" applyFont="1" applyFill="1" applyBorder="1" applyAlignment="1">
      <alignment vertical="center"/>
    </xf>
    <xf numFmtId="0" fontId="9" fillId="11" borderId="19" xfId="0" applyFont="1" applyFill="1" applyBorder="1" applyAlignment="1">
      <alignment horizontal="center" vertical="center"/>
    </xf>
    <xf numFmtId="1" fontId="9" fillId="11" borderId="19" xfId="0" applyNumberFormat="1" applyFont="1" applyFill="1" applyBorder="1" applyAlignment="1">
      <alignment horizontal="center" vertical="center"/>
    </xf>
    <xf numFmtId="0" fontId="9" fillId="11" borderId="24" xfId="0" applyFont="1" applyFill="1" applyBorder="1"/>
    <xf numFmtId="0" fontId="9" fillId="11" borderId="18" xfId="0" applyFont="1" applyFill="1" applyBorder="1" applyAlignment="1">
      <alignment horizontal="center"/>
    </xf>
    <xf numFmtId="1" fontId="9" fillId="11" borderId="18" xfId="0" applyNumberFormat="1" applyFont="1" applyFill="1" applyBorder="1" applyAlignment="1">
      <alignment horizontal="center"/>
    </xf>
    <xf numFmtId="44" fontId="9" fillId="11" borderId="19" xfId="25" applyFont="1" applyFill="1" applyBorder="1" applyAlignment="1">
      <alignment horizontal="center" vertical="center"/>
    </xf>
    <xf numFmtId="44" fontId="9" fillId="11" borderId="19" xfId="25" applyFont="1" applyFill="1" applyBorder="1" applyAlignment="1">
      <alignment vertical="center"/>
    </xf>
    <xf numFmtId="44" fontId="9" fillId="11" borderId="18" xfId="25" applyFont="1" applyFill="1" applyBorder="1" applyAlignment="1">
      <alignment vertical="center"/>
    </xf>
    <xf numFmtId="1" fontId="9" fillId="0" borderId="0" xfId="0" applyNumberFormat="1" applyFont="1" applyAlignment="1">
      <alignment horizontal="center"/>
    </xf>
    <xf numFmtId="0" fontId="20" fillId="0" borderId="0" xfId="0" applyFont="1"/>
    <xf numFmtId="0" fontId="48" fillId="0" borderId="0" xfId="0" applyFont="1"/>
    <xf numFmtId="44" fontId="9" fillId="11" borderId="24" xfId="25" applyFont="1" applyFill="1" applyBorder="1" applyAlignment="1">
      <alignment vertical="center"/>
    </xf>
    <xf numFmtId="44" fontId="9" fillId="11" borderId="24" xfId="25" applyFont="1" applyFill="1" applyBorder="1"/>
    <xf numFmtId="44" fontId="9" fillId="11" borderId="18" xfId="25" applyFont="1" applyFill="1" applyBorder="1"/>
    <xf numFmtId="44" fontId="9" fillId="11" borderId="24" xfId="25" applyFont="1" applyFill="1" applyBorder="1" applyAlignment="1">
      <alignment horizontal="center"/>
    </xf>
    <xf numFmtId="44" fontId="9" fillId="11" borderId="18" xfId="25" applyFont="1" applyFill="1" applyBorder="1" applyAlignment="1">
      <alignment horizontal="center"/>
    </xf>
    <xf numFmtId="0" fontId="9" fillId="5" borderId="25" xfId="0" applyFont="1" applyFill="1" applyBorder="1" applyAlignment="1">
      <alignment horizontal="left" vertical="center"/>
    </xf>
    <xf numFmtId="0" fontId="9" fillId="5" borderId="18" xfId="0" applyFont="1" applyFill="1" applyBorder="1" applyAlignment="1">
      <alignment vertical="center"/>
    </xf>
    <xf numFmtId="44" fontId="9" fillId="5" borderId="18" xfId="0" applyNumberFormat="1" applyFont="1" applyFill="1" applyBorder="1"/>
    <xf numFmtId="44" fontId="9" fillId="5" borderId="23" xfId="0" applyNumberFormat="1" applyFont="1" applyFill="1" applyBorder="1"/>
    <xf numFmtId="44" fontId="9" fillId="5" borderId="18" xfId="0" applyNumberFormat="1" applyFont="1" applyFill="1" applyBorder="1" applyAlignment="1">
      <alignment horizontal="center"/>
    </xf>
    <xf numFmtId="44" fontId="22" fillId="5" borderId="18" xfId="0" applyNumberFormat="1" applyFont="1" applyFill="1" applyBorder="1" applyAlignment="1">
      <alignment horizontal="center"/>
    </xf>
    <xf numFmtId="164" fontId="49" fillId="0" borderId="0" xfId="0" applyNumberFormat="1" applyFont="1" applyAlignment="1">
      <alignment vertical="center"/>
    </xf>
    <xf numFmtId="0" fontId="17" fillId="23" borderId="0" xfId="0" applyFont="1" applyFill="1"/>
    <xf numFmtId="170" fontId="50" fillId="23" borderId="13" xfId="1" applyNumberFormat="1" applyFont="1" applyFill="1" applyBorder="1" applyAlignment="1">
      <alignment vertical="center"/>
    </xf>
    <xf numFmtId="0" fontId="51" fillId="24" borderId="0" xfId="0" applyFont="1" applyFill="1" applyAlignment="1">
      <alignment wrapText="1"/>
    </xf>
    <xf numFmtId="0" fontId="52" fillId="0" borderId="0" xfId="0" applyFont="1"/>
    <xf numFmtId="164" fontId="49" fillId="0" borderId="0" xfId="0" applyNumberFormat="1" applyFont="1" applyAlignment="1">
      <alignment vertical="center" wrapText="1"/>
    </xf>
    <xf numFmtId="0" fontId="51" fillId="25" borderId="5" xfId="0" applyFont="1" applyFill="1" applyBorder="1" applyAlignment="1">
      <alignment horizontal="center" wrapText="1"/>
    </xf>
    <xf numFmtId="0" fontId="51" fillId="25" borderId="5" xfId="0" applyFont="1" applyFill="1" applyBorder="1" applyAlignment="1">
      <alignment horizontal="center"/>
    </xf>
    <xf numFmtId="0" fontId="52" fillId="0" borderId="0" xfId="0" applyFont="1" applyAlignment="1">
      <alignment horizontal="center"/>
    </xf>
    <xf numFmtId="0" fontId="39" fillId="0" borderId="5" xfId="0" applyFont="1" applyBorder="1" applyAlignment="1">
      <alignment horizontal="right" wrapText="1"/>
    </xf>
    <xf numFmtId="0" fontId="51" fillId="25" borderId="5" xfId="0" applyFont="1" applyFill="1" applyBorder="1" applyAlignment="1">
      <alignment horizontal="right" wrapText="1"/>
    </xf>
    <xf numFmtId="166" fontId="51" fillId="24" borderId="5" xfId="1" applyNumberFormat="1" applyFont="1" applyFill="1" applyBorder="1"/>
    <xf numFmtId="0" fontId="52" fillId="0" borderId="0" xfId="0" applyFont="1" applyAlignment="1">
      <alignment wrapText="1"/>
    </xf>
    <xf numFmtId="43" fontId="52" fillId="0" borderId="0" xfId="1" applyFont="1"/>
    <xf numFmtId="0" fontId="0" fillId="0" borderId="0" xfId="0" applyAlignment="1">
      <alignment horizontal="left"/>
    </xf>
    <xf numFmtId="0" fontId="0" fillId="26" borderId="0" xfId="0" applyFill="1" applyAlignment="1">
      <alignment horizontal="left" wrapText="1"/>
    </xf>
    <xf numFmtId="0" fontId="0" fillId="0" borderId="0" xfId="0" applyAlignment="1">
      <alignment horizontal="centerContinuous" vertical="distributed" wrapText="1"/>
    </xf>
    <xf numFmtId="0" fontId="0" fillId="0" borderId="0" xfId="0" applyAlignment="1">
      <alignment horizontal="left" wrapText="1"/>
    </xf>
    <xf numFmtId="0" fontId="53" fillId="27" borderId="5" xfId="0" applyFont="1" applyFill="1" applyBorder="1"/>
    <xf numFmtId="0" fontId="53" fillId="27" borderId="5" xfId="0" applyFont="1" applyFill="1" applyBorder="1" applyAlignment="1">
      <alignment horizontal="centerContinuous" vertical="center"/>
    </xf>
    <xf numFmtId="0" fontId="53" fillId="27" borderId="5" xfId="0" applyFont="1" applyFill="1" applyBorder="1" applyAlignment="1">
      <alignment horizontal="center"/>
    </xf>
    <xf numFmtId="0" fontId="0" fillId="0" borderId="5" xfId="0" applyBorder="1"/>
    <xf numFmtId="0" fontId="0" fillId="26" borderId="5" xfId="0" applyFill="1" applyBorder="1"/>
    <xf numFmtId="43" fontId="0" fillId="0" borderId="5" xfId="1" applyFont="1" applyBorder="1"/>
    <xf numFmtId="0" fontId="38" fillId="0" borderId="0" xfId="0" applyFont="1" applyAlignment="1">
      <alignment horizontal="centerContinuous"/>
    </xf>
    <xf numFmtId="0" fontId="17" fillId="28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/>
    </xf>
    <xf numFmtId="11" fontId="3" fillId="3" borderId="6" xfId="0" applyNumberFormat="1" applyFont="1" applyFill="1" applyBorder="1" applyAlignment="1">
      <alignment horizontal="center" vertical="center"/>
    </xf>
    <xf numFmtId="0" fontId="6" fillId="29" borderId="2" xfId="0" applyFont="1" applyFill="1" applyBorder="1"/>
    <xf numFmtId="0" fontId="5" fillId="29" borderId="2" xfId="0" applyFont="1" applyFill="1" applyBorder="1"/>
    <xf numFmtId="0" fontId="6" fillId="29" borderId="8" xfId="0" applyFont="1" applyFill="1" applyBorder="1"/>
    <xf numFmtId="0" fontId="6" fillId="29" borderId="9" xfId="0" applyFont="1" applyFill="1" applyBorder="1" applyAlignment="1">
      <alignment horizontal="center" vertical="center"/>
    </xf>
    <xf numFmtId="38" fontId="5" fillId="29" borderId="2" xfId="0" applyNumberFormat="1" applyFont="1" applyFill="1" applyBorder="1" applyAlignment="1">
      <alignment horizontal="right" vertical="center"/>
    </xf>
    <xf numFmtId="38" fontId="5" fillId="29" borderId="2" xfId="0" applyNumberFormat="1" applyFont="1" applyFill="1" applyBorder="1" applyAlignment="1">
      <alignment horizontal="right"/>
    </xf>
    <xf numFmtId="38" fontId="6" fillId="29" borderId="2" xfId="0" applyNumberFormat="1" applyFont="1" applyFill="1" applyBorder="1" applyAlignment="1">
      <alignment horizontal="right"/>
    </xf>
    <xf numFmtId="44" fontId="0" fillId="23" borderId="0" xfId="0" applyNumberFormat="1" applyFill="1" applyAlignment="1">
      <alignment horizontal="center"/>
    </xf>
    <xf numFmtId="43" fontId="0" fillId="23" borderId="0" xfId="1" applyFont="1" applyFill="1" applyAlignment="1">
      <alignment horizontal="center"/>
    </xf>
    <xf numFmtId="170" fontId="54" fillId="6" borderId="13" xfId="1" applyNumberFormat="1" applyFont="1" applyFill="1" applyBorder="1" applyAlignment="1">
      <alignment horizontal="left" vertical="center" wrapText="1"/>
    </xf>
    <xf numFmtId="170" fontId="16" fillId="6" borderId="0" xfId="1" applyNumberFormat="1" applyFont="1" applyFill="1" applyBorder="1" applyAlignment="1">
      <alignment horizontal="left" vertical="center" wrapText="1"/>
    </xf>
    <xf numFmtId="170" fontId="54" fillId="6" borderId="0" xfId="1" applyNumberFormat="1" applyFont="1" applyFill="1" applyBorder="1" applyAlignment="1">
      <alignment horizontal="left" vertical="center" wrapText="1"/>
    </xf>
    <xf numFmtId="170" fontId="19" fillId="11" borderId="17" xfId="1" applyNumberFormat="1" applyFont="1" applyFill="1" applyBorder="1" applyAlignment="1">
      <alignment horizontal="justify" vertical="center"/>
    </xf>
    <xf numFmtId="170" fontId="54" fillId="6" borderId="13" xfId="1" applyNumberFormat="1" applyFont="1" applyFill="1" applyBorder="1" applyAlignment="1">
      <alignment horizontal="left" vertical="center" wrapText="1" indent="1"/>
    </xf>
    <xf numFmtId="170" fontId="16" fillId="6" borderId="0" xfId="1" applyNumberFormat="1" applyFont="1" applyFill="1" applyBorder="1" applyAlignment="1">
      <alignment horizontal="justify" vertical="center" wrapText="1"/>
    </xf>
    <xf numFmtId="171" fontId="15" fillId="11" borderId="13" xfId="1" applyNumberFormat="1" applyFont="1" applyFill="1" applyBorder="1" applyAlignment="1">
      <alignment vertical="center"/>
    </xf>
    <xf numFmtId="170" fontId="16" fillId="11" borderId="17" xfId="1" applyNumberFormat="1" applyFont="1" applyFill="1" applyBorder="1" applyAlignment="1">
      <alignment horizontal="justify" vertical="center"/>
    </xf>
    <xf numFmtId="170" fontId="16" fillId="11" borderId="17" xfId="1" quotePrefix="1" applyNumberFormat="1" applyFont="1" applyFill="1" applyBorder="1" applyAlignment="1">
      <alignment horizontal="justify" vertical="center" wrapText="1"/>
    </xf>
    <xf numFmtId="0" fontId="9" fillId="11" borderId="18" xfId="0" applyFont="1" applyFill="1" applyBorder="1" applyAlignment="1">
      <alignment wrapText="1"/>
    </xf>
    <xf numFmtId="0" fontId="0" fillId="12" borderId="0" xfId="0" applyFill="1" applyAlignment="1">
      <alignment horizontal="left"/>
    </xf>
    <xf numFmtId="0" fontId="0" fillId="12" borderId="0" xfId="0" applyFill="1" applyAlignment="1">
      <alignment wrapText="1"/>
    </xf>
    <xf numFmtId="0" fontId="18" fillId="4" borderId="5" xfId="0" applyFont="1" applyFill="1" applyBorder="1" applyAlignment="1">
      <alignment horizontal="left"/>
    </xf>
    <xf numFmtId="0" fontId="18" fillId="8" borderId="5" xfId="0" applyFont="1" applyFill="1" applyBorder="1" applyAlignment="1">
      <alignment horizontal="left"/>
    </xf>
    <xf numFmtId="0" fontId="18" fillId="0" borderId="5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 applyAlignment="1">
      <alignment wrapText="1"/>
    </xf>
    <xf numFmtId="166" fontId="0" fillId="0" borderId="30" xfId="1" applyNumberFormat="1" applyFont="1" applyFill="1" applyBorder="1"/>
    <xf numFmtId="3" fontId="0" fillId="4" borderId="0" xfId="0" applyNumberFormat="1" applyFill="1"/>
    <xf numFmtId="170" fontId="15" fillId="11" borderId="13" xfId="1" applyNumberFormat="1" applyFont="1" applyFill="1" applyBorder="1" applyAlignment="1"/>
    <xf numFmtId="0" fontId="39" fillId="0" borderId="0" xfId="0" applyFont="1" applyAlignment="1">
      <alignment horizontal="right" wrapText="1"/>
    </xf>
    <xf numFmtId="3" fontId="52" fillId="26" borderId="5" xfId="0" applyNumberFormat="1" applyFont="1" applyFill="1" applyBorder="1" applyAlignment="1">
      <alignment horizontal="center"/>
    </xf>
    <xf numFmtId="3" fontId="52" fillId="4" borderId="0" xfId="0" applyNumberFormat="1" applyFont="1" applyFill="1"/>
    <xf numFmtId="43" fontId="52" fillId="26" borderId="5" xfId="1" applyFont="1" applyFill="1" applyBorder="1" applyAlignment="1"/>
    <xf numFmtId="43" fontId="0" fillId="0" borderId="0" xfId="0" applyNumberFormat="1"/>
    <xf numFmtId="0" fontId="25" fillId="13" borderId="5" xfId="0" applyFont="1" applyFill="1" applyBorder="1" applyAlignment="1">
      <alignment horizontal="center" vertical="center"/>
    </xf>
    <xf numFmtId="38" fontId="6" fillId="0" borderId="0" xfId="0" applyNumberFormat="1" applyFont="1" applyAlignment="1">
      <alignment horizontal="right" vertical="center"/>
    </xf>
    <xf numFmtId="43" fontId="6" fillId="0" borderId="0" xfId="1" applyFont="1" applyAlignment="1">
      <alignment horizontal="right" vertical="center"/>
    </xf>
    <xf numFmtId="0" fontId="57" fillId="0" borderId="0" xfId="0" applyFont="1"/>
    <xf numFmtId="0" fontId="57" fillId="0" borderId="0" xfId="0" pivotButton="1" applyFont="1"/>
    <xf numFmtId="0" fontId="57" fillId="0" borderId="0" xfId="0" applyFont="1" applyAlignment="1">
      <alignment horizontal="center" vertical="center"/>
    </xf>
    <xf numFmtId="0" fontId="58" fillId="0" borderId="0" xfId="0" applyFont="1"/>
    <xf numFmtId="0" fontId="57" fillId="0" borderId="0" xfId="0" applyFont="1" applyAlignment="1">
      <alignment horizontal="left"/>
    </xf>
    <xf numFmtId="38" fontId="57" fillId="0" borderId="0" xfId="0" applyNumberFormat="1" applyFont="1"/>
    <xf numFmtId="38" fontId="58" fillId="0" borderId="0" xfId="0" applyNumberFormat="1" applyFont="1"/>
    <xf numFmtId="0" fontId="57" fillId="0" borderId="0" xfId="0" applyFont="1" applyAlignment="1">
      <alignment horizontal="left" indent="1"/>
    </xf>
    <xf numFmtId="0" fontId="57" fillId="0" borderId="0" xfId="0" applyFont="1" applyAlignment="1">
      <alignment horizontal="left" indent="2"/>
    </xf>
    <xf numFmtId="0" fontId="57" fillId="0" borderId="0" xfId="0" applyFont="1" applyAlignment="1">
      <alignment horizontal="left" indent="3"/>
    </xf>
    <xf numFmtId="0" fontId="57" fillId="4" borderId="0" xfId="0" applyFont="1" applyFill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4" borderId="1" xfId="0" applyFont="1" applyFill="1" applyBorder="1"/>
    <xf numFmtId="0" fontId="57" fillId="4" borderId="1" xfId="0" applyFont="1" applyFill="1" applyBorder="1" applyAlignment="1">
      <alignment horizontal="center" vertical="center"/>
    </xf>
    <xf numFmtId="0" fontId="59" fillId="4" borderId="1" xfId="0" applyFont="1" applyFill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59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59" fillId="0" borderId="0" xfId="0" applyFont="1" applyAlignment="1">
      <alignment horizontal="left"/>
    </xf>
    <xf numFmtId="38" fontId="59" fillId="0" borderId="0" xfId="0" applyNumberFormat="1" applyFont="1"/>
    <xf numFmtId="38" fontId="60" fillId="0" borderId="0" xfId="0" applyNumberFormat="1" applyFont="1"/>
    <xf numFmtId="0" fontId="59" fillId="4" borderId="0" xfId="0" applyFont="1" applyFill="1" applyAlignment="1">
      <alignment horizontal="center" vertical="center"/>
    </xf>
    <xf numFmtId="0" fontId="59" fillId="0" borderId="0" xfId="0" pivotButton="1" applyFont="1" applyAlignment="1">
      <alignment horizontal="center"/>
    </xf>
    <xf numFmtId="0" fontId="59" fillId="4" borderId="1" xfId="0" applyFont="1" applyFill="1" applyBorder="1" applyAlignment="1">
      <alignment horizontal="center"/>
    </xf>
    <xf numFmtId="0" fontId="57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57" fillId="4" borderId="0" xfId="0" applyFont="1" applyFill="1"/>
    <xf numFmtId="0" fontId="57" fillId="4" borderId="26" xfId="0" applyFont="1" applyFill="1" applyBorder="1"/>
    <xf numFmtId="0" fontId="57" fillId="4" borderId="26" xfId="0" applyFont="1" applyFill="1" applyBorder="1" applyAlignment="1">
      <alignment horizontal="center" vertical="center"/>
    </xf>
    <xf numFmtId="0" fontId="57" fillId="0" borderId="0" xfId="0" applyFont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38" fontId="59" fillId="0" borderId="0" xfId="0" applyNumberFormat="1" applyFont="1" applyAlignment="1">
      <alignment horizontal="center"/>
    </xf>
    <xf numFmtId="38" fontId="57" fillId="0" borderId="0" xfId="0" applyNumberFormat="1" applyFont="1" applyAlignment="1">
      <alignment horizontal="center"/>
    </xf>
    <xf numFmtId="0" fontId="57" fillId="0" borderId="0" xfId="0" applyFont="1" applyAlignment="1">
      <alignment horizontal="left" indent="4"/>
    </xf>
    <xf numFmtId="0" fontId="59" fillId="0" borderId="0" xfId="0" pivotButton="1" applyFont="1" applyAlignment="1">
      <alignment horizontal="left" vertical="center"/>
    </xf>
    <xf numFmtId="0" fontId="59" fillId="4" borderId="1" xfId="0" applyFont="1" applyFill="1" applyBorder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38" fontId="57" fillId="4" borderId="0" xfId="0" applyNumberFormat="1" applyFont="1" applyFill="1" applyAlignment="1">
      <alignment horizontal="center"/>
    </xf>
    <xf numFmtId="38" fontId="58" fillId="4" borderId="0" xfId="0" applyNumberFormat="1" applyFont="1" applyFill="1"/>
    <xf numFmtId="166" fontId="0" fillId="0" borderId="0" xfId="0" applyNumberFormat="1"/>
    <xf numFmtId="0" fontId="0" fillId="4" borderId="5" xfId="0" applyFill="1" applyBorder="1"/>
    <xf numFmtId="164" fontId="44" fillId="0" borderId="4" xfId="0" applyNumberFormat="1" applyFont="1" applyBorder="1" applyAlignment="1">
      <alignment horizontal="left" vertical="center" wrapText="1"/>
    </xf>
    <xf numFmtId="164" fontId="36" fillId="0" borderId="4" xfId="0" applyNumberFormat="1" applyFont="1" applyBorder="1" applyAlignment="1">
      <alignment horizontal="left" vertical="center" wrapText="1"/>
    </xf>
    <xf numFmtId="164" fontId="29" fillId="0" borderId="16" xfId="0" applyNumberFormat="1" applyFont="1" applyBorder="1" applyAlignment="1">
      <alignment horizontal="left" vertical="center" wrapText="1"/>
    </xf>
    <xf numFmtId="0" fontId="39" fillId="0" borderId="0" xfId="0" applyFont="1" applyAlignment="1">
      <alignment horizontal="left" vertical="center" wrapText="1"/>
    </xf>
    <xf numFmtId="0" fontId="38" fillId="0" borderId="0" xfId="0" applyFont="1" applyAlignment="1">
      <alignment horizontal="left" vertical="center" wrapText="1"/>
    </xf>
    <xf numFmtId="0" fontId="37" fillId="0" borderId="14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distributed"/>
    </xf>
  </cellXfs>
  <cellStyles count="26">
    <cellStyle name="Moeda" xfId="25" builtinId="4"/>
    <cellStyle name="Moeda 2" xfId="3" xr:uid="{87D13289-AC8E-4A30-A4D7-89D83BB096B4}"/>
    <cellStyle name="Moeda 3" xfId="4" xr:uid="{B440BC84-1298-4334-8CF1-725AE114A1CD}"/>
    <cellStyle name="Moeda 3 2" xfId="10" xr:uid="{96E4CF3F-65FF-4224-A090-FE17B9FD1B78}"/>
    <cellStyle name="Moeda 3 2 2" xfId="21" xr:uid="{1DE84D0B-A119-4B9B-B3C2-32BD66B4A79C}"/>
    <cellStyle name="Moeda 4" xfId="9" xr:uid="{F64CB7FE-AE0C-452C-ACD6-835B559AAE5C}"/>
    <cellStyle name="Moeda 4 2" xfId="20" xr:uid="{3AA68F33-405A-42B5-89F9-5498B74834C3}"/>
    <cellStyle name="Moeda 5" xfId="15" xr:uid="{4C972E27-5065-42BE-BBB3-F6B204BBCDB3}"/>
    <cellStyle name="Normal" xfId="0" builtinId="0"/>
    <cellStyle name="Vírgula" xfId="1" builtinId="3"/>
    <cellStyle name="Vírgula 16" xfId="2" xr:uid="{1F3C4EED-AE42-40D0-BE65-4485A6E1FE1C}"/>
    <cellStyle name="Vírgula 16 2" xfId="6" xr:uid="{D7F9C7DE-C978-43A5-A172-1DDB59590BFC}"/>
    <cellStyle name="Vírgula 16 2 2" xfId="12" xr:uid="{029F2FF5-5B44-440B-B5FE-86758F241C57}"/>
    <cellStyle name="Vírgula 16 2 2 2" xfId="23" xr:uid="{F2578FFC-71E1-4254-BCDF-0EFFEDDAFB70}"/>
    <cellStyle name="Vírgula 16 2 3" xfId="17" xr:uid="{6D6F7A64-95DE-43AE-9D16-1B775216AEAB}"/>
    <cellStyle name="Vírgula 2" xfId="5" xr:uid="{9090F78D-F3DC-4602-8A32-8757672178C2}"/>
    <cellStyle name="Vírgula 2 2" xfId="11" xr:uid="{78421143-BF9E-4203-9F6D-FE74BD496C56}"/>
    <cellStyle name="Vírgula 2 2 2" xfId="22" xr:uid="{5CDB143B-0955-4255-980B-BC75212651CA}"/>
    <cellStyle name="Vírgula 2 3" xfId="16" xr:uid="{ABDF2BE7-3254-4CA1-9CA7-A753F92B7641}"/>
    <cellStyle name="Vírgula 3" xfId="7" xr:uid="{3FAAAACA-6078-436E-B436-8AAF98CC74C1}"/>
    <cellStyle name="Vírgula 3 2" xfId="13" xr:uid="{3D2AF2C0-80EA-43D5-BB18-5C6168F5A7D7}"/>
    <cellStyle name="Vírgula 3 2 2" xfId="24" xr:uid="{AA23E319-FBCC-42C4-B26D-D3201E9641AA}"/>
    <cellStyle name="Vírgula 3 3" xfId="18" xr:uid="{9EE83EBD-CC07-4ADF-A174-65218ABD2A6D}"/>
    <cellStyle name="Vírgula 4" xfId="8" xr:uid="{B5B4200B-E6C9-4157-A0A4-DC4B05200000}"/>
    <cellStyle name="Vírgula 4 2" xfId="19" xr:uid="{C2DBFAE4-7B0A-48BD-B6D4-3976420045A3}"/>
    <cellStyle name="Vírgula 5" xfId="14" xr:uid="{FEB1EC6C-14CB-4F8A-9F23-62F941ABDAE6}"/>
  </cellStyles>
  <dxfs count="3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fill>
        <patternFill patternType="solid">
          <fgColor indexed="64"/>
          <bgColor theme="2"/>
        </patternFill>
      </fill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fill>
        <patternFill patternType="solid">
          <fgColor indexed="64"/>
          <bgColor theme="8" tint="0.79998168889431442"/>
        </patternFill>
      </fill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 outline="0">
        <left style="thin">
          <color theme="4" tint="0.79998168889431442"/>
        </left>
        <right/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border outline="0">
        <right style="thin">
          <color theme="4" tint="0.79998168889431442"/>
        </right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9" tint="0.59999389629810485"/>
        </patternFill>
      </fill>
    </dxf>
    <dxf>
      <alignment horizont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fgColor indexed="64"/>
          <bgColor theme="0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right/>
        <bottom/>
      </border>
    </dxf>
    <dxf>
      <border>
        <left/>
        <right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  <name val="Calibri Light"/>
        <scheme val="major"/>
      </font>
    </dxf>
    <dxf>
      <font>
        <b/>
      </font>
    </dxf>
    <dxf>
      <font>
        <color theme="0"/>
      </font>
    </dxf>
    <dxf>
      <alignment horizontal="center"/>
    </dxf>
    <dxf>
      <alignment horizontal="left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top style="thin">
          <color theme="0"/>
        </top>
        <horizontal style="thin">
          <color theme="0"/>
        </horizontal>
      </border>
    </dxf>
    <dxf>
      <border>
        <top style="thin">
          <color theme="0"/>
        </top>
        <horizontal style="thin">
          <color theme="0"/>
        </horizontal>
      </border>
    </dxf>
    <dxf>
      <border>
        <top style="thin">
          <color theme="0"/>
        </top>
        <horizontal style="thin">
          <color theme="0"/>
        </horizontal>
      </border>
    </dxf>
    <dxf>
      <border>
        <top style="thin">
          <color theme="0"/>
        </top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/>
      </border>
    </dxf>
    <dxf>
      <border>
        <horizontal/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right/>
        <bottom/>
      </border>
    </dxf>
    <dxf>
      <border>
        <left/>
        <right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  <name val="Calibri Light"/>
        <scheme val="major"/>
      </font>
    </dxf>
    <dxf>
      <font>
        <b/>
      </font>
    </dxf>
    <dxf>
      <font>
        <sz val="8"/>
        <color theme="1"/>
      </font>
      <border>
        <bottom style="thin">
          <color theme="4"/>
        </bottom>
        <vertical/>
        <horizontal/>
      </border>
    </dxf>
    <dxf>
      <font>
        <sz val="8"/>
        <color theme="1"/>
      </font>
      <fill>
        <patternFill>
          <bgColor theme="8" tint="-0.499984740745262"/>
        </patternFill>
      </fill>
      <border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9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</font>
      <fill>
        <patternFill>
          <bgColor theme="0" tint="-4.9989318521683403E-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b/>
        <i val="0"/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 tint="0.39997558519241921"/>
          <bgColor theme="4" tint="0.39997558519241921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b/>
        <color theme="1"/>
      </font>
      <border>
        <top style="double">
          <color theme="4" tint="-0.249977111117893"/>
        </top>
      </border>
    </dxf>
    <dxf>
      <font>
        <b/>
        <i val="0"/>
        <color theme="0"/>
      </font>
      <fill>
        <patternFill patternType="solid">
          <fgColor theme="4" tint="-0.249977111117893"/>
          <bgColor theme="4" tint="-0.249977111117893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font>
        <sz val="8"/>
      </font>
    </dxf>
  </dxfs>
  <tableStyles count="5" defaultTableStyle="TableStyleMedium2" defaultPivotStyle="PivotStyleMedium2 2">
    <tableStyle name="Estilo de Segmentação de Dados 1" pivot="0" table="0" count="1" xr9:uid="{D2F77904-BE6E-45F5-8392-21584A14F4F5}">
      <tableStyleElement type="headerRow" dxfId="312"/>
    </tableStyle>
    <tableStyle name="Estilo de Tabela 1" pivot="0" count="0" xr9:uid="{7B6D0BDE-ED5B-497E-BFFB-226A8E52555D}"/>
    <tableStyle name="PivotStyleMedium2 2" table="0" count="14" xr9:uid="{79C944CD-4DBF-4BED-9E10-0AE7AB5357EA}">
      <tableStyleElement type="wholeTable" dxfId="311"/>
      <tableStyleElement type="headerRow" dxfId="310"/>
      <tableStyleElement type="totalRow" dxfId="309"/>
      <tableStyleElement type="firstRowStripe" dxfId="308"/>
      <tableStyleElement type="firstColumnStripe" dxfId="307"/>
      <tableStyleElement type="firstHeaderCell" dxfId="306"/>
      <tableStyleElement type="firstSubtotalRow" dxfId="305"/>
      <tableStyleElement type="secondSubtotalRow" dxfId="304"/>
      <tableStyleElement type="firstColumnSubheading" dxfId="303"/>
      <tableStyleElement type="firstRowSubheading" dxfId="302"/>
      <tableStyleElement type="secondRowSubheading" dxfId="301"/>
      <tableStyleElement type="thirdRowSubheading" dxfId="300"/>
      <tableStyleElement type="pageFieldLabels" dxfId="299"/>
      <tableStyleElement type="pageFieldValues" dxfId="298"/>
    </tableStyle>
    <tableStyle name="SlicerStyleDark1 2" pivot="0" table="0" count="10" xr9:uid="{8DD55D8D-101E-4E87-8D9B-C0DA2D873CD7}">
      <tableStyleElement type="wholeTable" dxfId="297"/>
      <tableStyleElement type="headerRow" dxfId="296"/>
    </tableStyle>
    <tableStyle name="SlicerStyleDark1 2 2" pivot="0" table="0" count="10" xr9:uid="{7B61488D-34C4-4C70-8550-3C5BCD183A7F}">
      <tableStyleElement type="wholeTable" dxfId="295"/>
      <tableStyleElement type="headerRow" dxfId="294"/>
    </tableStyle>
  </tableStyles>
  <colors>
    <mruColors>
      <color rgb="FFFFFFFF"/>
      <color rgb="FFFFCCFF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b/>
            <i val="0"/>
            <sz val="11"/>
            <color auto="1"/>
          </font>
          <fill>
            <patternFill patternType="solid">
              <fgColor theme="0"/>
              <bgColor theme="0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sz val="11"/>
            <color theme="0"/>
          </font>
          <fill>
            <patternFill patternType="solid">
              <fgColor rgb="FFC0C0C0"/>
              <bgColor theme="8" tint="-0.499984740745262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/>
        <x14:slicerStyle name="SlicerStyleDark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Dark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3851909</xdr:colOff>
      <xdr:row>18</xdr:row>
      <xdr:rowOff>80871</xdr:rowOff>
    </xdr:from>
    <xdr:to>
      <xdr:col>2</xdr:col>
      <xdr:colOff>2934969</xdr:colOff>
      <xdr:row>24</xdr:row>
      <xdr:rowOff>22125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C5B00B6-2257-48CF-AF63-349E2E7B1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49" y="3487011"/>
          <a:ext cx="3876040" cy="1324284"/>
        </a:xfrm>
        <a:prstGeom prst="rect">
          <a:avLst/>
        </a:prstGeom>
      </xdr:spPr>
    </xdr:pic>
    <xdr:clientData/>
  </xdr:twoCellAnchor>
  <xdr:twoCellAnchor>
    <xdr:from>
      <xdr:col>8</xdr:col>
      <xdr:colOff>504825</xdr:colOff>
      <xdr:row>15</xdr:row>
      <xdr:rowOff>476250</xdr:rowOff>
    </xdr:from>
    <xdr:to>
      <xdr:col>12</xdr:col>
      <xdr:colOff>40005</xdr:colOff>
      <xdr:row>15</xdr:row>
      <xdr:rowOff>942975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4BC6930C-AA7F-4E6C-B877-02323CF8959A}"/>
            </a:ext>
          </a:extLst>
        </xdr:cNvPr>
        <xdr:cNvSpPr txBox="1"/>
      </xdr:nvSpPr>
      <xdr:spPr>
        <a:xfrm>
          <a:off x="14878050" y="5934075"/>
          <a:ext cx="186880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HISTÓRICO DA CONTA + CC DEFINIDO</a:t>
          </a:r>
        </a:p>
      </xdr:txBody>
    </xdr:sp>
    <xdr:clientData/>
  </xdr:twoCellAnchor>
  <xdr:twoCellAnchor>
    <xdr:from>
      <xdr:col>8</xdr:col>
      <xdr:colOff>501015</xdr:colOff>
      <xdr:row>15</xdr:row>
      <xdr:rowOff>1093470</xdr:rowOff>
    </xdr:from>
    <xdr:to>
      <xdr:col>12</xdr:col>
      <xdr:colOff>219075</xdr:colOff>
      <xdr:row>15</xdr:row>
      <xdr:rowOff>1344930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62147C33-8083-42EE-AF0D-A0EF18B58880}"/>
            </a:ext>
          </a:extLst>
        </xdr:cNvPr>
        <xdr:cNvSpPr txBox="1"/>
      </xdr:nvSpPr>
      <xdr:spPr>
        <a:xfrm>
          <a:off x="14874240" y="5932170"/>
          <a:ext cx="2051685" cy="3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ORÇAMENTO PROPOSTO PLANEFI</a:t>
          </a:r>
        </a:p>
      </xdr:txBody>
    </xdr:sp>
    <xdr:clientData/>
  </xdr:twoCellAnchor>
  <xdr:twoCellAnchor>
    <xdr:from>
      <xdr:col>2</xdr:col>
      <xdr:colOff>3148330</xdr:colOff>
      <xdr:row>15</xdr:row>
      <xdr:rowOff>1611630</xdr:rowOff>
    </xdr:from>
    <xdr:to>
      <xdr:col>2</xdr:col>
      <xdr:colOff>5297170</xdr:colOff>
      <xdr:row>15</xdr:row>
      <xdr:rowOff>1855470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C1A1E19F-4046-4C7A-9A4F-E28971AEB8F4}"/>
            </a:ext>
          </a:extLst>
        </xdr:cNvPr>
        <xdr:cNvSpPr txBox="1"/>
      </xdr:nvSpPr>
      <xdr:spPr>
        <a:xfrm>
          <a:off x="8596630" y="5935980"/>
          <a:ext cx="214884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PREENCHER PREMISSA DA AREA</a:t>
          </a:r>
        </a:p>
      </xdr:txBody>
    </xdr:sp>
    <xdr:clientData/>
  </xdr:twoCellAnchor>
  <xdr:twoCellAnchor editAs="oneCell">
    <xdr:from>
      <xdr:col>0</xdr:col>
      <xdr:colOff>76200</xdr:colOff>
      <xdr:row>18</xdr:row>
      <xdr:rowOff>123825</xdr:rowOff>
    </xdr:from>
    <xdr:to>
      <xdr:col>1</xdr:col>
      <xdr:colOff>3714022</xdr:colOff>
      <xdr:row>25</xdr:row>
      <xdr:rowOff>114534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CCFA3DAA-3506-4063-8857-05EB3185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" y="10677525"/>
          <a:ext cx="3886742" cy="1676634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27</xdr:row>
      <xdr:rowOff>47625</xdr:rowOff>
    </xdr:from>
    <xdr:to>
      <xdr:col>1</xdr:col>
      <xdr:colOff>3980531</xdr:colOff>
      <xdr:row>27</xdr:row>
      <xdr:rowOff>174625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A5BCAA6E-ADC9-4574-B907-9D4F6A7D4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" y="12744450"/>
          <a:ext cx="4159601" cy="123825"/>
        </a:xfrm>
        <a:prstGeom prst="rect">
          <a:avLst/>
        </a:prstGeom>
      </xdr:spPr>
    </xdr:pic>
    <xdr:clientData/>
  </xdr:twoCellAnchor>
  <xdr:twoCellAnchor>
    <xdr:from>
      <xdr:col>0</xdr:col>
      <xdr:colOff>428625</xdr:colOff>
      <xdr:row>25</xdr:row>
      <xdr:rowOff>200025</xdr:rowOff>
    </xdr:from>
    <xdr:to>
      <xdr:col>1</xdr:col>
      <xdr:colOff>1562100</xdr:colOff>
      <xdr:row>27</xdr:row>
      <xdr:rowOff>9525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6FEA3EDB-2431-4CFD-B019-27E1D50ABB37}"/>
            </a:ext>
          </a:extLst>
        </xdr:cNvPr>
        <xdr:cNvCxnSpPr/>
      </xdr:nvCxnSpPr>
      <xdr:spPr>
        <a:xfrm flipV="1">
          <a:off x="428625" y="12420600"/>
          <a:ext cx="1924050" cy="285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1352550</xdr:colOff>
      <xdr:row>24</xdr:row>
      <xdr:rowOff>209550</xdr:rowOff>
    </xdr:from>
    <xdr:to>
      <xdr:col>1</xdr:col>
      <xdr:colOff>2476500</xdr:colOff>
      <xdr:row>25</xdr:row>
      <xdr:rowOff>123825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CD086CC2-02BB-4BDB-A490-D04098741B0F}"/>
            </a:ext>
          </a:extLst>
        </xdr:cNvPr>
        <xdr:cNvSpPr/>
      </xdr:nvSpPr>
      <xdr:spPr>
        <a:xfrm>
          <a:off x="2143125" y="12192000"/>
          <a:ext cx="1123950" cy="152400"/>
        </a:xfrm>
        <a:prstGeom prst="rect">
          <a:avLst/>
        </a:prstGeom>
        <a:ln w="28575"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2676525</xdr:colOff>
      <xdr:row>26</xdr:row>
      <xdr:rowOff>28575</xdr:rowOff>
    </xdr:from>
    <xdr:to>
      <xdr:col>1</xdr:col>
      <xdr:colOff>2676525</xdr:colOff>
      <xdr:row>26</xdr:row>
      <xdr:rowOff>219075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708E9265-8FDE-4EFB-B28F-8A94B4C4EC32}"/>
            </a:ext>
          </a:extLst>
        </xdr:cNvPr>
        <xdr:cNvCxnSpPr/>
      </xdr:nvCxnSpPr>
      <xdr:spPr>
        <a:xfrm>
          <a:off x="3467100" y="12487275"/>
          <a:ext cx="0" cy="190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257175</xdr:colOff>
      <xdr:row>26</xdr:row>
      <xdr:rowOff>47625</xdr:rowOff>
    </xdr:from>
    <xdr:to>
      <xdr:col>0</xdr:col>
      <xdr:colOff>257175</xdr:colOff>
      <xdr:row>27</xdr:row>
      <xdr:rowOff>0</xdr:rowOff>
    </xdr:to>
    <xdr:cxnSp macro="">
      <xdr:nvCxnSpPr>
        <xdr:cNvPr id="14" name="Conector de Seta Reta 13">
          <a:extLst>
            <a:ext uri="{FF2B5EF4-FFF2-40B4-BE49-F238E27FC236}">
              <a16:creationId xmlns:a16="http://schemas.microsoft.com/office/drawing/2014/main" id="{74A0E253-85B6-4446-BECB-912BEF7914BE}"/>
            </a:ext>
          </a:extLst>
        </xdr:cNvPr>
        <xdr:cNvCxnSpPr/>
      </xdr:nvCxnSpPr>
      <xdr:spPr>
        <a:xfrm>
          <a:off x="257175" y="12506325"/>
          <a:ext cx="0" cy="190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1666875</xdr:colOff>
      <xdr:row>26</xdr:row>
      <xdr:rowOff>76200</xdr:rowOff>
    </xdr:from>
    <xdr:to>
      <xdr:col>1</xdr:col>
      <xdr:colOff>1666875</xdr:colOff>
      <xdr:row>27</xdr:row>
      <xdr:rowOff>28575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D862D217-9FE1-4914-BD92-E844AA5D9002}"/>
            </a:ext>
          </a:extLst>
        </xdr:cNvPr>
        <xdr:cNvCxnSpPr/>
      </xdr:nvCxnSpPr>
      <xdr:spPr>
        <a:xfrm>
          <a:off x="2457450" y="12534900"/>
          <a:ext cx="0" cy="190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504825</xdr:colOff>
      <xdr:row>17</xdr:row>
      <xdr:rowOff>476250</xdr:rowOff>
    </xdr:from>
    <xdr:to>
      <xdr:col>12</xdr:col>
      <xdr:colOff>40005</xdr:colOff>
      <xdr:row>17</xdr:row>
      <xdr:rowOff>942975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AB048674-D134-43DA-A4D5-BEE405CDC581}"/>
            </a:ext>
          </a:extLst>
        </xdr:cNvPr>
        <xdr:cNvSpPr txBox="1"/>
      </xdr:nvSpPr>
      <xdr:spPr>
        <a:xfrm>
          <a:off x="15226665" y="6168390"/>
          <a:ext cx="1866900" cy="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HISTÓRICO DA CONTA + CC DEFINIDO</a:t>
          </a:r>
        </a:p>
      </xdr:txBody>
    </xdr:sp>
    <xdr:clientData/>
  </xdr:twoCellAnchor>
  <xdr:twoCellAnchor>
    <xdr:from>
      <xdr:col>8</xdr:col>
      <xdr:colOff>501015</xdr:colOff>
      <xdr:row>17</xdr:row>
      <xdr:rowOff>1093470</xdr:rowOff>
    </xdr:from>
    <xdr:to>
      <xdr:col>12</xdr:col>
      <xdr:colOff>219075</xdr:colOff>
      <xdr:row>17</xdr:row>
      <xdr:rowOff>1344930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D10C6788-2EE2-4903-BD14-2DC57E3A4279}"/>
            </a:ext>
          </a:extLst>
        </xdr:cNvPr>
        <xdr:cNvSpPr txBox="1"/>
      </xdr:nvSpPr>
      <xdr:spPr>
        <a:xfrm>
          <a:off x="15222855" y="6168390"/>
          <a:ext cx="204978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ORÇAMENTO PROPOSTO PLANEFI</a:t>
          </a:r>
        </a:p>
      </xdr:txBody>
    </xdr:sp>
    <xdr:clientData/>
  </xdr:twoCellAnchor>
  <xdr:twoCellAnchor>
    <xdr:from>
      <xdr:col>2</xdr:col>
      <xdr:colOff>3148330</xdr:colOff>
      <xdr:row>17</xdr:row>
      <xdr:rowOff>1611630</xdr:rowOff>
    </xdr:from>
    <xdr:to>
      <xdr:col>2</xdr:col>
      <xdr:colOff>5297170</xdr:colOff>
      <xdr:row>17</xdr:row>
      <xdr:rowOff>1855470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4EB85A40-D542-4A7D-8C4E-375E6637CA78}"/>
            </a:ext>
          </a:extLst>
        </xdr:cNvPr>
        <xdr:cNvSpPr txBox="1"/>
      </xdr:nvSpPr>
      <xdr:spPr>
        <a:xfrm>
          <a:off x="8756650" y="6168390"/>
          <a:ext cx="214884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PREENCHER PREMISSA DA AREA</a:t>
          </a:r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10</xdr:col>
      <xdr:colOff>513080</xdr:colOff>
      <xdr:row>17</xdr:row>
      <xdr:rowOff>1986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F308A1B1-199F-478B-81E7-20EB03EAA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6140"/>
          <a:ext cx="15815945" cy="25470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a Rafaela Coradassi" refreshedDate="45957.651528935188" missingItemsLimit="0" createdVersion="8" refreshedVersion="8" minRefreshableVersion="3" recordCount="204" xr:uid="{5D529F85-F715-4B82-AC16-DAD92DE5CA1B}">
  <cacheSource type="worksheet">
    <worksheetSource name="BASE_ADM"/>
  </cacheSource>
  <cacheFields count="25">
    <cacheField name="." numFmtId="0">
      <sharedItems containsNonDate="0" containsString="0" containsBlank="1"/>
    </cacheField>
    <cacheField name="GRUPO_1" numFmtId="0">
      <sharedItems count="1">
        <s v="OPERAÇÃO"/>
      </sharedItems>
    </cacheField>
    <cacheField name="ÁREA" numFmtId="0">
      <sharedItems count="1">
        <s v="ASSIST. TÉCNICA - LOGÍSTICA"/>
      </sharedItems>
    </cacheField>
    <cacheField name="ÁREA SEGREGADA" numFmtId="0">
      <sharedItems/>
    </cacheField>
    <cacheField name="PACOTE" numFmtId="0">
      <sharedItems count="9">
        <s v="Despesas Administrativas"/>
        <s v="Despesas de Vendas e Publicidade"/>
        <s v="Impostos, Taxas e Doações"/>
        <s v="Informática e Comunicações"/>
        <s v="Infraestrutura industrial e Manutenção"/>
        <s v="Logística"/>
        <s v="Materiais de Produção"/>
        <s v="Serviços Terceiros"/>
        <s v="Locomoção"/>
      </sharedItems>
    </cacheField>
    <cacheField name="CENTRO DE CUSTOS" numFmtId="0">
      <sharedItems count="3">
        <s v="23210 - ASSISTÊNCIA TÉCNICA - LOGISTICA"/>
        <s v="23200 - ASSISTÊNCIA TÉCNICA - GERENCIA LOGISTICA"/>
        <s v="23221 - ASSISTÊNCIA TÉCNICA - LOGISTICA/DESMONTE"/>
      </sharedItems>
    </cacheField>
    <cacheField name="CONTA CONTABIL" numFmtId="0">
      <sharedItems count="39">
        <s v="4300018 - MATERIAL DE EXPEDIENTE"/>
        <s v="4300037 - CONS. DE MAQ. E EQUIP. ESCRITORIO"/>
        <s v="4300038 - CONS. DE MOVEIS E UTENSILIOS"/>
        <s v="4300040 - MATERIAIS DE LIMPEZA E CONSERVAÇÃO"/>
        <s v="4300041 - VESTUARIO PROFISSIONAL/EPI/ERGONOMIA"/>
        <s v="4300051 - LANCHES/REFEIÇÕES/MATERIAL COPA"/>
        <s v="4300054 - FOTOCOPIAS/AUTENTICAÇÕES/CARTÓRIO"/>
        <s v="4300087 - BENS DE NATUREZA PERMANENTE"/>
        <s v="4300060 - BONIFICAÇÕES E CORTESIAS"/>
        <s v="4300159 - DESPESA COM DEMONSTRAÇÃO - COMERCIAL"/>
        <s v="4300027 - IMPOSTOS E TAXAS ESTADUAIS"/>
        <s v="4300074 - TAXAS, CONTRIB. A SIND./ASSOC."/>
        <s v="4300076 - MULTAS DEDUTIVEIS"/>
        <s v="4300079 - MATERIAL DE PROCESSAMENTO DE DADOS"/>
        <s v="4300080 - MANUT. EQUIP. PROCESSAM. DADOS"/>
        <s v="4300081 - MANUT. E ALUGUEL DE SOFTWARE"/>
        <s v="4300021 - ALUGUEIS DE MAQ. E EQUIP. INDLS."/>
        <s v="4300023 - ENERGIA ELETRICA/AGUA E ESGOTO"/>
        <s v="4300032 - CONS. DE IMOVEIS E EDIF. INDLS."/>
        <s v="4300034 - CONS. DE MAQ. E FERRAM. INDST."/>
        <s v="4300049 - OLEOS, COMBUSTÍVEIS E LUBRIFICANTES"/>
        <s v="4300052 - DESPESAS POSTAIS E MALOTES"/>
        <s v="4300056 - FRETES E CARRETOS S/ VENDAS"/>
        <s v="4300099 - FRETES SOBRE DEVOLUÇÃO"/>
        <s v="4300100 - FRETES SOBRE TRANSFERÊNCIAS"/>
        <s v="4300102 - SERVIÇOS LOGISTICOS"/>
        <s v="4300134 - DESPESA COM PALETIZACAO"/>
        <s v="4100002 - MATERIAL DE EMBALAGEM"/>
        <s v="4100003 - MATERIAIS AUXILIARES"/>
        <s v="4300031 - FERRAMENTAS DESGASTAVEIS"/>
        <s v="4300042 - AMOSTRAS / PROTOTIPOS"/>
        <s v="4300070 - REFUGO/ SUCATA"/>
        <s v="4300016 - SERVIÇOS DE TERCEIROS"/>
        <s v="4300147 - DESPESAS COM VIAGENS"/>
        <s v="4300143 - DESPESA COM LOCACAO DE VEICULOS"/>
        <s v="4300043 - DESPESAS COM HOSPEDAGENS"/>
        <s v="4300136 - DESPESA COM PASSAGEM AEREAS"/>
        <s v="4300148 - DESPESAS DE VIAGENS INTERNACIONAIS"/>
        <s v="4300146 - DESPESA COM TAXI E APLICATIVOS DE TRANSPORTE INTERNO"/>
      </sharedItems>
    </cacheField>
    <cacheField name="OBS E PREMISSAS" numFmtId="0">
      <sharedItems containsBlank="1"/>
    </cacheField>
    <cacheField name="ANO" numFmtId="0">
      <sharedItems containsMixedTypes="1" containsNumber="1" containsInteger="1" minValue="2018" maxValue="2025" count="9">
        <n v="2018"/>
        <n v="2019"/>
        <n v="2020"/>
        <n v="2021"/>
        <n v="2022"/>
        <n v="2023"/>
        <n v="2024"/>
        <n v="2025"/>
        <s v="2026 ÁREA"/>
      </sharedItems>
    </cacheField>
    <cacheField name="jan" numFmtId="0">
      <sharedItems containsSemiMixedTypes="0" containsString="0" containsNumber="1" minValue="-1362529.97" maxValue="1369480.2799999996"/>
    </cacheField>
    <cacheField name="fev" numFmtId="0">
      <sharedItems containsSemiMixedTypes="0" containsString="0" containsNumber="1" minValue="-157803.48000000021" maxValue="950760.20999999926"/>
    </cacheField>
    <cacheField name="mar" numFmtId="0">
      <sharedItems containsString="0" containsBlank="1" containsNumber="1" minValue="-4434" maxValue="1007654.74"/>
    </cacheField>
    <cacheField name="abr" numFmtId="0">
      <sharedItems containsSemiMixedTypes="0" containsString="0" containsNumber="1" minValue="-10133.799999999999" maxValue="1223273.6499999997"/>
    </cacheField>
    <cacheField name="mai" numFmtId="0">
      <sharedItems containsSemiMixedTypes="0" containsString="0" containsNumber="1" minValue="-1900.8" maxValue="1082557.8800000006"/>
    </cacheField>
    <cacheField name="jun" numFmtId="0">
      <sharedItems containsString="0" containsBlank="1" containsNumber="1" minValue="-11772.220000000007" maxValue="1447312.2599999998"/>
    </cacheField>
    <cacheField name="jul" numFmtId="0">
      <sharedItems containsSemiMixedTypes="0" containsString="0" containsNumber="1" minValue="-42" maxValue="1106893.4499999997"/>
    </cacheField>
    <cacheField name="ago" numFmtId="0">
      <sharedItems containsSemiMixedTypes="0" containsString="0" containsNumber="1" minValue="-62980.14" maxValue="9272729.1999999695"/>
    </cacheField>
    <cacheField name="set" numFmtId="0">
      <sharedItems containsSemiMixedTypes="0" containsString="0" containsNumber="1" minValue="-13923.34" maxValue="11936495.770000011"/>
    </cacheField>
    <cacheField name="out" numFmtId="0">
      <sharedItems containsString="0" containsBlank="1" containsNumber="1" minValue="-602814.28000000014" maxValue="3604478"/>
    </cacheField>
    <cacheField name="nov" numFmtId="0">
      <sharedItems containsSemiMixedTypes="0" containsString="0" containsNumber="1" minValue="-3948" maxValue="2493326.2399999946"/>
    </cacheField>
    <cacheField name="dez" numFmtId="0">
      <sharedItems containsSemiMixedTypes="0" containsString="0" containsNumber="1" minValue="-8651294.3899999987" maxValue="8651294.3900000025"/>
    </cacheField>
    <cacheField name="total" numFmtId="38">
      <sharedItems containsSemiMixedTypes="0" containsString="0" containsNumber="1" minValue="-8651294.3899999987" maxValue="29031666.429999974"/>
    </cacheField>
    <cacheField name="Média/mês" numFmtId="38">
      <sharedItems containsSemiMixedTypes="0" containsString="0" containsNumber="1" minValue="-720941.1991666666" maxValue="2419305.5358333313"/>
    </cacheField>
    <cacheField name="CHAVE" numFmtId="0">
      <sharedItems/>
    </cacheField>
    <cacheField name="VAR 2025 X 2026 ÁREA" numFmtId="0">
      <sharedItems containsSemiMixedTypes="0" containsString="0" containsNumber="1" minValue="-7434.3766666666779" maxValue="592026.125080313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4">
  <r>
    <m/>
    <x v="0"/>
    <x v="0"/>
    <s v="ASSIST. TÉCNICA - LOGÍSTICA"/>
    <x v="0"/>
    <x v="0"/>
    <x v="0"/>
    <m/>
    <x v="0"/>
    <n v="1360.34"/>
    <n v="1842.0900000000001"/>
    <n v="1848.7899999999997"/>
    <n v="1443.44"/>
    <n v="2437.4300000000003"/>
    <n v="698.68999999999994"/>
    <n v="1496.8500000000001"/>
    <n v="700"/>
    <n v="956.81999999999994"/>
    <n v="1547.24"/>
    <n v="1993.1700000000003"/>
    <n v="2329.5899999999997"/>
    <n v="18654.45"/>
    <n v="1554.5375000000001"/>
    <s v="430001823210"/>
    <n v="4919.5899999999965"/>
  </r>
  <r>
    <m/>
    <x v="0"/>
    <x v="0"/>
    <s v="ASSIST. TÉCNICA - LOGÍSTICA"/>
    <x v="0"/>
    <x v="0"/>
    <x v="0"/>
    <m/>
    <x v="1"/>
    <n v="0"/>
    <n v="3007.0900000000006"/>
    <n v="683.15"/>
    <n v="1080.47"/>
    <n v="1503.06"/>
    <n v="0"/>
    <n v="2979.59"/>
    <n v="0"/>
    <n v="1149.5999999999999"/>
    <n v="314.08000000000004"/>
    <n v="2982.29"/>
    <n v="1151.9600000000003"/>
    <n v="14851.290000000003"/>
    <n v="1237.6075000000003"/>
    <s v="430001823210"/>
    <n v="4919.5899999999965"/>
  </r>
  <r>
    <m/>
    <x v="0"/>
    <x v="0"/>
    <s v="ASSIST. TÉCNICA - LOGÍSTICA"/>
    <x v="0"/>
    <x v="0"/>
    <x v="0"/>
    <m/>
    <x v="2"/>
    <n v="974.45999999999981"/>
    <n v="1125.0600000000002"/>
    <n v="0"/>
    <n v="0"/>
    <n v="1802.1"/>
    <n v="1926.56"/>
    <n v="1601.25"/>
    <n v="506.51"/>
    <n v="1858.43"/>
    <n v="126.48"/>
    <n v="0"/>
    <n v="0"/>
    <n v="9920.85"/>
    <n v="826.73750000000007"/>
    <s v="430001823210"/>
    <n v="4919.5899999999965"/>
  </r>
  <r>
    <m/>
    <x v="0"/>
    <x v="0"/>
    <s v="ASSIST. TÉCNICA - LOGÍSTICA"/>
    <x v="0"/>
    <x v="0"/>
    <x v="0"/>
    <m/>
    <x v="3"/>
    <n v="0"/>
    <n v="1130.9000000000003"/>
    <n v="58.5"/>
    <n v="1515.4"/>
    <n v="1582.91"/>
    <n v="1240.5400000000002"/>
    <n v="1304.3900000000003"/>
    <n v="0"/>
    <n v="71"/>
    <n v="50"/>
    <n v="2248.29"/>
    <n v="1048.6999999999998"/>
    <n v="10250.630000000001"/>
    <n v="854.21916666666675"/>
    <s v="430001823210"/>
    <n v="4919.5899999999965"/>
  </r>
  <r>
    <m/>
    <x v="0"/>
    <x v="0"/>
    <s v="ASSIST. TÉCNICA - LOGÍSTICA"/>
    <x v="0"/>
    <x v="0"/>
    <x v="0"/>
    <m/>
    <x v="4"/>
    <n v="825.12"/>
    <n v="1074.06"/>
    <n v="653.44999999999993"/>
    <n v="925.56999999999994"/>
    <n v="133.57999999999998"/>
    <n v="1334.43"/>
    <n v="2131.54"/>
    <n v="1770"/>
    <n v="784.06"/>
    <n v="1206.2900000000002"/>
    <n v="355.8"/>
    <n v="578.29999999999995"/>
    <n v="11772.199999999999"/>
    <n v="981.01666666666654"/>
    <s v="430001823210"/>
    <n v="4919.5899999999965"/>
  </r>
  <r>
    <m/>
    <x v="0"/>
    <x v="0"/>
    <s v="ASSIST. TÉCNICA - LOGÍSTICA"/>
    <x v="0"/>
    <x v="0"/>
    <x v="0"/>
    <m/>
    <x v="5"/>
    <n v="745.90999999999985"/>
    <n v="943"/>
    <n v="2212.06"/>
    <n v="1886.0899999999997"/>
    <n v="194.09999999999997"/>
    <n v="882.7"/>
    <n v="2181.0300000000002"/>
    <n v="176.5"/>
    <n v="25"/>
    <n v="4474.4900000000007"/>
    <n v="1287.2299999999996"/>
    <n v="0"/>
    <n v="15008.11"/>
    <n v="1250.6758333333335"/>
    <s v="430001823210"/>
    <n v="4919.5899999999965"/>
  </r>
  <r>
    <m/>
    <x v="0"/>
    <x v="0"/>
    <s v="ASSIST. TÉCNICA - LOGÍSTICA"/>
    <x v="0"/>
    <x v="0"/>
    <x v="0"/>
    <m/>
    <x v="6"/>
    <n v="399"/>
    <n v="2494.3199999999997"/>
    <n v="1182.02"/>
    <n v="1031.99"/>
    <n v="1287.58"/>
    <n v="2441.5500000000002"/>
    <n v="1627.1399999999999"/>
    <n v="1301.4600000000003"/>
    <n v="1424.71"/>
    <n v="1284"/>
    <n v="6629.8300000000008"/>
    <n v="693.33"/>
    <n v="21796.930000000004"/>
    <n v="1816.4108333333336"/>
    <s v="430001823210"/>
    <n v="4919.5899999999965"/>
  </r>
  <r>
    <m/>
    <x v="0"/>
    <x v="0"/>
    <s v="ASSIST. TÉCNICA - LOGÍSTICA"/>
    <x v="0"/>
    <x v="0"/>
    <x v="0"/>
    <m/>
    <x v="7"/>
    <n v="1288.6599999999999"/>
    <n v="2518.73"/>
    <n v="3063.3599999999997"/>
    <n v="10547.01"/>
    <n v="4173.7"/>
    <n v="2227.5100000000002"/>
    <n v="2261.8399999999992"/>
    <n v="3801.28"/>
    <n v="2153.98"/>
    <n v="1358.98"/>
    <n v="1421.98"/>
    <n v="1592.98"/>
    <n v="36410.010000000009"/>
    <n v="3034.1675000000009"/>
    <s v="430001823210"/>
    <n v="4919.5899999999965"/>
  </r>
  <r>
    <m/>
    <x v="0"/>
    <x v="0"/>
    <s v="ASSIST. TÉCNICA - LOGÍSTICA"/>
    <x v="0"/>
    <x v="0"/>
    <x v="0"/>
    <s v="Detalhar na aba &quot;Detalhamento&quot;"/>
    <x v="8"/>
    <n v="2865.3"/>
    <n v="3460.3"/>
    <n v="4055.3"/>
    <n v="3363.3"/>
    <n v="3460.3"/>
    <n v="2865.3"/>
    <n v="4055.3"/>
    <n v="2865.3"/>
    <n v="3958.3"/>
    <n v="3460.3"/>
    <n v="3460.3"/>
    <n v="3460.3"/>
    <n v="41329.600000000006"/>
    <n v="3444.1333333333337"/>
    <s v="430001823210"/>
    <n v="4919.5899999999965"/>
  </r>
  <r>
    <m/>
    <x v="0"/>
    <x v="0"/>
    <s v="ASSIST. TÉCNICA - LOGÍSTICA"/>
    <x v="0"/>
    <x v="0"/>
    <x v="1"/>
    <m/>
    <x v="0"/>
    <n v="0"/>
    <n v="0"/>
    <n v="0"/>
    <n v="0"/>
    <n v="0"/>
    <n v="0"/>
    <n v="0"/>
    <n v="0"/>
    <n v="260.87"/>
    <n v="0"/>
    <n v="0"/>
    <n v="0"/>
    <n v="260.87"/>
    <n v="21.739166666666666"/>
    <s v="430003723210"/>
    <n v="0"/>
  </r>
  <r>
    <m/>
    <x v="0"/>
    <x v="0"/>
    <s v="ASSIST. TÉCNICA - LOGÍSTICA"/>
    <x v="0"/>
    <x v="0"/>
    <x v="1"/>
    <m/>
    <x v="2"/>
    <n v="0"/>
    <n v="0"/>
    <n v="665"/>
    <n v="0"/>
    <n v="0"/>
    <n v="0"/>
    <n v="0"/>
    <n v="0"/>
    <n v="0"/>
    <n v="0"/>
    <n v="0"/>
    <n v="0"/>
    <n v="665"/>
    <n v="55.416666666666664"/>
    <s v="430003723210"/>
    <n v="0"/>
  </r>
  <r>
    <m/>
    <x v="0"/>
    <x v="0"/>
    <s v="ASSIST. TÉCNICA - LOGÍSTICA"/>
    <x v="0"/>
    <x v="0"/>
    <x v="2"/>
    <m/>
    <x v="6"/>
    <n v="0"/>
    <n v="0"/>
    <n v="0"/>
    <n v="0"/>
    <n v="300"/>
    <n v="0"/>
    <n v="0"/>
    <n v="0"/>
    <n v="0"/>
    <n v="0"/>
    <n v="0"/>
    <n v="0"/>
    <n v="300"/>
    <n v="25"/>
    <s v="430003823210"/>
    <n v="0"/>
  </r>
  <r>
    <m/>
    <x v="0"/>
    <x v="0"/>
    <s v="ASSIST. TÉCNICA - LOGÍSTICA"/>
    <x v="0"/>
    <x v="0"/>
    <x v="2"/>
    <m/>
    <x v="7"/>
    <n v="0"/>
    <n v="0"/>
    <n v="0"/>
    <n v="0"/>
    <n v="0"/>
    <n v="0"/>
    <n v="0"/>
    <n v="0"/>
    <n v="0"/>
    <n v="0"/>
    <n v="0"/>
    <n v="0"/>
    <n v="0"/>
    <n v="0"/>
    <s v="430003823210"/>
    <n v="0"/>
  </r>
  <r>
    <m/>
    <x v="0"/>
    <x v="0"/>
    <s v="ASSIST. TÉCNICA - LOGÍSTICA"/>
    <x v="0"/>
    <x v="0"/>
    <x v="2"/>
    <s v="Detalhar na aba &quot;Detalhamento&quot;"/>
    <x v="8"/>
    <n v="0"/>
    <n v="0"/>
    <m/>
    <n v="0"/>
    <n v="0"/>
    <m/>
    <n v="0"/>
    <n v="0"/>
    <n v="0"/>
    <m/>
    <n v="0"/>
    <n v="0"/>
    <n v="0"/>
    <n v="0"/>
    <s v="430003823210"/>
    <n v="0"/>
  </r>
  <r>
    <m/>
    <x v="0"/>
    <x v="0"/>
    <s v="ASSIST. TÉCNICA - LOGÍSTICA"/>
    <x v="0"/>
    <x v="0"/>
    <x v="3"/>
    <m/>
    <x v="0"/>
    <n v="518.68000000000006"/>
    <n v="319.24"/>
    <n v="664.7"/>
    <n v="370.61"/>
    <n v="1148.7899999999997"/>
    <n v="199.19000000000003"/>
    <n v="1194.6199999999999"/>
    <n v="57.269999999999996"/>
    <n v="75.34"/>
    <n v="768.6400000000001"/>
    <n v="740.22"/>
    <n v="719.4"/>
    <n v="6776.7000000000007"/>
    <n v="564.72500000000002"/>
    <s v="430004023210"/>
    <n v="-293.86999999999989"/>
  </r>
  <r>
    <m/>
    <x v="0"/>
    <x v="0"/>
    <s v="ASSIST. TÉCNICA - LOGÍSTICA"/>
    <x v="0"/>
    <x v="0"/>
    <x v="3"/>
    <m/>
    <x v="1"/>
    <n v="656.05000000000007"/>
    <n v="871.56"/>
    <n v="186.83"/>
    <n v="824.67"/>
    <n v="407.91"/>
    <n v="479.01"/>
    <n v="538.4899999999999"/>
    <n v="1440.0499999999997"/>
    <n v="0"/>
    <n v="577.95000000000005"/>
    <n v="446.13000000000005"/>
    <n v="621.31999999999994"/>
    <n v="7049.9699999999993"/>
    <n v="587.49749999999995"/>
    <s v="430004023210"/>
    <n v="-293.86999999999989"/>
  </r>
  <r>
    <m/>
    <x v="0"/>
    <x v="0"/>
    <s v="ASSIST. TÉCNICA - LOGÍSTICA"/>
    <x v="0"/>
    <x v="0"/>
    <x v="3"/>
    <m/>
    <x v="2"/>
    <n v="635.85000000000014"/>
    <n v="666.56"/>
    <n v="975.11000000000024"/>
    <n v="742.19"/>
    <n v="325.01"/>
    <n v="820.0100000000001"/>
    <n v="992.36"/>
    <n v="483.05999999999995"/>
    <n v="928.74"/>
    <n v="71.38"/>
    <n v="729.24"/>
    <n v="339.81"/>
    <n v="7709.32"/>
    <n v="642.44333333333327"/>
    <s v="430004023210"/>
    <n v="-293.86999999999989"/>
  </r>
  <r>
    <m/>
    <x v="0"/>
    <x v="0"/>
    <s v="ASSIST. TÉCNICA - LOGÍSTICA"/>
    <x v="0"/>
    <x v="0"/>
    <x v="3"/>
    <m/>
    <x v="3"/>
    <n v="665.43999999999994"/>
    <n v="989.03000000000009"/>
    <n v="2285.4799999999996"/>
    <n v="1385.33"/>
    <n v="1317.4300000000003"/>
    <n v="1065.8700000000001"/>
    <n v="1202.5600000000002"/>
    <n v="608.72"/>
    <n v="1016.3900000000001"/>
    <n v="764.73"/>
    <n v="1017.6100000000001"/>
    <n v="998.13999999999987"/>
    <n v="13316.729999999998"/>
    <n v="1109.7274999999997"/>
    <s v="430004023210"/>
    <n v="-293.86999999999989"/>
  </r>
  <r>
    <m/>
    <x v="0"/>
    <x v="0"/>
    <s v="ASSIST. TÉCNICA - LOGÍSTICA"/>
    <x v="0"/>
    <x v="0"/>
    <x v="3"/>
    <m/>
    <x v="4"/>
    <n v="1167.5900000000004"/>
    <n v="665.55000000000007"/>
    <n v="985.16999999999985"/>
    <n v="985.16999999999985"/>
    <n v="137.43"/>
    <n v="1210.56"/>
    <n v="2042.3999999999999"/>
    <n v="1245"/>
    <n v="1549.6200000000001"/>
    <n v="1257.6500000000001"/>
    <n v="1006.2199999999999"/>
    <n v="78.139999999999986"/>
    <n v="12330.499999999998"/>
    <n v="1027.5416666666665"/>
    <s v="430004023210"/>
    <n v="-293.86999999999989"/>
  </r>
  <r>
    <m/>
    <x v="0"/>
    <x v="0"/>
    <s v="ASSIST. TÉCNICA - LOGÍSTICA"/>
    <x v="0"/>
    <x v="0"/>
    <x v="3"/>
    <m/>
    <x v="5"/>
    <n v="2108.64"/>
    <n v="246"/>
    <n v="0"/>
    <n v="0"/>
    <n v="0"/>
    <n v="1117.8499999999999"/>
    <n v="0"/>
    <n v="0"/>
    <n v="0"/>
    <n v="1171.9000000000001"/>
    <n v="0"/>
    <n v="572.06999999999994"/>
    <n v="5216.4599999999991"/>
    <n v="434.70499999999993"/>
    <s v="430004023210"/>
    <n v="-293.86999999999989"/>
  </r>
  <r>
    <m/>
    <x v="0"/>
    <x v="0"/>
    <s v="ASSIST. TÉCNICA - LOGÍSTICA"/>
    <x v="0"/>
    <x v="0"/>
    <x v="3"/>
    <m/>
    <x v="6"/>
    <n v="0"/>
    <n v="0"/>
    <n v="311.27"/>
    <n v="0"/>
    <n v="218"/>
    <n v="269.39999999999998"/>
    <n v="886.53"/>
    <n v="0"/>
    <n v="10.029999999999999"/>
    <n v="0"/>
    <n v="464.45"/>
    <n v="679.58000000000015"/>
    <n v="2839.26"/>
    <n v="236.60500000000002"/>
    <s v="430004023210"/>
    <n v="-293.86999999999989"/>
  </r>
  <r>
    <m/>
    <x v="0"/>
    <x v="0"/>
    <s v="ASSIST. TÉCNICA - LOGÍSTICA"/>
    <x v="0"/>
    <x v="0"/>
    <x v="3"/>
    <m/>
    <x v="7"/>
    <n v="68.3"/>
    <n v="475.19"/>
    <n v="0"/>
    <n v="34"/>
    <n v="1465.15"/>
    <n v="0"/>
    <n v="0"/>
    <n v="43.88"/>
    <n v="85"/>
    <n v="275"/>
    <n v="40"/>
    <n v="0"/>
    <n v="2486.52"/>
    <n v="207.21"/>
    <s v="430004023210"/>
    <n v="-293.86999999999989"/>
  </r>
  <r>
    <m/>
    <x v="0"/>
    <x v="0"/>
    <s v="ASSIST. TÉCNICA - LOGÍSTICA"/>
    <x v="0"/>
    <x v="0"/>
    <x v="3"/>
    <s v="Detalhar na aba &quot;Detalhamento&quot;"/>
    <x v="8"/>
    <n v="560"/>
    <n v="214.53"/>
    <n v="0"/>
    <n v="214.53"/>
    <n v="0"/>
    <n v="214.53"/>
    <n v="0"/>
    <n v="774.53"/>
    <n v="0"/>
    <n v="214.53"/>
    <n v="0"/>
    <n v="0"/>
    <n v="2192.65"/>
    <n v="182.72083333333333"/>
    <s v="430004023210"/>
    <n v="-293.86999999999989"/>
  </r>
  <r>
    <m/>
    <x v="0"/>
    <x v="0"/>
    <s v="ASSIST. TÉCNICA - LOGÍSTICA"/>
    <x v="0"/>
    <x v="0"/>
    <x v="4"/>
    <m/>
    <x v="0"/>
    <n v="-7"/>
    <n v="0"/>
    <n v="0"/>
    <n v="0"/>
    <n v="-14"/>
    <n v="0"/>
    <n v="-42"/>
    <n v="-7"/>
    <n v="0"/>
    <n v="0"/>
    <n v="0"/>
    <n v="-14"/>
    <n v="-84"/>
    <n v="-7"/>
    <s v="430004123210"/>
    <n v="0"/>
  </r>
  <r>
    <m/>
    <x v="0"/>
    <x v="0"/>
    <s v="ASSIST. TÉCNICA - LOGÍSTICA"/>
    <x v="0"/>
    <x v="0"/>
    <x v="4"/>
    <m/>
    <x v="1"/>
    <n v="0"/>
    <n v="-7"/>
    <n v="0"/>
    <n v="-7"/>
    <n v="0"/>
    <n v="0"/>
    <n v="0"/>
    <n v="0"/>
    <n v="0"/>
    <n v="0"/>
    <n v="0"/>
    <n v="0"/>
    <n v="-14"/>
    <n v="-1.1666666666666667"/>
    <s v="430004123210"/>
    <n v="0"/>
  </r>
  <r>
    <m/>
    <x v="0"/>
    <x v="0"/>
    <s v="ASSIST. TÉCNICA - LOGÍSTICA"/>
    <x v="0"/>
    <x v="0"/>
    <x v="4"/>
    <m/>
    <x v="2"/>
    <n v="0"/>
    <n v="0"/>
    <n v="0"/>
    <n v="0"/>
    <n v="0"/>
    <n v="0"/>
    <n v="0"/>
    <n v="-28"/>
    <n v="-14"/>
    <n v="-7"/>
    <n v="0"/>
    <n v="-14"/>
    <n v="-63"/>
    <n v="-5.25"/>
    <s v="430004123210"/>
    <n v="0"/>
  </r>
  <r>
    <m/>
    <x v="0"/>
    <x v="0"/>
    <s v="ASSIST. TÉCNICA - LOGÍSTICA"/>
    <x v="0"/>
    <x v="0"/>
    <x v="4"/>
    <m/>
    <x v="3"/>
    <n v="0"/>
    <n v="0"/>
    <n v="0"/>
    <n v="-14"/>
    <n v="217"/>
    <n v="5227.6000000000004"/>
    <n v="912.28"/>
    <n v="2451.5400000000004"/>
    <n v="2641.28"/>
    <n v="1141.44"/>
    <n v="-21"/>
    <n v="1673"/>
    <n v="14229.140000000001"/>
    <n v="1185.7616666666668"/>
    <s v="430004123210"/>
    <n v="0"/>
  </r>
  <r>
    <m/>
    <x v="0"/>
    <x v="0"/>
    <s v="ASSIST. TÉCNICA - LOGÍSTICA"/>
    <x v="0"/>
    <x v="0"/>
    <x v="4"/>
    <m/>
    <x v="4"/>
    <n v="-21"/>
    <n v="-7"/>
    <n v="-21"/>
    <n v="539"/>
    <n v="-14"/>
    <n v="633.5"/>
    <n v="169"/>
    <n v="0"/>
    <n v="-10"/>
    <n v="530.79999999999995"/>
    <n v="-30"/>
    <n v="0"/>
    <n v="1769.3"/>
    <n v="147.44166666666666"/>
    <s v="430004123210"/>
    <n v="0"/>
  </r>
  <r>
    <m/>
    <x v="0"/>
    <x v="0"/>
    <s v="ASSIST. TÉCNICA - LOGÍSTICA"/>
    <x v="0"/>
    <x v="0"/>
    <x v="4"/>
    <m/>
    <x v="5"/>
    <n v="1451"/>
    <n v="0"/>
    <n v="-10"/>
    <n v="-10"/>
    <n v="-10"/>
    <n v="-20"/>
    <n v="0"/>
    <n v="-30"/>
    <n v="-10"/>
    <n v="-10"/>
    <n v="0"/>
    <n v="0"/>
    <n v="1351"/>
    <n v="112.58333333333333"/>
    <s v="430004123210"/>
    <n v="0"/>
  </r>
  <r>
    <m/>
    <x v="0"/>
    <x v="0"/>
    <s v="ASSIST. TÉCNICA - LOGÍSTICA"/>
    <x v="0"/>
    <x v="0"/>
    <x v="4"/>
    <m/>
    <x v="6"/>
    <n v="0"/>
    <n v="0"/>
    <n v="0"/>
    <n v="-10"/>
    <n v="0"/>
    <n v="3030.0499999999997"/>
    <n v="80.86"/>
    <n v="0"/>
    <n v="151.10999999999999"/>
    <n v="-10"/>
    <n v="0"/>
    <n v="0"/>
    <n v="3242.02"/>
    <n v="270.16833333333335"/>
    <s v="430004123210"/>
    <n v="0"/>
  </r>
  <r>
    <m/>
    <x v="0"/>
    <x v="0"/>
    <s v="ASSIST. TÉCNICA - LOGÍSTICA"/>
    <x v="0"/>
    <x v="0"/>
    <x v="4"/>
    <m/>
    <x v="7"/>
    <n v="0"/>
    <n v="0"/>
    <n v="0"/>
    <n v="0"/>
    <n v="3488"/>
    <n v="0"/>
    <n v="0"/>
    <n v="-180"/>
    <n v="0"/>
    <n v="0"/>
    <n v="0"/>
    <n v="0"/>
    <n v="3308"/>
    <n v="275.66666666666669"/>
    <s v="430004123210"/>
    <n v="0"/>
  </r>
  <r>
    <m/>
    <x v="0"/>
    <x v="0"/>
    <s v="ASSIST. TÉCNICA - LOGÍSTICA"/>
    <x v="0"/>
    <x v="0"/>
    <x v="4"/>
    <s v="Detalhar na aba &quot;Detalhamento&quot;"/>
    <x v="8"/>
    <n v="0"/>
    <n v="3308"/>
    <n v="0"/>
    <n v="0"/>
    <n v="0"/>
    <n v="0"/>
    <n v="0"/>
    <n v="0"/>
    <n v="0"/>
    <n v="0"/>
    <n v="0"/>
    <n v="0"/>
    <n v="3308"/>
    <n v="275.66666666666669"/>
    <s v="430004123210"/>
    <n v="0"/>
  </r>
  <r>
    <m/>
    <x v="0"/>
    <x v="0"/>
    <s v="ASSIST. TÉCNICA - LOGÍSTICA"/>
    <x v="0"/>
    <x v="1"/>
    <x v="5"/>
    <m/>
    <x v="1"/>
    <n v="0"/>
    <n v="0"/>
    <n v="76.36"/>
    <n v="0"/>
    <n v="0"/>
    <n v="0"/>
    <n v="0"/>
    <n v="0"/>
    <n v="0"/>
    <n v="0"/>
    <n v="0"/>
    <n v="0"/>
    <n v="76.36"/>
    <n v="6.3633333333333333"/>
    <s v="430005123200"/>
    <n v="0"/>
  </r>
  <r>
    <m/>
    <x v="0"/>
    <x v="0"/>
    <s v="ASSIST. TÉCNICA - LOGÍSTICA"/>
    <x v="0"/>
    <x v="0"/>
    <x v="5"/>
    <m/>
    <x v="0"/>
    <n v="897.16000000000008"/>
    <n v="739.83999999999992"/>
    <n v="568.99000000000012"/>
    <n v="804.82999999999993"/>
    <n v="1152.1000000000001"/>
    <n v="663.87"/>
    <n v="966.93999999999994"/>
    <n v="294.62"/>
    <n v="931.34"/>
    <n v="1248.44"/>
    <n v="1246.45"/>
    <n v="1253.31"/>
    <n v="10767.89"/>
    <n v="897.32416666666666"/>
    <s v="430005123210"/>
    <n v="5322.1199999999981"/>
  </r>
  <r>
    <m/>
    <x v="0"/>
    <x v="0"/>
    <s v="ASSIST. TÉCNICA - LOGÍSTICA"/>
    <x v="0"/>
    <x v="0"/>
    <x v="5"/>
    <m/>
    <x v="1"/>
    <n v="954.09"/>
    <n v="1984.3700000000001"/>
    <n v="2100.89"/>
    <n v="473.19000000000005"/>
    <n v="1120.8200000000002"/>
    <n v="921.53"/>
    <n v="782.83999999999992"/>
    <n v="839.30000000000007"/>
    <n v="860.26"/>
    <n v="829.46"/>
    <n v="804.38000000000011"/>
    <n v="417.6"/>
    <n v="12088.730000000001"/>
    <n v="1007.3941666666668"/>
    <s v="430005123210"/>
    <n v="5322.1199999999981"/>
  </r>
  <r>
    <m/>
    <x v="0"/>
    <x v="0"/>
    <s v="ASSIST. TÉCNICA - LOGÍSTICA"/>
    <x v="0"/>
    <x v="0"/>
    <x v="5"/>
    <m/>
    <x v="2"/>
    <n v="1079.5500000000002"/>
    <n v="962.55"/>
    <n v="0"/>
    <n v="1001.9200000000002"/>
    <n v="6.3"/>
    <n v="648.56999999999994"/>
    <n v="539.76"/>
    <n v="270.79000000000002"/>
    <n v="9.84"/>
    <n v="923.1"/>
    <n v="3379.05"/>
    <n v="1308.0900000000001"/>
    <n v="10129.52"/>
    <n v="844.12666666666667"/>
    <s v="430005123210"/>
    <n v="5322.1199999999981"/>
  </r>
  <r>
    <m/>
    <x v="0"/>
    <x v="0"/>
    <s v="ASSIST. TÉCNICA - LOGÍSTICA"/>
    <x v="0"/>
    <x v="0"/>
    <x v="5"/>
    <m/>
    <x v="3"/>
    <n v="866.5"/>
    <n v="345.07"/>
    <n v="1151.2600000000002"/>
    <n v="1491.6000000000001"/>
    <n v="887.56"/>
    <n v="1272.72"/>
    <n v="1331.84"/>
    <n v="620.05999999999995"/>
    <n v="990.31999999999994"/>
    <n v="677.07"/>
    <n v="970.17000000000007"/>
    <n v="2004.7400000000005"/>
    <n v="12608.91"/>
    <n v="1050.7425000000001"/>
    <s v="430005123210"/>
    <n v="5322.1199999999981"/>
  </r>
  <r>
    <m/>
    <x v="0"/>
    <x v="0"/>
    <s v="ASSIST. TÉCNICA - LOGÍSTICA"/>
    <x v="0"/>
    <x v="0"/>
    <x v="5"/>
    <m/>
    <x v="4"/>
    <n v="1481.72"/>
    <n v="1201.78"/>
    <n v="1258.97"/>
    <n v="2461.88"/>
    <n v="3225.45"/>
    <n v="2634.73"/>
    <n v="1631"/>
    <n v="1749"/>
    <n v="511"/>
    <n v="3023.7799999999997"/>
    <n v="4043.09"/>
    <n v="1686.4899999999998"/>
    <n v="24908.89"/>
    <n v="2075.7408333333333"/>
    <s v="430005123210"/>
    <n v="5322.1199999999981"/>
  </r>
  <r>
    <m/>
    <x v="0"/>
    <x v="0"/>
    <s v="ASSIST. TÉCNICA - LOGÍSTICA"/>
    <x v="0"/>
    <x v="0"/>
    <x v="5"/>
    <m/>
    <x v="5"/>
    <n v="1532.98"/>
    <n v="2"/>
    <n v="0"/>
    <n v="0"/>
    <n v="0"/>
    <n v="0"/>
    <n v="0"/>
    <n v="0"/>
    <n v="0"/>
    <n v="0"/>
    <n v="0"/>
    <n v="0"/>
    <n v="1534.98"/>
    <n v="127.91500000000001"/>
    <s v="430005123210"/>
    <n v="5322.1199999999981"/>
  </r>
  <r>
    <m/>
    <x v="0"/>
    <x v="0"/>
    <s v="ASSIST. TÉCNICA - LOGÍSTICA"/>
    <x v="0"/>
    <x v="0"/>
    <x v="5"/>
    <m/>
    <x v="7"/>
    <n v="43.06"/>
    <n v="0"/>
    <n v="0"/>
    <n v="0"/>
    <n v="260.18"/>
    <n v="251.46"/>
    <n v="245.28"/>
    <n v="140.69999999999999"/>
    <n v="153"/>
    <n v="153"/>
    <n v="153"/>
    <n v="153"/>
    <n v="1552.68"/>
    <n v="129.39000000000001"/>
    <s v="430005123210"/>
    <n v="5322.1199999999981"/>
  </r>
  <r>
    <m/>
    <x v="0"/>
    <x v="0"/>
    <s v="ASSIST. TÉCNICA - LOGÍSTICA"/>
    <x v="0"/>
    <x v="0"/>
    <x v="5"/>
    <s v="Detalhar na aba &quot;Detalhamento&quot;"/>
    <x v="8"/>
    <n v="572.9"/>
    <n v="572.9"/>
    <n v="572.9"/>
    <n v="572.9"/>
    <n v="572.9"/>
    <n v="572.9"/>
    <n v="572.9"/>
    <n v="572.9"/>
    <n v="572.9"/>
    <n v="572.9"/>
    <n v="572.9"/>
    <n v="572.9"/>
    <n v="6874.7999999999984"/>
    <n v="572.89999999999986"/>
    <s v="430005123210"/>
    <n v="5322.1199999999981"/>
  </r>
  <r>
    <m/>
    <x v="0"/>
    <x v="0"/>
    <s v="ASSIST. TÉCNICA - LOGÍSTICA"/>
    <x v="0"/>
    <x v="0"/>
    <x v="6"/>
    <m/>
    <x v="3"/>
    <n v="0"/>
    <n v="0"/>
    <n v="0"/>
    <n v="0"/>
    <n v="0"/>
    <n v="0"/>
    <n v="0"/>
    <n v="0"/>
    <n v="224.49"/>
    <n v="0"/>
    <n v="0"/>
    <n v="0"/>
    <n v="224.49"/>
    <n v="18.7075"/>
    <s v="430005423210"/>
    <n v="0"/>
  </r>
  <r>
    <m/>
    <x v="0"/>
    <x v="0"/>
    <s v="ASSIST. TÉCNICA - LOGÍSTICA"/>
    <x v="0"/>
    <x v="0"/>
    <x v="6"/>
    <m/>
    <x v="6"/>
    <n v="0"/>
    <n v="0"/>
    <n v="0"/>
    <n v="0"/>
    <n v="0"/>
    <n v="0"/>
    <n v="0"/>
    <n v="0"/>
    <n v="0"/>
    <n v="4067.9999999999995"/>
    <n v="0"/>
    <n v="0"/>
    <n v="4067.9999999999995"/>
    <n v="338.99999999999994"/>
    <s v="430005423210"/>
    <n v="0"/>
  </r>
  <r>
    <m/>
    <x v="0"/>
    <x v="0"/>
    <s v="ASSIST. TÉCNICA - LOGÍSTICA"/>
    <x v="0"/>
    <x v="0"/>
    <x v="7"/>
    <m/>
    <x v="0"/>
    <n v="0"/>
    <n v="0"/>
    <n v="0"/>
    <n v="670"/>
    <n v="0"/>
    <n v="0"/>
    <n v="0"/>
    <n v="0"/>
    <n v="0"/>
    <n v="0"/>
    <n v="0"/>
    <n v="0"/>
    <n v="670"/>
    <n v="55.833333333333336"/>
    <s v="430008723210"/>
    <n v="-2972.78"/>
  </r>
  <r>
    <m/>
    <x v="0"/>
    <x v="0"/>
    <s v="ASSIST. TÉCNICA - LOGÍSTICA"/>
    <x v="0"/>
    <x v="0"/>
    <x v="7"/>
    <m/>
    <x v="1"/>
    <n v="0"/>
    <n v="86.9"/>
    <n v="0"/>
    <n v="0"/>
    <n v="0"/>
    <n v="0"/>
    <n v="0"/>
    <n v="0"/>
    <n v="0"/>
    <n v="0"/>
    <n v="0"/>
    <n v="0"/>
    <n v="86.9"/>
    <n v="7.2416666666666671"/>
    <s v="430008723210"/>
    <n v="-2972.78"/>
  </r>
  <r>
    <m/>
    <x v="0"/>
    <x v="0"/>
    <s v="ASSIST. TÉCNICA - LOGÍSTICA"/>
    <x v="0"/>
    <x v="0"/>
    <x v="7"/>
    <m/>
    <x v="3"/>
    <n v="0"/>
    <n v="0"/>
    <n v="0"/>
    <n v="0"/>
    <n v="0"/>
    <n v="0"/>
    <n v="0"/>
    <n v="0"/>
    <n v="0"/>
    <n v="0"/>
    <n v="461.8"/>
    <n v="0"/>
    <n v="461.8"/>
    <n v="38.483333333333334"/>
    <s v="430008723210"/>
    <n v="-2972.78"/>
  </r>
  <r>
    <m/>
    <x v="0"/>
    <x v="0"/>
    <s v="ASSIST. TÉCNICA - LOGÍSTICA"/>
    <x v="0"/>
    <x v="0"/>
    <x v="7"/>
    <m/>
    <x v="5"/>
    <n v="0"/>
    <n v="0"/>
    <n v="306.25"/>
    <n v="0"/>
    <n v="0"/>
    <n v="0"/>
    <n v="0"/>
    <n v="0"/>
    <n v="0"/>
    <n v="0"/>
    <n v="38.979999999999997"/>
    <n v="308.88"/>
    <n v="654.11"/>
    <n v="54.509166666666665"/>
    <s v="430008723210"/>
    <n v="-2972.78"/>
  </r>
  <r>
    <m/>
    <x v="0"/>
    <x v="0"/>
    <s v="ASSIST. TÉCNICA - LOGÍSTICA"/>
    <x v="0"/>
    <x v="0"/>
    <x v="7"/>
    <m/>
    <x v="6"/>
    <n v="99.39"/>
    <n v="0"/>
    <n v="0"/>
    <n v="0"/>
    <n v="0"/>
    <n v="191.23"/>
    <n v="0"/>
    <n v="0"/>
    <n v="299.39999999999998"/>
    <n v="513"/>
    <n v="461.11"/>
    <n v="0"/>
    <n v="1564.13"/>
    <n v="130.34416666666667"/>
    <s v="430008723210"/>
    <n v="-2972.78"/>
  </r>
  <r>
    <m/>
    <x v="0"/>
    <x v="0"/>
    <s v="ASSIST. TÉCNICA - LOGÍSTICA"/>
    <x v="0"/>
    <x v="0"/>
    <x v="7"/>
    <m/>
    <x v="7"/>
    <n v="0"/>
    <n v="0"/>
    <n v="0"/>
    <n v="1121.73"/>
    <n v="651.17999999999995"/>
    <n v="0"/>
    <n v="650.54999999999995"/>
    <n v="291.32"/>
    <n v="0"/>
    <n v="258"/>
    <n v="0"/>
    <n v="0"/>
    <n v="2972.78"/>
    <n v="247.73166666666668"/>
    <s v="430008723210"/>
    <n v="-2972.78"/>
  </r>
  <r>
    <m/>
    <x v="0"/>
    <x v="0"/>
    <s v="ASSIST. TÉCNICA - LOGÍSTICA"/>
    <x v="0"/>
    <x v="0"/>
    <x v="7"/>
    <s v="Detalhar na aba &quot;Detalhamento&quot;"/>
    <x v="8"/>
    <n v="0"/>
    <n v="0"/>
    <n v="0"/>
    <n v="0"/>
    <n v="0"/>
    <n v="0"/>
    <n v="0"/>
    <n v="0"/>
    <n v="0"/>
    <n v="0"/>
    <n v="0"/>
    <n v="0"/>
    <n v="0"/>
    <n v="0"/>
    <s v="430008723210"/>
    <n v="-2972.78"/>
  </r>
  <r>
    <m/>
    <x v="0"/>
    <x v="0"/>
    <s v="ASSIST. TÉCNICA - LOGÍSTICA"/>
    <x v="1"/>
    <x v="0"/>
    <x v="8"/>
    <m/>
    <x v="3"/>
    <n v="0"/>
    <n v="0"/>
    <n v="0"/>
    <n v="0"/>
    <n v="207.01"/>
    <n v="0"/>
    <n v="0"/>
    <n v="0"/>
    <n v="0"/>
    <n v="0"/>
    <n v="0"/>
    <n v="0"/>
    <n v="207.01"/>
    <n v="17.250833333333333"/>
    <s v="430006023210"/>
    <n v="0"/>
  </r>
  <r>
    <m/>
    <x v="0"/>
    <x v="0"/>
    <s v="ASSIST. TÉCNICA - LOGÍSTICA"/>
    <x v="1"/>
    <x v="0"/>
    <x v="8"/>
    <m/>
    <x v="4"/>
    <n v="0"/>
    <n v="0"/>
    <n v="0"/>
    <n v="0"/>
    <n v="234.49"/>
    <n v="0"/>
    <n v="0"/>
    <n v="0"/>
    <n v="0"/>
    <n v="0"/>
    <n v="979.6"/>
    <n v="0"/>
    <n v="1214.0900000000001"/>
    <n v="101.17416666666668"/>
    <s v="430006023210"/>
    <n v="0"/>
  </r>
  <r>
    <m/>
    <x v="0"/>
    <x v="0"/>
    <s v="ASSIST. TÉCNICA - LOGÍSTICA"/>
    <x v="1"/>
    <x v="0"/>
    <x v="8"/>
    <m/>
    <x v="5"/>
    <n v="0"/>
    <n v="0"/>
    <n v="0"/>
    <n v="0"/>
    <n v="0"/>
    <n v="0"/>
    <n v="0"/>
    <n v="13923.34"/>
    <n v="-13923.34"/>
    <n v="0"/>
    <n v="0"/>
    <n v="0"/>
    <n v="0"/>
    <n v="0"/>
    <s v="430006023210"/>
    <n v="0"/>
  </r>
  <r>
    <m/>
    <x v="0"/>
    <x v="0"/>
    <s v="ASSIST. TÉCNICA - LOGÍSTICA"/>
    <x v="1"/>
    <x v="0"/>
    <x v="8"/>
    <m/>
    <x v="6"/>
    <n v="0"/>
    <n v="0"/>
    <n v="0"/>
    <n v="0"/>
    <n v="99.88"/>
    <n v="24.2"/>
    <n v="0"/>
    <n v="0"/>
    <n v="0"/>
    <n v="0"/>
    <n v="0"/>
    <n v="0"/>
    <n v="124.08"/>
    <n v="10.34"/>
    <s v="430006023210"/>
    <n v="0"/>
  </r>
  <r>
    <m/>
    <x v="0"/>
    <x v="0"/>
    <s v="ASSIST. TÉCNICA - LOGÍSTICA"/>
    <x v="1"/>
    <x v="0"/>
    <x v="9"/>
    <m/>
    <x v="7"/>
    <n v="0"/>
    <n v="1023.26"/>
    <n v="76.98"/>
    <n v="0"/>
    <n v="0"/>
    <n v="0"/>
    <n v="0"/>
    <n v="0"/>
    <n v="0"/>
    <n v="0"/>
    <n v="0"/>
    <n v="0"/>
    <n v="1100.24"/>
    <n v="91.686666666666667"/>
    <s v="430015923210"/>
    <n v="99.759999999999991"/>
  </r>
  <r>
    <m/>
    <x v="0"/>
    <x v="0"/>
    <s v="ASSIST. TÉCNICA - LOGÍSTICA"/>
    <x v="1"/>
    <x v="0"/>
    <x v="9"/>
    <s v="Detalhar na aba &quot;Detalhamento&quot;"/>
    <x v="8"/>
    <n v="100"/>
    <n v="100"/>
    <n v="100"/>
    <n v="100"/>
    <n v="100"/>
    <n v="100"/>
    <n v="100"/>
    <n v="100"/>
    <n v="100"/>
    <n v="100"/>
    <n v="100"/>
    <n v="100"/>
    <n v="1200"/>
    <n v="100"/>
    <s v="430015923210"/>
    <n v="99.759999999999991"/>
  </r>
  <r>
    <m/>
    <x v="0"/>
    <x v="0"/>
    <s v="ASSIST. TÉCNICA - LOGÍSTICA"/>
    <x v="2"/>
    <x v="1"/>
    <x v="10"/>
    <m/>
    <x v="0"/>
    <n v="0"/>
    <n v="0"/>
    <n v="0"/>
    <n v="0"/>
    <n v="0"/>
    <n v="0"/>
    <n v="137.78"/>
    <n v="0"/>
    <n v="0"/>
    <n v="0"/>
    <n v="0"/>
    <n v="0"/>
    <n v="137.78"/>
    <n v="11.481666666666667"/>
    <s v="430002723200"/>
    <n v="0"/>
  </r>
  <r>
    <m/>
    <x v="0"/>
    <x v="0"/>
    <s v="ASSIST. TÉCNICA - LOGÍSTICA"/>
    <x v="2"/>
    <x v="0"/>
    <x v="11"/>
    <m/>
    <x v="1"/>
    <n v="0"/>
    <n v="0"/>
    <n v="0"/>
    <n v="0"/>
    <n v="0"/>
    <n v="0"/>
    <n v="0"/>
    <n v="0"/>
    <n v="0"/>
    <n v="0"/>
    <n v="0"/>
    <n v="0.51"/>
    <n v="0.51"/>
    <n v="4.2500000000000003E-2"/>
    <s v="430007423210"/>
    <n v="0"/>
  </r>
  <r>
    <m/>
    <x v="0"/>
    <x v="0"/>
    <s v="ASSIST. TÉCNICA - LOGÍSTICA"/>
    <x v="2"/>
    <x v="0"/>
    <x v="11"/>
    <m/>
    <x v="2"/>
    <n v="0.5"/>
    <n v="0"/>
    <n v="0"/>
    <n v="0"/>
    <n v="0"/>
    <n v="0"/>
    <n v="0"/>
    <n v="0"/>
    <n v="0"/>
    <n v="0"/>
    <n v="0"/>
    <n v="0"/>
    <n v="0.5"/>
    <n v="4.1666666666666664E-2"/>
    <s v="430007423210"/>
    <n v="0"/>
  </r>
  <r>
    <m/>
    <x v="0"/>
    <x v="0"/>
    <s v="ASSIST. TÉCNICA - LOGÍSTICA"/>
    <x v="2"/>
    <x v="0"/>
    <x v="12"/>
    <m/>
    <x v="3"/>
    <n v="0"/>
    <n v="0"/>
    <n v="0"/>
    <n v="0"/>
    <n v="0"/>
    <n v="0"/>
    <n v="0"/>
    <n v="0"/>
    <n v="9.4499999999999993"/>
    <n v="0"/>
    <n v="0"/>
    <n v="0"/>
    <n v="9.4499999999999993"/>
    <n v="0.78749999999999998"/>
    <s v="430007623210"/>
    <n v="0"/>
  </r>
  <r>
    <m/>
    <x v="0"/>
    <x v="0"/>
    <s v="ASSIST. TÉCNICA - LOGÍSTICA"/>
    <x v="3"/>
    <x v="0"/>
    <x v="13"/>
    <m/>
    <x v="0"/>
    <n v="0"/>
    <n v="29.99"/>
    <n v="0"/>
    <n v="0"/>
    <n v="0"/>
    <n v="466"/>
    <n v="0"/>
    <n v="0"/>
    <n v="0"/>
    <n v="545"/>
    <n v="228"/>
    <n v="19.899999999999999"/>
    <n v="1288.8900000000001"/>
    <n v="107.40750000000001"/>
    <s v="430007923210"/>
    <n v="489.77999999999975"/>
  </r>
  <r>
    <m/>
    <x v="0"/>
    <x v="0"/>
    <s v="ASSIST. TÉCNICA - LOGÍSTICA"/>
    <x v="3"/>
    <x v="0"/>
    <x v="13"/>
    <m/>
    <x v="1"/>
    <n v="0"/>
    <n v="690"/>
    <n v="0"/>
    <n v="185"/>
    <n v="1237.96"/>
    <n v="0"/>
    <n v="0"/>
    <n v="0"/>
    <n v="0"/>
    <n v="1249.9100000000001"/>
    <n v="0"/>
    <n v="0"/>
    <n v="3362.87"/>
    <n v="280.23916666666668"/>
    <s v="430007923210"/>
    <n v="489.77999999999975"/>
  </r>
  <r>
    <m/>
    <x v="0"/>
    <x v="0"/>
    <s v="ASSIST. TÉCNICA - LOGÍSTICA"/>
    <x v="3"/>
    <x v="0"/>
    <x v="13"/>
    <m/>
    <x v="2"/>
    <n v="0"/>
    <n v="984"/>
    <n v="0"/>
    <n v="0"/>
    <n v="0"/>
    <n v="0"/>
    <n v="0"/>
    <n v="0"/>
    <n v="0"/>
    <n v="655"/>
    <n v="0"/>
    <n v="0"/>
    <n v="1639"/>
    <n v="136.58333333333334"/>
    <s v="430007923210"/>
    <n v="489.77999999999975"/>
  </r>
  <r>
    <m/>
    <x v="0"/>
    <x v="0"/>
    <s v="ASSIST. TÉCNICA - LOGÍSTICA"/>
    <x v="3"/>
    <x v="0"/>
    <x v="13"/>
    <m/>
    <x v="3"/>
    <n v="0"/>
    <n v="655"/>
    <n v="0"/>
    <n v="0"/>
    <n v="0"/>
    <n v="100.41"/>
    <n v="0"/>
    <n v="279.98"/>
    <n v="1470"/>
    <n v="0"/>
    <n v="488.05"/>
    <n v="5424"/>
    <n v="8417.44"/>
    <n v="701.45333333333338"/>
    <s v="430007923210"/>
    <n v="489.77999999999975"/>
  </r>
  <r>
    <m/>
    <x v="0"/>
    <x v="0"/>
    <s v="ASSIST. TÉCNICA - LOGÍSTICA"/>
    <x v="3"/>
    <x v="0"/>
    <x v="13"/>
    <m/>
    <x v="4"/>
    <n v="377.9"/>
    <n v="0"/>
    <n v="0"/>
    <n v="140.63999999999999"/>
    <n v="0"/>
    <n v="0"/>
    <n v="0"/>
    <n v="0"/>
    <n v="189.12"/>
    <n v="0"/>
    <n v="0"/>
    <n v="0"/>
    <n v="707.66"/>
    <n v="58.971666666666664"/>
    <s v="430007923210"/>
    <n v="489.77999999999975"/>
  </r>
  <r>
    <m/>
    <x v="0"/>
    <x v="0"/>
    <s v="ASSIST. TÉCNICA - LOGÍSTICA"/>
    <x v="3"/>
    <x v="0"/>
    <x v="13"/>
    <m/>
    <x v="5"/>
    <n v="105.9"/>
    <n v="0"/>
    <n v="689.8"/>
    <n v="228"/>
    <n v="0"/>
    <n v="132.9"/>
    <n v="0"/>
    <n v="0"/>
    <n v="82.77"/>
    <n v="227.05"/>
    <n v="370.3"/>
    <n v="1155"/>
    <n v="2991.72"/>
    <n v="249.30999999999997"/>
    <s v="430007923210"/>
    <n v="489.77999999999975"/>
  </r>
  <r>
    <m/>
    <x v="0"/>
    <x v="0"/>
    <s v="ASSIST. TÉCNICA - LOGÍSTICA"/>
    <x v="3"/>
    <x v="0"/>
    <x v="13"/>
    <m/>
    <x v="6"/>
    <n v="0"/>
    <n v="304.54999999999995"/>
    <n v="17.61"/>
    <n v="0"/>
    <n v="0"/>
    <n v="3108"/>
    <n v="819"/>
    <n v="0"/>
    <n v="231"/>
    <n v="1120"/>
    <n v="1477.41"/>
    <n v="0"/>
    <n v="7077.57"/>
    <n v="589.79750000000001"/>
    <s v="430007923210"/>
    <n v="489.77999999999975"/>
  </r>
  <r>
    <m/>
    <x v="0"/>
    <x v="0"/>
    <s v="ASSIST. TÉCNICA - LOGÍSTICA"/>
    <x v="3"/>
    <x v="0"/>
    <x v="13"/>
    <m/>
    <x v="7"/>
    <n v="302.39999999999998"/>
    <n v="383.64000000000004"/>
    <n v="723.09"/>
    <n v="899.42000000000007"/>
    <n v="0"/>
    <n v="0"/>
    <n v="31.81"/>
    <n v="419.86"/>
    <n v="350"/>
    <n v="0"/>
    <n v="0"/>
    <n v="0"/>
    <n v="3110.2200000000003"/>
    <n v="259.185"/>
    <s v="430007923210"/>
    <n v="489.77999999999975"/>
  </r>
  <r>
    <m/>
    <x v="0"/>
    <x v="0"/>
    <s v="ASSIST. TÉCNICA - LOGÍSTICA"/>
    <x v="3"/>
    <x v="0"/>
    <x v="13"/>
    <s v="Detalhar na aba &quot;Detalhamento&quot;"/>
    <x v="8"/>
    <n v="300"/>
    <n v="300"/>
    <n v="300"/>
    <n v="300"/>
    <n v="300"/>
    <n v="300"/>
    <n v="300"/>
    <n v="300"/>
    <n v="300"/>
    <n v="300"/>
    <n v="300"/>
    <n v="300"/>
    <n v="3600"/>
    <n v="300"/>
    <s v="430007923210"/>
    <n v="489.77999999999975"/>
  </r>
  <r>
    <m/>
    <x v="0"/>
    <x v="0"/>
    <s v="ASSIST. TÉCNICA - LOGÍSTICA"/>
    <x v="3"/>
    <x v="0"/>
    <x v="14"/>
    <m/>
    <x v="0"/>
    <n v="0"/>
    <n v="0"/>
    <n v="0"/>
    <n v="0"/>
    <n v="0"/>
    <n v="0"/>
    <n v="6412.49"/>
    <n v="0"/>
    <n v="0"/>
    <n v="0"/>
    <n v="0"/>
    <n v="0"/>
    <n v="6412.49"/>
    <n v="534.37416666666661"/>
    <s v="430008023210"/>
    <n v="5073.8600000000006"/>
  </r>
  <r>
    <m/>
    <x v="0"/>
    <x v="0"/>
    <s v="ASSIST. TÉCNICA - LOGÍSTICA"/>
    <x v="3"/>
    <x v="0"/>
    <x v="14"/>
    <m/>
    <x v="5"/>
    <n v="0"/>
    <n v="0"/>
    <n v="0"/>
    <n v="0"/>
    <n v="0"/>
    <n v="0"/>
    <n v="0"/>
    <n v="5394"/>
    <n v="0"/>
    <n v="0"/>
    <n v="0"/>
    <n v="0"/>
    <n v="5394"/>
    <n v="449.5"/>
    <s v="430008023210"/>
    <n v="5073.8600000000006"/>
  </r>
  <r>
    <m/>
    <x v="0"/>
    <x v="0"/>
    <s v="ASSIST. TÉCNICA - LOGÍSTICA"/>
    <x v="3"/>
    <x v="0"/>
    <x v="14"/>
    <m/>
    <x v="6"/>
    <n v="9518"/>
    <n v="0"/>
    <n v="0"/>
    <n v="636.5"/>
    <n v="0"/>
    <n v="0"/>
    <n v="267.89999999999998"/>
    <n v="1094.3"/>
    <n v="0"/>
    <n v="0"/>
    <n v="868.6400000000001"/>
    <n v="936.75"/>
    <n v="13322.089999999998"/>
    <n v="1110.1741666666665"/>
    <s v="430008023210"/>
    <n v="5073.8600000000006"/>
  </r>
  <r>
    <m/>
    <x v="0"/>
    <x v="0"/>
    <s v="ASSIST. TÉCNICA - LOGÍSTICA"/>
    <x v="3"/>
    <x v="0"/>
    <x v="14"/>
    <m/>
    <x v="7"/>
    <n v="0"/>
    <n v="292.8"/>
    <n v="0"/>
    <n v="0"/>
    <n v="976.03"/>
    <n v="0"/>
    <n v="375"/>
    <n v="1082.31"/>
    <n v="2100"/>
    <n v="0"/>
    <n v="2100"/>
    <n v="0"/>
    <n v="6926.1399999999994"/>
    <n v="577.17833333333328"/>
    <s v="430008023210"/>
    <n v="5073.8600000000006"/>
  </r>
  <r>
    <m/>
    <x v="0"/>
    <x v="0"/>
    <s v="ASSIST. TÉCNICA - LOGÍSTICA"/>
    <x v="3"/>
    <x v="0"/>
    <x v="14"/>
    <s v="Detalhar na aba &quot;Detalhamento&quot;"/>
    <x v="8"/>
    <n v="1000"/>
    <n v="1000"/>
    <n v="1000"/>
    <n v="1000"/>
    <n v="1000"/>
    <n v="1000"/>
    <n v="1000"/>
    <n v="1000"/>
    <n v="1000"/>
    <n v="1000"/>
    <n v="1000"/>
    <n v="1000"/>
    <n v="12000"/>
    <n v="1000"/>
    <s v="430008023210"/>
    <n v="5073.8600000000006"/>
  </r>
  <r>
    <m/>
    <x v="0"/>
    <x v="0"/>
    <s v="ASSIST. TÉCNICA - LOGÍSTICA"/>
    <x v="3"/>
    <x v="0"/>
    <x v="15"/>
    <m/>
    <x v="0"/>
    <n v="2536.31"/>
    <n v="2533.85"/>
    <n v="2533.85"/>
    <n v="2533.85"/>
    <n v="2420.9699999999998"/>
    <n v="2420.9899999999998"/>
    <n v="2717.99"/>
    <n v="2428.2399999999998"/>
    <n v="2459.19"/>
    <n v="2459.19"/>
    <n v="2459.19"/>
    <n v="0"/>
    <n v="27503.619999999992"/>
    <n v="2291.9683333333328"/>
    <s v="430008123210"/>
    <n v="15752"/>
  </r>
  <r>
    <m/>
    <x v="0"/>
    <x v="0"/>
    <s v="ASSIST. TÉCNICA - LOGÍSTICA"/>
    <x v="3"/>
    <x v="0"/>
    <x v="15"/>
    <m/>
    <x v="1"/>
    <n v="4918.38"/>
    <n v="2459.19"/>
    <n v="2586.81"/>
    <n v="2586.81"/>
    <n v="2602.29"/>
    <n v="2602.29"/>
    <n v="2602.29"/>
    <n v="2608.33"/>
    <n v="2627.11"/>
    <n v="2627.11"/>
    <n v="2627.11"/>
    <n v="2627.11"/>
    <n v="33474.83"/>
    <n v="2789.5691666666667"/>
    <s v="430008123210"/>
    <n v="15752"/>
  </r>
  <r>
    <m/>
    <x v="0"/>
    <x v="0"/>
    <s v="ASSIST. TÉCNICA - LOGÍSTICA"/>
    <x v="3"/>
    <x v="0"/>
    <x v="15"/>
    <m/>
    <x v="2"/>
    <n v="2627.11"/>
    <n v="2627.11"/>
    <n v="2750.26"/>
    <n v="2750.26"/>
    <n v="2750.26"/>
    <n v="2758.21"/>
    <n v="2758.21"/>
    <n v="2767.57"/>
    <n v="2819.27"/>
    <n v="2819.27"/>
    <n v="2819.27"/>
    <n v="3819.27"/>
    <n v="34066.07"/>
    <n v="2838.8391666666666"/>
    <s v="430008123210"/>
    <n v="15752"/>
  </r>
  <r>
    <m/>
    <x v="0"/>
    <x v="0"/>
    <s v="ASSIST. TÉCNICA - LOGÍSTICA"/>
    <x v="3"/>
    <x v="0"/>
    <x v="15"/>
    <m/>
    <x v="3"/>
    <n v="0"/>
    <n v="0"/>
    <n v="0"/>
    <n v="0"/>
    <n v="0"/>
    <n v="0"/>
    <n v="0"/>
    <n v="0"/>
    <n v="0"/>
    <n v="0"/>
    <n v="0"/>
    <n v="280.47000000000003"/>
    <n v="280.47000000000003"/>
    <n v="23.372500000000002"/>
    <s v="430008123210"/>
    <n v="15752"/>
  </r>
  <r>
    <m/>
    <x v="0"/>
    <x v="0"/>
    <s v="ASSIST. TÉCNICA - LOGÍSTICA"/>
    <x v="3"/>
    <x v="0"/>
    <x v="15"/>
    <m/>
    <x v="6"/>
    <n v="0"/>
    <n v="0"/>
    <n v="0"/>
    <n v="0"/>
    <n v="0"/>
    <n v="0"/>
    <n v="0"/>
    <n v="0"/>
    <n v="22500"/>
    <n v="0"/>
    <n v="0"/>
    <n v="-22500"/>
    <n v="0"/>
    <n v="0"/>
    <s v="430008123210"/>
    <n v="15752"/>
  </r>
  <r>
    <m/>
    <x v="0"/>
    <x v="0"/>
    <s v="ASSIST. TÉCNICA - LOGÍSTICA"/>
    <x v="3"/>
    <x v="0"/>
    <x v="15"/>
    <m/>
    <x v="7"/>
    <n v="0"/>
    <n v="0"/>
    <n v="0"/>
    <n v="0"/>
    <n v="0"/>
    <n v="0"/>
    <n v="0"/>
    <n v="0"/>
    <n v="1968"/>
    <n v="0"/>
    <n v="0"/>
    <n v="0"/>
    <n v="1968"/>
    <n v="164"/>
    <s v="430008123210"/>
    <n v="15752"/>
  </r>
  <r>
    <m/>
    <x v="0"/>
    <x v="0"/>
    <s v="ASSIST. TÉCNICA - LOGÍSTICA"/>
    <x v="3"/>
    <x v="0"/>
    <x v="15"/>
    <s v="Detalhar na aba &quot;4300081 - MANUT. E ALUGUEL DE S&quot;"/>
    <x v="8"/>
    <n v="1180"/>
    <n v="1180"/>
    <n v="1180"/>
    <n v="1180"/>
    <n v="1180"/>
    <n v="1180"/>
    <n v="1180"/>
    <n v="1180"/>
    <n v="4740"/>
    <n v="1180"/>
    <n v="1180"/>
    <n v="1180"/>
    <n v="17720"/>
    <n v="1476.6666666666667"/>
    <s v="430008123210"/>
    <n v="15752"/>
  </r>
  <r>
    <m/>
    <x v="0"/>
    <x v="0"/>
    <s v="ASSIST. TÉCNICA - LOGÍSTICA"/>
    <x v="4"/>
    <x v="0"/>
    <x v="16"/>
    <m/>
    <x v="0"/>
    <n v="0"/>
    <n v="0"/>
    <n v="0"/>
    <n v="0"/>
    <n v="0"/>
    <n v="0"/>
    <n v="0"/>
    <n v="0"/>
    <n v="1200"/>
    <n v="0"/>
    <n v="0"/>
    <n v="0"/>
    <n v="1200"/>
    <n v="100"/>
    <s v="430002123210"/>
    <n v="0"/>
  </r>
  <r>
    <m/>
    <x v="0"/>
    <x v="0"/>
    <s v="ASSIST. TÉCNICA - LOGÍSTICA"/>
    <x v="4"/>
    <x v="0"/>
    <x v="17"/>
    <m/>
    <x v="0"/>
    <n v="1760.78"/>
    <n v="1782.67"/>
    <n v="1658.85"/>
    <n v="1686.77"/>
    <n v="1661.39"/>
    <n v="1631.55"/>
    <n v="2677.52"/>
    <n v="3874.96"/>
    <n v="1536.09"/>
    <n v="1620.74"/>
    <n v="2826.37"/>
    <n v="1766.1799999999998"/>
    <n v="24483.87"/>
    <n v="2040.3225"/>
    <s v="430002323210"/>
    <n v="0"/>
  </r>
  <r>
    <m/>
    <x v="0"/>
    <x v="0"/>
    <s v="ASSIST. TÉCNICA - LOGÍSTICA"/>
    <x v="4"/>
    <x v="0"/>
    <x v="17"/>
    <m/>
    <x v="1"/>
    <n v="2635.7400000000002"/>
    <n v="1385.42"/>
    <n v="4678.5199999999995"/>
    <n v="1349.51"/>
    <n v="1225"/>
    <n v="1615.23"/>
    <n v="1696.27"/>
    <n v="1637.75"/>
    <n v="1598.64"/>
    <n v="1507.21"/>
    <n v="1787.62"/>
    <n v="1748.3300000000002"/>
    <n v="22865.24"/>
    <n v="1905.4366666666667"/>
    <s v="430002323210"/>
    <n v="0"/>
  </r>
  <r>
    <m/>
    <x v="0"/>
    <x v="0"/>
    <s v="ASSIST. TÉCNICA - LOGÍSTICA"/>
    <x v="4"/>
    <x v="0"/>
    <x v="17"/>
    <m/>
    <x v="2"/>
    <n v="1591.21"/>
    <n v="1601.75"/>
    <n v="1733.56"/>
    <n v="1774.85"/>
    <n v="12395.92"/>
    <n v="9792.3900000000012"/>
    <n v="1080.8499999999999"/>
    <n v="1378.77"/>
    <n v="1444.15"/>
    <n v="689.22"/>
    <n v="2021.63"/>
    <n v="1002.16"/>
    <n v="36506.46"/>
    <n v="3042.2049999999999"/>
    <s v="430002323210"/>
    <n v="0"/>
  </r>
  <r>
    <m/>
    <x v="0"/>
    <x v="0"/>
    <s v="ASSIST. TÉCNICA - LOGÍSTICA"/>
    <x v="4"/>
    <x v="0"/>
    <x v="17"/>
    <m/>
    <x v="3"/>
    <n v="10612.05"/>
    <n v="2174.85"/>
    <n v="2208.42"/>
    <n v="2376.21"/>
    <n v="1717.45"/>
    <n v="2285"/>
    <n v="2398.71"/>
    <n v="2663.31"/>
    <n v="1981.79"/>
    <n v="2305.14"/>
    <n v="2114.42"/>
    <n v="2639.13"/>
    <n v="35476.479999999996"/>
    <n v="2956.373333333333"/>
    <s v="430002323210"/>
    <n v="0"/>
  </r>
  <r>
    <m/>
    <x v="0"/>
    <x v="0"/>
    <s v="ASSIST. TÉCNICA - LOGÍSTICA"/>
    <x v="4"/>
    <x v="0"/>
    <x v="17"/>
    <m/>
    <x v="4"/>
    <n v="2596.7399999999998"/>
    <n v="2508.2399999999998"/>
    <n v="7611.33"/>
    <n v="6295.95"/>
    <n v="6650.9700000000012"/>
    <n v="12684.65"/>
    <n v="12353.96"/>
    <n v="12726"/>
    <n v="11370.16"/>
    <n v="11402.29"/>
    <n v="12184.970000000001"/>
    <n v="15250.369999999999"/>
    <n v="113635.63"/>
    <n v="9469.6358333333337"/>
    <s v="430002323210"/>
    <n v="0"/>
  </r>
  <r>
    <m/>
    <x v="0"/>
    <x v="0"/>
    <s v="ASSIST. TÉCNICA - LOGÍSTICA"/>
    <x v="4"/>
    <x v="0"/>
    <x v="17"/>
    <m/>
    <x v="5"/>
    <n v="18186.05"/>
    <n v="0"/>
    <n v="0"/>
    <n v="0"/>
    <n v="0"/>
    <n v="0"/>
    <n v="0"/>
    <n v="0"/>
    <n v="0"/>
    <n v="0"/>
    <n v="0"/>
    <n v="0"/>
    <n v="18186.05"/>
    <n v="1515.5041666666666"/>
    <s v="430002323210"/>
    <n v="0"/>
  </r>
  <r>
    <m/>
    <x v="0"/>
    <x v="0"/>
    <s v="ASSIST. TÉCNICA - LOGÍSTICA"/>
    <x v="4"/>
    <x v="0"/>
    <x v="18"/>
    <m/>
    <x v="0"/>
    <n v="960.54000000000008"/>
    <n v="389.3"/>
    <n v="1197.5"/>
    <n v="0"/>
    <n v="0"/>
    <n v="1947.5"/>
    <n v="209.25"/>
    <n v="1345.2"/>
    <n v="0"/>
    <n v="52.17"/>
    <n v="1747.24"/>
    <n v="1608.06"/>
    <n v="9456.76"/>
    <n v="788.06333333333339"/>
    <s v="430003223210"/>
    <n v="27015.93"/>
  </r>
  <r>
    <m/>
    <x v="0"/>
    <x v="0"/>
    <s v="ASSIST. TÉCNICA - LOGÍSTICA"/>
    <x v="4"/>
    <x v="0"/>
    <x v="18"/>
    <m/>
    <x v="1"/>
    <n v="0"/>
    <n v="627.72"/>
    <n v="0"/>
    <n v="0"/>
    <n v="72.64"/>
    <n v="1439.55"/>
    <n v="0"/>
    <n v="837.01"/>
    <n v="0"/>
    <n v="657"/>
    <n v="0"/>
    <n v="320"/>
    <n v="3953.92"/>
    <n v="329.49333333333334"/>
    <s v="430003223210"/>
    <n v="27015.93"/>
  </r>
  <r>
    <m/>
    <x v="0"/>
    <x v="0"/>
    <s v="ASSIST. TÉCNICA - LOGÍSTICA"/>
    <x v="4"/>
    <x v="0"/>
    <x v="18"/>
    <m/>
    <x v="3"/>
    <n v="0"/>
    <n v="0"/>
    <n v="0"/>
    <n v="0"/>
    <n v="0"/>
    <n v="0"/>
    <n v="0"/>
    <n v="945"/>
    <n v="0"/>
    <n v="0"/>
    <n v="168.5"/>
    <n v="0"/>
    <n v="1113.5"/>
    <n v="92.791666666666671"/>
    <s v="430003223210"/>
    <n v="27015.93"/>
  </r>
  <r>
    <m/>
    <x v="0"/>
    <x v="0"/>
    <s v="ASSIST. TÉCNICA - LOGÍSTICA"/>
    <x v="4"/>
    <x v="0"/>
    <x v="18"/>
    <m/>
    <x v="4"/>
    <n v="0"/>
    <n v="0"/>
    <n v="0"/>
    <n v="0"/>
    <n v="0"/>
    <n v="0"/>
    <n v="0"/>
    <n v="0"/>
    <n v="0"/>
    <n v="0"/>
    <n v="0"/>
    <n v="0"/>
    <n v="0"/>
    <n v="0"/>
    <s v="430003223210"/>
    <n v="27015.93"/>
  </r>
  <r>
    <m/>
    <x v="0"/>
    <x v="0"/>
    <s v="ASSIST. TÉCNICA - LOGÍSTICA"/>
    <x v="4"/>
    <x v="0"/>
    <x v="18"/>
    <m/>
    <x v="5"/>
    <n v="0"/>
    <n v="11"/>
    <n v="4086.07"/>
    <n v="862.02"/>
    <n v="0"/>
    <n v="1292.7700000000002"/>
    <n v="0"/>
    <n v="258.01"/>
    <n v="0"/>
    <n v="0"/>
    <n v="0"/>
    <n v="0"/>
    <n v="6509.8700000000008"/>
    <n v="542.48916666666673"/>
    <s v="430003223210"/>
    <n v="27015.93"/>
  </r>
  <r>
    <m/>
    <x v="0"/>
    <x v="0"/>
    <s v="ASSIST. TÉCNICA - LOGÍSTICA"/>
    <x v="4"/>
    <x v="0"/>
    <x v="18"/>
    <m/>
    <x v="6"/>
    <n v="0"/>
    <n v="0"/>
    <n v="0"/>
    <n v="49.8"/>
    <n v="0"/>
    <n v="0"/>
    <n v="35396.400000000001"/>
    <n v="0"/>
    <n v="0"/>
    <n v="0"/>
    <n v="0"/>
    <n v="65.599999999999994"/>
    <n v="35511.800000000003"/>
    <n v="2959.3166666666671"/>
    <s v="430003223210"/>
    <n v="27015.93"/>
  </r>
  <r>
    <m/>
    <x v="0"/>
    <x v="0"/>
    <s v="ASSIST. TÉCNICA - LOGÍSTICA"/>
    <x v="4"/>
    <x v="0"/>
    <x v="18"/>
    <m/>
    <x v="7"/>
    <n v="5923.9"/>
    <n v="30451.170000000002"/>
    <n v="0"/>
    <n v="0"/>
    <n v="0"/>
    <n v="270"/>
    <n v="0"/>
    <n v="0"/>
    <n v="0"/>
    <n v="0"/>
    <n v="0"/>
    <n v="0"/>
    <n v="36645.07"/>
    <n v="3053.7558333333332"/>
    <s v="430003223210"/>
    <n v="27015.93"/>
  </r>
  <r>
    <m/>
    <x v="0"/>
    <x v="0"/>
    <s v="ASSIST. TÉCNICA - LOGÍSTICA"/>
    <x v="4"/>
    <x v="0"/>
    <x v="18"/>
    <s v="Detalhar na aba &quot;Detalhamento&quot;"/>
    <x v="8"/>
    <n v="19800"/>
    <n v="22691"/>
    <n v="20900"/>
    <n v="0"/>
    <n v="0"/>
    <n v="0"/>
    <n v="270"/>
    <n v="0"/>
    <n v="0"/>
    <n v="0"/>
    <n v="0"/>
    <n v="0"/>
    <n v="63661"/>
    <n v="5305.083333333333"/>
    <s v="430003223210"/>
    <n v="27015.93"/>
  </r>
  <r>
    <m/>
    <x v="0"/>
    <x v="0"/>
    <s v="ASSIST. TÉCNICA - LOGÍSTICA"/>
    <x v="4"/>
    <x v="0"/>
    <x v="19"/>
    <m/>
    <x v="0"/>
    <n v="1688.04"/>
    <n v="845"/>
    <n v="2280"/>
    <n v="0"/>
    <n v="1090.67"/>
    <n v="885.68000000000006"/>
    <n v="474.56"/>
    <n v="709.36"/>
    <n v="1500"/>
    <n v="1955.9099999999999"/>
    <n v="1580"/>
    <n v="1051.6000000000001"/>
    <n v="14060.820000000002"/>
    <n v="1171.7350000000001"/>
    <s v="430003423210"/>
    <n v="114562.39"/>
  </r>
  <r>
    <m/>
    <x v="0"/>
    <x v="0"/>
    <s v="ASSIST. TÉCNICA - LOGÍSTICA"/>
    <x v="4"/>
    <x v="0"/>
    <x v="19"/>
    <m/>
    <x v="1"/>
    <n v="902.17000000000007"/>
    <n v="1025"/>
    <n v="619.15"/>
    <n v="0"/>
    <n v="498.83"/>
    <n v="0"/>
    <n v="818"/>
    <n v="1424.46"/>
    <n v="0"/>
    <n v="1298.8"/>
    <n v="1149.25"/>
    <n v="1952.95"/>
    <n v="9688.61"/>
    <n v="807.38416666666672"/>
    <s v="430003423210"/>
    <n v="114562.39"/>
  </r>
  <r>
    <m/>
    <x v="0"/>
    <x v="0"/>
    <s v="ASSIST. TÉCNICA - LOGÍSTICA"/>
    <x v="4"/>
    <x v="0"/>
    <x v="19"/>
    <m/>
    <x v="3"/>
    <n v="0"/>
    <n v="0"/>
    <n v="0"/>
    <n v="0"/>
    <n v="247.42"/>
    <n v="0"/>
    <n v="0"/>
    <n v="0"/>
    <n v="0"/>
    <n v="0"/>
    <n v="0"/>
    <n v="0"/>
    <n v="247.42"/>
    <n v="20.618333333333332"/>
    <s v="430003423210"/>
    <n v="114562.39"/>
  </r>
  <r>
    <m/>
    <x v="0"/>
    <x v="0"/>
    <s v="ASSIST. TÉCNICA - LOGÍSTICA"/>
    <x v="4"/>
    <x v="0"/>
    <x v="19"/>
    <m/>
    <x v="4"/>
    <n v="0"/>
    <n v="0"/>
    <n v="0"/>
    <n v="0"/>
    <n v="0"/>
    <n v="0"/>
    <n v="0"/>
    <n v="0"/>
    <n v="0"/>
    <n v="0"/>
    <n v="0"/>
    <n v="0"/>
    <n v="0"/>
    <n v="0"/>
    <s v="430003423210"/>
    <n v="114562.39"/>
  </r>
  <r>
    <m/>
    <x v="0"/>
    <x v="0"/>
    <s v="ASSIST. TÉCNICA - LOGÍSTICA"/>
    <x v="4"/>
    <x v="0"/>
    <x v="19"/>
    <m/>
    <x v="5"/>
    <n v="0"/>
    <n v="0"/>
    <n v="0"/>
    <n v="0"/>
    <n v="0"/>
    <n v="0"/>
    <n v="10757.779999999999"/>
    <n v="1406.5"/>
    <n v="0"/>
    <n v="0"/>
    <n v="0"/>
    <n v="0"/>
    <n v="12164.279999999999"/>
    <n v="1013.6899999999999"/>
    <s v="430003423210"/>
    <n v="114562.39"/>
  </r>
  <r>
    <m/>
    <x v="0"/>
    <x v="0"/>
    <s v="ASSIST. TÉCNICA - LOGÍSTICA"/>
    <x v="4"/>
    <x v="0"/>
    <x v="19"/>
    <m/>
    <x v="6"/>
    <n v="3255"/>
    <n v="0"/>
    <n v="3315.22"/>
    <n v="207.89000000000001"/>
    <n v="0"/>
    <n v="0"/>
    <n v="471.02"/>
    <n v="0"/>
    <n v="0"/>
    <n v="0"/>
    <n v="0"/>
    <n v="7401.5"/>
    <n v="14650.63"/>
    <n v="1220.8858333333333"/>
    <s v="430003423210"/>
    <n v="114562.39"/>
  </r>
  <r>
    <m/>
    <x v="0"/>
    <x v="0"/>
    <s v="ASSIST. TÉCNICA - LOGÍSTICA"/>
    <x v="4"/>
    <x v="0"/>
    <x v="19"/>
    <m/>
    <x v="7"/>
    <n v="-292.5"/>
    <n v="10075.050000000001"/>
    <n v="0"/>
    <n v="-10133.799999999999"/>
    <n v="103.96"/>
    <n v="0"/>
    <n v="0"/>
    <n v="839.9"/>
    <n v="0"/>
    <n v="0"/>
    <n v="0"/>
    <n v="0"/>
    <n v="592.61000000000172"/>
    <n v="49.384166666666808"/>
    <s v="430003423210"/>
    <n v="114562.39"/>
  </r>
  <r>
    <m/>
    <x v="0"/>
    <x v="0"/>
    <s v="ASSIST. TÉCNICA - LOGÍSTICA"/>
    <x v="4"/>
    <x v="0"/>
    <x v="19"/>
    <s v="Detalhar na aba &quot;Detalhamento&quot;"/>
    <x v="8"/>
    <n v="11385"/>
    <n v="9000"/>
    <n v="9000"/>
    <n v="9000"/>
    <n v="9000"/>
    <n v="11385"/>
    <n v="9000"/>
    <n v="9000"/>
    <n v="9000"/>
    <n v="9000"/>
    <n v="11385"/>
    <n v="9000"/>
    <n v="115155"/>
    <n v="9596.25"/>
    <s v="430003423210"/>
    <n v="114562.39"/>
  </r>
  <r>
    <m/>
    <x v="0"/>
    <x v="0"/>
    <s v="ASSIST. TÉCNICA - LOGÍSTICA"/>
    <x v="4"/>
    <x v="0"/>
    <x v="20"/>
    <m/>
    <x v="0"/>
    <n v="3960"/>
    <n v="0"/>
    <n v="0"/>
    <n v="364.38"/>
    <n v="0"/>
    <n v="0"/>
    <n v="0"/>
    <n v="0"/>
    <n v="0"/>
    <n v="0"/>
    <n v="0"/>
    <n v="0"/>
    <n v="4324.38"/>
    <n v="360.36500000000001"/>
    <s v="430004923210"/>
    <n v="0"/>
  </r>
  <r>
    <m/>
    <x v="0"/>
    <x v="0"/>
    <s v="ASSIST. TÉCNICA - LOGÍSTICA"/>
    <x v="4"/>
    <x v="0"/>
    <x v="20"/>
    <m/>
    <x v="1"/>
    <n v="577"/>
    <n v="0"/>
    <n v="0"/>
    <n v="0"/>
    <n v="0"/>
    <n v="0"/>
    <n v="0"/>
    <n v="0"/>
    <n v="0"/>
    <n v="0"/>
    <n v="590"/>
    <n v="0"/>
    <n v="1167"/>
    <n v="97.25"/>
    <s v="430004923210"/>
    <n v="0"/>
  </r>
  <r>
    <m/>
    <x v="0"/>
    <x v="0"/>
    <s v="ASSIST. TÉCNICA - LOGÍSTICA"/>
    <x v="5"/>
    <x v="0"/>
    <x v="21"/>
    <m/>
    <x v="0"/>
    <n v="540"/>
    <n v="149781.43000000002"/>
    <n v="140198.42000000001"/>
    <n v="196919.35"/>
    <n v="197576.26"/>
    <n v="128978.42"/>
    <n v="280256.25"/>
    <n v="183481.87000000002"/>
    <n v="194506.86"/>
    <n v="167475.65"/>
    <n v="180657.29"/>
    <n v="179441.65"/>
    <n v="1999813.4500000002"/>
    <n v="166651.12083333335"/>
    <s v="430005223210"/>
    <n v="288673.15600690152"/>
  </r>
  <r>
    <m/>
    <x v="0"/>
    <x v="0"/>
    <s v="ASSIST. TÉCNICA - LOGÍSTICA"/>
    <x v="5"/>
    <x v="0"/>
    <x v="21"/>
    <m/>
    <x v="1"/>
    <n v="109"/>
    <n v="187323.89"/>
    <n v="183050.91"/>
    <n v="185921.12999999998"/>
    <n v="214840.76"/>
    <n v="184114.95"/>
    <n v="136589.78"/>
    <n v="178252.59999999998"/>
    <n v="133046.70000000001"/>
    <n v="146512.50999999995"/>
    <n v="145196.91"/>
    <n v="125067.25"/>
    <n v="1820026.39"/>
    <n v="151668.86583333332"/>
    <s v="430005223210"/>
    <n v="288673.15600690152"/>
  </r>
  <r>
    <m/>
    <x v="0"/>
    <x v="0"/>
    <s v="ASSIST. TÉCNICA - LOGÍSTICA"/>
    <x v="5"/>
    <x v="0"/>
    <x v="21"/>
    <m/>
    <x v="2"/>
    <n v="469"/>
    <n v="102837.57"/>
    <n v="86864.93"/>
    <n v="78965.3"/>
    <n v="57253.84"/>
    <n v="81633.06"/>
    <n v="82099.429999999993"/>
    <n v="79806"/>
    <n v="90073.54"/>
    <n v="92893.33"/>
    <n v="108169.19"/>
    <n v="89870.15"/>
    <n v="950935.34"/>
    <n v="79244.611666666664"/>
    <s v="430005223210"/>
    <n v="288673.15600690152"/>
  </r>
  <r>
    <m/>
    <x v="0"/>
    <x v="0"/>
    <s v="ASSIST. TÉCNICA - LOGÍSTICA"/>
    <x v="5"/>
    <x v="0"/>
    <x v="21"/>
    <m/>
    <x v="3"/>
    <n v="73839.710000000006"/>
    <n v="71811.289999999994"/>
    <n v="76825.899999999994"/>
    <n v="105593.37"/>
    <n v="114649.27"/>
    <n v="102393.11"/>
    <n v="96209.33"/>
    <n v="124535.24"/>
    <n v="96825.74"/>
    <n v="94513.68"/>
    <n v="94887.78"/>
    <n v="77045.56"/>
    <n v="1129129.98"/>
    <n v="94094.164999999994"/>
    <s v="430005223210"/>
    <n v="288673.15600690152"/>
  </r>
  <r>
    <m/>
    <x v="0"/>
    <x v="0"/>
    <s v="ASSIST. TÉCNICA - LOGÍSTICA"/>
    <x v="5"/>
    <x v="0"/>
    <x v="21"/>
    <m/>
    <x v="4"/>
    <n v="88265.02"/>
    <n v="81505.279999999999"/>
    <n v="52202.649999999994"/>
    <n v="48986.67"/>
    <n v="57440.04"/>
    <n v="56447.130000000005"/>
    <n v="58119.08"/>
    <n v="51754"/>
    <n v="50036.41"/>
    <n v="48824.29"/>
    <n v="42139.46"/>
    <n v="37054"/>
    <n v="672774.03"/>
    <n v="56064.502500000002"/>
    <s v="430005223210"/>
    <n v="288673.15600690152"/>
  </r>
  <r>
    <m/>
    <x v="0"/>
    <x v="0"/>
    <s v="ASSIST. TÉCNICA - LOGÍSTICA"/>
    <x v="5"/>
    <x v="0"/>
    <x v="21"/>
    <m/>
    <x v="5"/>
    <n v="50419.08"/>
    <n v="45931"/>
    <n v="62570.96"/>
    <n v="65481.94000000001"/>
    <n v="99418.36"/>
    <n v="89162.4"/>
    <n v="121377.36"/>
    <n v="104655.61"/>
    <n v="129317.86"/>
    <n v="108834.4"/>
    <n v="139314.46"/>
    <n v="143138.47"/>
    <n v="1159621.8999999999"/>
    <n v="96635.158333333326"/>
    <s v="430005223210"/>
    <n v="288673.15600690152"/>
  </r>
  <r>
    <m/>
    <x v="0"/>
    <x v="0"/>
    <s v="ASSIST. TÉCNICA - LOGÍSTICA"/>
    <x v="5"/>
    <x v="0"/>
    <x v="21"/>
    <m/>
    <x v="6"/>
    <n v="138661.35999999999"/>
    <n v="148156.97"/>
    <n v="134999.35999999999"/>
    <n v="80458.36"/>
    <n v="6386.39"/>
    <n v="4225.1000000000004"/>
    <n v="2933.1"/>
    <n v="3902.41"/>
    <n v="3944.45"/>
    <n v="97390"/>
    <n v="117410.09"/>
    <n v="3358.37"/>
    <n v="741825.95999999985"/>
    <n v="61818.829999999987"/>
    <s v="430005223210"/>
    <n v="288673.15600690152"/>
  </r>
  <r>
    <m/>
    <x v="0"/>
    <x v="0"/>
    <s v="ASSIST. TÉCNICA - LOGÍSTICA"/>
    <x v="5"/>
    <x v="0"/>
    <x v="21"/>
    <m/>
    <x v="7"/>
    <n v="2843.77"/>
    <n v="135983.03"/>
    <n v="131583.24"/>
    <n v="1337.46"/>
    <n v="2.0000000018626451E-2"/>
    <n v="0"/>
    <n v="175288.40999999997"/>
    <n v="229711.68000000002"/>
    <n v="82328.525286877077"/>
    <n v="84959.522795582627"/>
    <n v="80210.922383232959"/>
    <n v="65467.594951406005"/>
    <n v="989714.17541709868"/>
    <n v="82476.181284758219"/>
    <s v="430005223210"/>
    <n v="288673.15600690152"/>
  </r>
  <r>
    <m/>
    <x v="0"/>
    <x v="0"/>
    <s v="ASSIST. TÉCNICA - LOGÍSTICA"/>
    <x v="5"/>
    <x v="0"/>
    <x v="21"/>
    <s v="Detalhar na aba &quot;4300056 e 4300052 - FRETES&quot;"/>
    <x v="8"/>
    <n v="126402.31072000002"/>
    <n v="90697.765759999995"/>
    <n v="91892.411520000023"/>
    <n v="93034.403840000014"/>
    <n v="87375.447040000014"/>
    <n v="108731.56896"/>
    <n v="117233.31177600002"/>
    <n v="106649.212992"/>
    <n v="122450.46293760002"/>
    <n v="127264.77200640002"/>
    <n v="113095.32326400002"/>
    <n v="93560.340608000013"/>
    <n v="1278387.3314240002"/>
    <n v="106532.27761866669"/>
    <s v="430005223210"/>
    <n v="288673.15600690152"/>
  </r>
  <r>
    <m/>
    <x v="0"/>
    <x v="0"/>
    <s v="ASSIST. TÉCNICA - LOGÍSTICA"/>
    <x v="5"/>
    <x v="2"/>
    <x v="21"/>
    <m/>
    <x v="0"/>
    <n v="0"/>
    <n v="0"/>
    <n v="0"/>
    <n v="0"/>
    <n v="0"/>
    <n v="0"/>
    <n v="0"/>
    <n v="-62980.14"/>
    <n v="0"/>
    <n v="0"/>
    <n v="0"/>
    <n v="0"/>
    <n v="-62980.14"/>
    <n v="-5248.3450000000003"/>
    <s v="430005223221"/>
    <n v="0"/>
  </r>
  <r>
    <m/>
    <x v="0"/>
    <x v="0"/>
    <s v="ASSIST. TÉCNICA - LOGÍSTICA"/>
    <x v="5"/>
    <x v="2"/>
    <x v="21"/>
    <m/>
    <x v="1"/>
    <n v="0"/>
    <n v="0"/>
    <n v="1034.3499999999999"/>
    <n v="5195.46"/>
    <n v="3014.47"/>
    <n v="2705.46"/>
    <n v="1867.43"/>
    <n v="4543.9799999999996"/>
    <n v="4454.28"/>
    <n v="50077.7"/>
    <n v="2624.99"/>
    <n v="3755.61"/>
    <n v="79273.73"/>
    <n v="6606.144166666666"/>
    <s v="430005223221"/>
    <n v="0"/>
  </r>
  <r>
    <m/>
    <x v="0"/>
    <x v="0"/>
    <s v="ASSIST. TÉCNICA - LOGÍSTICA"/>
    <x v="5"/>
    <x v="2"/>
    <x v="21"/>
    <m/>
    <x v="2"/>
    <n v="3028.98"/>
    <n v="2358.85"/>
    <n v="1097.5899999999999"/>
    <n v="3655.39"/>
    <n v="2788.39"/>
    <n v="1241.6099999999999"/>
    <n v="2645.64"/>
    <n v="1150.4100000000001"/>
    <n v="980.96"/>
    <n v="1562.82"/>
    <n v="0"/>
    <n v="0"/>
    <n v="20510.64"/>
    <n v="1709.22"/>
    <s v="430005223221"/>
    <n v="0"/>
  </r>
  <r>
    <m/>
    <x v="0"/>
    <x v="0"/>
    <s v="ASSIST. TÉCNICA - LOGÍSTICA"/>
    <x v="5"/>
    <x v="1"/>
    <x v="22"/>
    <m/>
    <x v="1"/>
    <n v="0"/>
    <n v="0"/>
    <n v="0"/>
    <n v="0"/>
    <n v="0"/>
    <n v="0"/>
    <n v="129.38"/>
    <n v="50.45"/>
    <n v="0"/>
    <n v="0"/>
    <n v="22894.419999999987"/>
    <n v="0"/>
    <n v="23074.249999999989"/>
    <n v="1922.8541666666658"/>
    <s v="430005623200"/>
    <n v="0"/>
  </r>
  <r>
    <m/>
    <x v="0"/>
    <x v="0"/>
    <s v="ASSIST. TÉCNICA - LOGÍSTICA"/>
    <x v="5"/>
    <x v="1"/>
    <x v="22"/>
    <m/>
    <x v="2"/>
    <n v="0"/>
    <n v="0"/>
    <n v="0"/>
    <n v="0"/>
    <n v="0"/>
    <n v="222.12"/>
    <n v="13897.080000000002"/>
    <n v="0"/>
    <n v="0"/>
    <n v="0"/>
    <n v="0"/>
    <n v="0"/>
    <n v="14119.200000000003"/>
    <n v="1176.6000000000001"/>
    <s v="430005623200"/>
    <n v="0"/>
  </r>
  <r>
    <m/>
    <x v="0"/>
    <x v="0"/>
    <s v="ASSIST. TÉCNICA - LOGÍSTICA"/>
    <x v="5"/>
    <x v="1"/>
    <x v="22"/>
    <m/>
    <x v="4"/>
    <n v="0"/>
    <n v="0"/>
    <n v="0"/>
    <n v="0"/>
    <n v="0"/>
    <n v="0"/>
    <n v="0"/>
    <n v="0"/>
    <n v="49.080000000000155"/>
    <n v="-210.51"/>
    <n v="0"/>
    <n v="0"/>
    <n v="-161.42999999999984"/>
    <n v="-13.452499999999986"/>
    <s v="430005623200"/>
    <n v="0"/>
  </r>
  <r>
    <m/>
    <x v="0"/>
    <x v="0"/>
    <s v="ASSIST. TÉCNICA - LOGÍSTICA"/>
    <x v="5"/>
    <x v="0"/>
    <x v="22"/>
    <m/>
    <x v="0"/>
    <n v="-275737.87"/>
    <n v="70253.27000000012"/>
    <n v="240656.04000000004"/>
    <n v="195423.51000000015"/>
    <n v="178189.48999999993"/>
    <n v="286493.81000000011"/>
    <n v="226220.89999999997"/>
    <n v="226085.4800000001"/>
    <n v="1094014.6999999993"/>
    <n v="-602814.28000000014"/>
    <n v="248557.8"/>
    <n v="247833.71999999983"/>
    <n v="2135176.5699999994"/>
    <n v="177931.38083333327"/>
    <s v="430005623210"/>
    <n v="592026.12508031353"/>
  </r>
  <r>
    <m/>
    <x v="0"/>
    <x v="0"/>
    <s v="ASSIST. TÉCNICA - LOGÍSTICA"/>
    <x v="5"/>
    <x v="0"/>
    <x v="22"/>
    <m/>
    <x v="1"/>
    <n v="302233.37000000005"/>
    <n v="320311.05000000016"/>
    <n v="391103.96999999991"/>
    <n v="348097.2900000001"/>
    <n v="421495.89000000042"/>
    <n v="432488.35"/>
    <n v="1065531.1300000004"/>
    <n v="455104.29999999993"/>
    <n v="166498.24000000051"/>
    <n v="662269.26000000013"/>
    <n v="577520.73000000021"/>
    <n v="841731.19999999984"/>
    <n v="5984384.7800000021"/>
    <n v="498698.73166666686"/>
    <s v="430005623210"/>
    <n v="592026.12508031353"/>
  </r>
  <r>
    <m/>
    <x v="0"/>
    <x v="0"/>
    <s v="ASSIST. TÉCNICA - LOGÍSTICA"/>
    <x v="5"/>
    <x v="0"/>
    <x v="22"/>
    <m/>
    <x v="2"/>
    <n v="-76136.989999999947"/>
    <n v="403108.0499999997"/>
    <n v="479927.85999999929"/>
    <n v="320184.76999999973"/>
    <n v="315204.5900000002"/>
    <n v="364921.05000000016"/>
    <n v="523906.74999999977"/>
    <n v="568696.4800000001"/>
    <n v="561175.91"/>
    <n v="592545.89999999991"/>
    <n v="596878.26999999979"/>
    <n v="493590.23999999993"/>
    <n v="5144002.879999999"/>
    <n v="428666.90666666656"/>
    <s v="430005623210"/>
    <n v="592026.12508031353"/>
  </r>
  <r>
    <m/>
    <x v="0"/>
    <x v="0"/>
    <s v="ASSIST. TÉCNICA - LOGÍSTICA"/>
    <x v="5"/>
    <x v="0"/>
    <x v="22"/>
    <m/>
    <x v="3"/>
    <n v="560599.89"/>
    <n v="562271.56999999983"/>
    <n v="702740.92000000027"/>
    <n v="774154.61999999965"/>
    <n v="722537.97999999986"/>
    <n v="597255.65000000037"/>
    <n v="627285.26"/>
    <n v="684374.77999999968"/>
    <n v="558289.95999999961"/>
    <n v="514808.08"/>
    <n v="699451.26"/>
    <n v="1170070.4999999993"/>
    <n v="8173840.4699999988"/>
    <n v="681153.37249999994"/>
    <s v="430005623210"/>
    <n v="592026.12508031353"/>
  </r>
  <r>
    <m/>
    <x v="0"/>
    <x v="0"/>
    <s v="ASSIST. TÉCNICA - LOGÍSTICA"/>
    <x v="5"/>
    <x v="0"/>
    <x v="22"/>
    <m/>
    <x v="4"/>
    <n v="704410.38999999955"/>
    <n v="-157803.48000000021"/>
    <n v="842680.79000000015"/>
    <n v="616269.22000000032"/>
    <n v="761663.59999999963"/>
    <n v="801845.06"/>
    <n v="639848.63999999966"/>
    <n v="1161089"/>
    <n v="275211.08999999956"/>
    <n v="1220497.0500000003"/>
    <n v="715423.55999999924"/>
    <n v="576623.81000000029"/>
    <n v="8157758.7299999995"/>
    <n v="679813.22749999992"/>
    <s v="430005623210"/>
    <n v="592026.12508031353"/>
  </r>
  <r>
    <m/>
    <x v="0"/>
    <x v="0"/>
    <s v="ASSIST. TÉCNICA - LOGÍSTICA"/>
    <x v="5"/>
    <x v="0"/>
    <x v="22"/>
    <m/>
    <x v="5"/>
    <n v="986359.74999999953"/>
    <n v="870166"/>
    <n v="1007654.74"/>
    <n v="903147.24000000022"/>
    <n v="1082557.8800000006"/>
    <n v="1175186.5299999993"/>
    <n v="1106893.4499999997"/>
    <n v="1019088.5499999999"/>
    <n v="662911.77"/>
    <n v="873950.49999999988"/>
    <n v="802567.41999999946"/>
    <n v="1047454.8700000002"/>
    <n v="11537938.700000001"/>
    <n v="961494.89166666672"/>
    <s v="430005623210"/>
    <n v="592026.12508031353"/>
  </r>
  <r>
    <m/>
    <x v="0"/>
    <x v="0"/>
    <s v="ASSIST. TÉCNICA - LOGÍSTICA"/>
    <x v="5"/>
    <x v="0"/>
    <x v="22"/>
    <m/>
    <x v="6"/>
    <n v="335722.47999999975"/>
    <n v="950760.20999999926"/>
    <n v="629248.92999999865"/>
    <n v="1223273.6499999997"/>
    <n v="896326.12000000046"/>
    <n v="624784.75000000047"/>
    <n v="677482.91000000038"/>
    <n v="986648.13000000105"/>
    <n v="612564.50999999931"/>
    <n v="1253044"/>
    <n v="880350.23999999859"/>
    <n v="1302006.8799999994"/>
    <n v="10372212.809999997"/>
    <n v="864351.06749999977"/>
    <s v="430005623210"/>
    <n v="592026.12508031353"/>
  </r>
  <r>
    <m/>
    <x v="0"/>
    <x v="0"/>
    <s v="ASSIST. TÉCNICA - LOGÍSTICA"/>
    <x v="5"/>
    <x v="0"/>
    <x v="22"/>
    <m/>
    <x v="7"/>
    <n v="1001898.0499999983"/>
    <n v="809656.21"/>
    <n v="819691.6800000004"/>
    <n v="716399.90999999864"/>
    <n v="654641.94999999867"/>
    <n v="1447312.2599999998"/>
    <n v="432813.59999999974"/>
    <n v="1619438.41"/>
    <n v="846491.2192872701"/>
    <n v="924461.08702511596"/>
    <n v="871686.64668879029"/>
    <n v="803145.04919961595"/>
    <n v="10947636.072200788"/>
    <n v="912303.00601673231"/>
    <s v="430005623210"/>
    <n v="592026.12508031353"/>
  </r>
  <r>
    <m/>
    <x v="0"/>
    <x v="0"/>
    <s v="ASSIST. TÉCNICA - LOGÍSTICA"/>
    <x v="5"/>
    <x v="0"/>
    <x v="22"/>
    <s v="Detalhar na aba &quot;4300056 e 4300052 - FRETES&quot;"/>
    <x v="8"/>
    <n v="1076366.1274940199"/>
    <n v="841026.85935322405"/>
    <n v="850826.9273473724"/>
    <n v="900514.93279577827"/>
    <n v="859509.62652236188"/>
    <n v="991266.03201116342"/>
    <n v="1042865.0994558508"/>
    <n v="966995.17831563985"/>
    <n v="1065977.3478942739"/>
    <n v="1092872.6234945152"/>
    <n v="992356.68432134227"/>
    <n v="859084.75827555894"/>
    <n v="11539662.197281102"/>
    <n v="961638.51644009177"/>
    <s v="430005623210"/>
    <n v="592026.12508031353"/>
  </r>
  <r>
    <m/>
    <x v="0"/>
    <x v="0"/>
    <s v="ASSIST. TÉCNICA - LOGÍSTICA"/>
    <x v="5"/>
    <x v="1"/>
    <x v="23"/>
    <m/>
    <x v="0"/>
    <n v="2912.24"/>
    <n v="6579.1799999999985"/>
    <n v="285.67"/>
    <n v="6584.6000000000013"/>
    <n v="3047.6600000000003"/>
    <n v="13927.230000000001"/>
    <n v="2414.73"/>
    <n v="11834.690000000002"/>
    <n v="2213.35"/>
    <n v="7432.91"/>
    <n v="357.84999999999997"/>
    <n v="4423.2900000000009"/>
    <n v="62013.400000000009"/>
    <n v="5167.7833333333338"/>
    <s v="430009923200"/>
    <n v="0"/>
  </r>
  <r>
    <m/>
    <x v="0"/>
    <x v="0"/>
    <s v="ASSIST. TÉCNICA - LOGÍSTICA"/>
    <x v="5"/>
    <x v="1"/>
    <x v="23"/>
    <m/>
    <x v="1"/>
    <n v="6141.7500000000009"/>
    <n v="40911.270000000055"/>
    <n v="55825.830000000082"/>
    <n v="58616.399999999907"/>
    <n v="90659.349999999919"/>
    <n v="57274.940000000031"/>
    <n v="46242.200000000041"/>
    <n v="24362.079999999998"/>
    <n v="16113.199999999999"/>
    <n v="4841.8"/>
    <n v="3245.5699999999997"/>
    <n v="2818.0699999999988"/>
    <n v="407052.46000000014"/>
    <n v="33921.038333333345"/>
    <s v="430009923200"/>
    <n v="0"/>
  </r>
  <r>
    <m/>
    <x v="0"/>
    <x v="0"/>
    <s v="ASSIST. TÉCNICA - LOGÍSTICA"/>
    <x v="5"/>
    <x v="1"/>
    <x v="23"/>
    <m/>
    <x v="2"/>
    <n v="20087.060000000005"/>
    <n v="7845.6299999999992"/>
    <n v="22911.419999999984"/>
    <n v="2755.9499999999994"/>
    <n v="5528.130000000001"/>
    <n v="6418.3600000000006"/>
    <n v="262.08000000000004"/>
    <n v="2481.06"/>
    <n v="205.46"/>
    <n v="841.86"/>
    <n v="0"/>
    <n v="0"/>
    <n v="69337.009999999995"/>
    <n v="5778.0841666666665"/>
    <s v="430009923200"/>
    <n v="0"/>
  </r>
  <r>
    <m/>
    <x v="0"/>
    <x v="0"/>
    <s v="ASSIST. TÉCNICA - LOGÍSTICA"/>
    <x v="5"/>
    <x v="0"/>
    <x v="23"/>
    <m/>
    <x v="2"/>
    <n v="0"/>
    <n v="0"/>
    <n v="0"/>
    <n v="0"/>
    <n v="0"/>
    <n v="0"/>
    <n v="26.58"/>
    <n v="0"/>
    <n v="0"/>
    <n v="0"/>
    <n v="523.86"/>
    <n v="646.19999999999993"/>
    <n v="1196.6399999999999"/>
    <n v="99.719999999999985"/>
    <s v="430009923210"/>
    <n v="0"/>
  </r>
  <r>
    <m/>
    <x v="0"/>
    <x v="0"/>
    <s v="ASSIST. TÉCNICA - LOGÍSTICA"/>
    <x v="5"/>
    <x v="0"/>
    <x v="23"/>
    <m/>
    <x v="3"/>
    <n v="0"/>
    <n v="155.12"/>
    <n v="3615.41"/>
    <n v="4932.2599999999984"/>
    <n v="0"/>
    <n v="0"/>
    <n v="0"/>
    <n v="0"/>
    <n v="0"/>
    <n v="0"/>
    <n v="0"/>
    <n v="0"/>
    <n v="8702.7899999999972"/>
    <n v="725.23249999999973"/>
    <s v="430009923210"/>
    <n v="0"/>
  </r>
  <r>
    <m/>
    <x v="0"/>
    <x v="0"/>
    <s v="ASSIST. TÉCNICA - LOGÍSTICA"/>
    <x v="5"/>
    <x v="0"/>
    <x v="23"/>
    <m/>
    <x v="4"/>
    <n v="0"/>
    <n v="657.66000000000008"/>
    <n v="0"/>
    <n v="0"/>
    <n v="541.20000000000005"/>
    <n v="0"/>
    <n v="0"/>
    <n v="0"/>
    <n v="0"/>
    <n v="0"/>
    <n v="0"/>
    <n v="0"/>
    <n v="1198.8600000000001"/>
    <n v="99.905000000000015"/>
    <s v="430009923210"/>
    <n v="0"/>
  </r>
  <r>
    <m/>
    <x v="0"/>
    <x v="0"/>
    <s v="ASSIST. TÉCNICA - LOGÍSTICA"/>
    <x v="5"/>
    <x v="0"/>
    <x v="23"/>
    <m/>
    <x v="6"/>
    <n v="0"/>
    <n v="0"/>
    <n v="0"/>
    <n v="0"/>
    <n v="0"/>
    <n v="0"/>
    <n v="0"/>
    <n v="0"/>
    <n v="0"/>
    <n v="0"/>
    <n v="0"/>
    <n v="186.03"/>
    <n v="186.03"/>
    <n v="15.5025"/>
    <s v="430009923210"/>
    <n v="0"/>
  </r>
  <r>
    <m/>
    <x v="0"/>
    <x v="0"/>
    <s v="ASSIST. TÉCNICA - LOGÍSTICA"/>
    <x v="5"/>
    <x v="0"/>
    <x v="24"/>
    <m/>
    <x v="7"/>
    <n v="0"/>
    <n v="0"/>
    <n v="0"/>
    <n v="5467.5"/>
    <n v="0"/>
    <n v="3967.5"/>
    <n v="0"/>
    <n v="5826.67"/>
    <n v="13500"/>
    <n v="13500"/>
    <n v="13500"/>
    <n v="13500"/>
    <n v="69261.67"/>
    <n v="5771.8058333333329"/>
    <s v="430010023210"/>
    <n v="26738.33"/>
  </r>
  <r>
    <m/>
    <x v="0"/>
    <x v="0"/>
    <s v="ASSIST. TÉCNICA - LOGÍSTICA"/>
    <x v="5"/>
    <x v="0"/>
    <x v="24"/>
    <s v="Detalhar na aba &quot;Detalhamento&quot;"/>
    <x v="8"/>
    <n v="8000"/>
    <n v="8000"/>
    <n v="8000"/>
    <n v="8000"/>
    <n v="8000"/>
    <n v="8000"/>
    <n v="8000"/>
    <n v="8000"/>
    <n v="8000"/>
    <n v="8000"/>
    <n v="8000"/>
    <n v="8000"/>
    <n v="96000"/>
    <n v="8000"/>
    <s v="430010023210"/>
    <n v="26738.33"/>
  </r>
  <r>
    <m/>
    <x v="0"/>
    <x v="0"/>
    <s v="ASSIST. TÉCNICA - LOGÍSTICA"/>
    <x v="5"/>
    <x v="1"/>
    <x v="25"/>
    <m/>
    <x v="0"/>
    <n v="2196.15"/>
    <n v="1391.25"/>
    <n v="953.75"/>
    <n v="500"/>
    <n v="500"/>
    <n v="0"/>
    <n v="0"/>
    <n v="1300"/>
    <n v="0"/>
    <n v="0"/>
    <n v="0"/>
    <n v="0"/>
    <n v="6841.15"/>
    <n v="570.0958333333333"/>
    <s v="430010223200"/>
    <n v="0"/>
  </r>
  <r>
    <m/>
    <x v="0"/>
    <x v="0"/>
    <s v="ASSIST. TÉCNICA - LOGÍSTICA"/>
    <x v="5"/>
    <x v="1"/>
    <x v="25"/>
    <m/>
    <x v="1"/>
    <n v="0"/>
    <n v="0"/>
    <n v="0"/>
    <n v="121.64"/>
    <n v="0"/>
    <n v="0"/>
    <n v="0"/>
    <n v="1131.68"/>
    <n v="0"/>
    <n v="150"/>
    <n v="13373.219999999998"/>
    <n v="697.88"/>
    <n v="15474.419999999996"/>
    <n v="1289.5349999999996"/>
    <s v="430010223200"/>
    <n v="0"/>
  </r>
  <r>
    <m/>
    <x v="0"/>
    <x v="0"/>
    <s v="ASSIST. TÉCNICA - LOGÍSTICA"/>
    <x v="5"/>
    <x v="1"/>
    <x v="25"/>
    <m/>
    <x v="2"/>
    <n v="0"/>
    <n v="0"/>
    <n v="0"/>
    <n v="0"/>
    <n v="0"/>
    <n v="0"/>
    <n v="14838.259999999997"/>
    <n v="13863.960000000005"/>
    <n v="0"/>
    <n v="0"/>
    <n v="0"/>
    <n v="0"/>
    <n v="28702.22"/>
    <n v="2391.8516666666669"/>
    <s v="430010223200"/>
    <n v="0"/>
  </r>
  <r>
    <m/>
    <x v="0"/>
    <x v="0"/>
    <s v="ASSIST. TÉCNICA - LOGÍSTICA"/>
    <x v="5"/>
    <x v="0"/>
    <x v="25"/>
    <m/>
    <x v="1"/>
    <n v="0"/>
    <n v="0"/>
    <n v="400"/>
    <n v="0"/>
    <n v="0"/>
    <n v="0"/>
    <n v="0"/>
    <n v="0"/>
    <n v="0"/>
    <n v="0"/>
    <n v="0"/>
    <n v="0"/>
    <n v="400"/>
    <n v="33.333333333333336"/>
    <s v="430010223210"/>
    <n v="0"/>
  </r>
  <r>
    <m/>
    <x v="0"/>
    <x v="0"/>
    <s v="ASSIST. TÉCNICA - LOGÍSTICA"/>
    <x v="5"/>
    <x v="0"/>
    <x v="26"/>
    <m/>
    <x v="3"/>
    <n v="0"/>
    <n v="-6120"/>
    <n v="-4434"/>
    <n v="0"/>
    <n v="-1900.8"/>
    <n v="0"/>
    <n v="0"/>
    <n v="0"/>
    <n v="-1974"/>
    <n v="-235"/>
    <n v="-3948"/>
    <n v="0"/>
    <n v="-18611.8"/>
    <n v="-1550.9833333333333"/>
    <s v="430013423210"/>
    <n v="0"/>
  </r>
  <r>
    <m/>
    <x v="0"/>
    <x v="0"/>
    <s v="ASSIST. TÉCNICA - LOGÍSTICA"/>
    <x v="5"/>
    <x v="0"/>
    <x v="26"/>
    <m/>
    <x v="4"/>
    <n v="-7896"/>
    <n v="-1974"/>
    <n v="0"/>
    <n v="-1974"/>
    <n v="0"/>
    <n v="0"/>
    <n v="0"/>
    <n v="0"/>
    <n v="0"/>
    <n v="0"/>
    <n v="0"/>
    <n v="0"/>
    <n v="-11844"/>
    <n v="-987"/>
    <s v="430013423210"/>
    <n v="0"/>
  </r>
  <r>
    <m/>
    <x v="0"/>
    <x v="0"/>
    <s v="ASSIST. TÉCNICA - LOGÍSTICA"/>
    <x v="5"/>
    <x v="0"/>
    <x v="26"/>
    <m/>
    <x v="5"/>
    <n v="0"/>
    <n v="0"/>
    <n v="0"/>
    <n v="0"/>
    <n v="0"/>
    <n v="5922"/>
    <n v="0"/>
    <n v="6157"/>
    <n v="0"/>
    <n v="0"/>
    <n v="0"/>
    <n v="0"/>
    <n v="12079"/>
    <n v="1006.5833333333334"/>
    <s v="430013423210"/>
    <n v="0"/>
  </r>
  <r>
    <m/>
    <x v="0"/>
    <x v="0"/>
    <s v="ASSIST. TÉCNICA - LOGÍSTICA"/>
    <x v="6"/>
    <x v="0"/>
    <x v="27"/>
    <m/>
    <x v="0"/>
    <n v="79527.399999999994"/>
    <n v="87391.50999999998"/>
    <n v="50329.049999999981"/>
    <n v="55339.630000000005"/>
    <n v="63368.079999999994"/>
    <n v="61294.5"/>
    <n v="60779.049999999988"/>
    <n v="68284.109999999986"/>
    <n v="47570.64"/>
    <n v="23978.03"/>
    <n v="72251.579999999987"/>
    <n v="39487.01"/>
    <n v="709600.59"/>
    <n v="59133.3825"/>
    <s v="410000223210"/>
    <n v="233980.26577570778"/>
  </r>
  <r>
    <m/>
    <x v="0"/>
    <x v="0"/>
    <s v="ASSIST. TÉCNICA - LOGÍSTICA"/>
    <x v="6"/>
    <x v="0"/>
    <x v="27"/>
    <m/>
    <x v="1"/>
    <n v="30923.64"/>
    <n v="55909.380000000005"/>
    <n v="54486.77"/>
    <n v="41156.609999999993"/>
    <n v="29479.71"/>
    <n v="48888.89"/>
    <n v="80503.28"/>
    <n v="40237.539999999994"/>
    <n v="32503.590000000004"/>
    <n v="64349.209999999985"/>
    <n v="44402.26"/>
    <n v="36436.97"/>
    <n v="559277.85"/>
    <n v="46606.487499999996"/>
    <s v="410000223210"/>
    <n v="233980.26577570778"/>
  </r>
  <r>
    <m/>
    <x v="0"/>
    <x v="0"/>
    <s v="ASSIST. TÉCNICA - LOGÍSTICA"/>
    <x v="6"/>
    <x v="0"/>
    <x v="27"/>
    <m/>
    <x v="2"/>
    <n v="95020.65"/>
    <n v="44026.829999999987"/>
    <n v="42862.729999999989"/>
    <n v="43658.96"/>
    <n v="19705.830000000002"/>
    <n v="30946.740000000005"/>
    <n v="61806.59"/>
    <n v="62154.07"/>
    <n v="17306.18"/>
    <n v="88212.77"/>
    <n v="62635.539999999994"/>
    <n v="20290.12"/>
    <n v="588627.01"/>
    <n v="49052.250833333332"/>
    <s v="410000223210"/>
    <n v="233980.26577570778"/>
  </r>
  <r>
    <m/>
    <x v="0"/>
    <x v="0"/>
    <s v="ASSIST. TÉCNICA - LOGÍSTICA"/>
    <x v="6"/>
    <x v="0"/>
    <x v="27"/>
    <m/>
    <x v="3"/>
    <n v="129242.81"/>
    <n v="53183.89"/>
    <n v="38926.969999999994"/>
    <n v="53609.56"/>
    <n v="131629.32"/>
    <n v="4207.8399999999992"/>
    <n v="92557.01999999999"/>
    <n v="191596.46000000002"/>
    <n v="207457.40000000002"/>
    <n v="305708.43000000023"/>
    <n v="251712.43000000002"/>
    <n v="201606.56000000003"/>
    <n v="1661438.6900000004"/>
    <n v="138453.22416666671"/>
    <s v="410000223210"/>
    <n v="233980.26577570778"/>
  </r>
  <r>
    <m/>
    <x v="0"/>
    <x v="0"/>
    <s v="ASSIST. TÉCNICA - LOGÍSTICA"/>
    <x v="6"/>
    <x v="0"/>
    <x v="27"/>
    <m/>
    <x v="4"/>
    <n v="88708.48000000001"/>
    <n v="89132.84"/>
    <n v="115882.61"/>
    <n v="206750.52999999997"/>
    <n v="128667.54000000001"/>
    <n v="156783.47"/>
    <n v="97035.199999999997"/>
    <n v="141823"/>
    <n v="176881.20999999996"/>
    <n v="64948.889999999992"/>
    <n v="141063.36000000002"/>
    <n v="103661.54000000001"/>
    <n v="1511338.67"/>
    <n v="125944.88916666666"/>
    <s v="410000223210"/>
    <n v="233980.26577570778"/>
  </r>
  <r>
    <m/>
    <x v="0"/>
    <x v="0"/>
    <s v="ASSIST. TÉCNICA - LOGÍSTICA"/>
    <x v="6"/>
    <x v="0"/>
    <x v="27"/>
    <m/>
    <x v="5"/>
    <n v="206698.89000000004"/>
    <n v="113372"/>
    <n v="118907.06"/>
    <n v="91323.25"/>
    <n v="62787.03"/>
    <n v="199447.69999999998"/>
    <n v="185207.89"/>
    <n v="128038.96000000004"/>
    <n v="106603.53"/>
    <n v="130366.85"/>
    <n v="164116.54"/>
    <n v="163800.56999999995"/>
    <n v="1670670.27"/>
    <n v="139222.52249999999"/>
    <s v="410000223210"/>
    <n v="233980.26577570778"/>
  </r>
  <r>
    <m/>
    <x v="0"/>
    <x v="0"/>
    <s v="ASSIST. TÉCNICA - LOGÍSTICA"/>
    <x v="6"/>
    <x v="0"/>
    <x v="27"/>
    <m/>
    <x v="6"/>
    <n v="146132.84000000008"/>
    <n v="197495.89000000004"/>
    <n v="146266.14000000001"/>
    <n v="87593.209999999977"/>
    <n v="241947.77"/>
    <n v="77384.340000000011"/>
    <n v="134034.10000000006"/>
    <n v="219286.02"/>
    <n v="101714.04"/>
    <n v="189383"/>
    <n v="154909.55000000002"/>
    <n v="141661.26"/>
    <n v="1837808.1600000001"/>
    <n v="153150.68000000002"/>
    <s v="410000223210"/>
    <n v="233980.26577570778"/>
  </r>
  <r>
    <m/>
    <x v="0"/>
    <x v="0"/>
    <s v="ASSIST. TÉCNICA - LOGÍSTICA"/>
    <x v="6"/>
    <x v="0"/>
    <x v="27"/>
    <m/>
    <x v="7"/>
    <n v="66666.8"/>
    <n v="204065.50999999998"/>
    <n v="220407.73"/>
    <n v="148897.08000000005"/>
    <n v="102752.56999999999"/>
    <n v="160987.71"/>
    <n v="173852.39999999997"/>
    <n v="167658.79"/>
    <n v="195609.771996"/>
    <n v="187914.92072999995"/>
    <n v="178020.68843399998"/>
    <n v="164747.30612999998"/>
    <n v="1971581.2772899999"/>
    <n v="164298.43977416665"/>
    <s v="410000223210"/>
    <n v="233980.26577570778"/>
  </r>
  <r>
    <m/>
    <x v="0"/>
    <x v="0"/>
    <s v="ASSIST. TÉCNICA - LOGÍSTICA"/>
    <x v="6"/>
    <x v="0"/>
    <x v="27"/>
    <s v="Detalhar na aba &quot;4100002 - MATERIAL DE EMBALAGEM&quot;"/>
    <x v="8"/>
    <n v="130268.77280094601"/>
    <n v="202929.66570488043"/>
    <n v="175150.16651171522"/>
    <n v="177120.09814037761"/>
    <n v="239984.16181833603"/>
    <n v="161428.73571564481"/>
    <n v="183477.44200439632"/>
    <n v="167011.5196033222"/>
    <n v="191370.94512671119"/>
    <n v="219661.98085656119"/>
    <n v="195315.72734322795"/>
    <n v="161842.32743958864"/>
    <n v="2205561.5430657077"/>
    <n v="183796.79525547565"/>
    <s v="410000223210"/>
    <n v="233980.26577570778"/>
  </r>
  <r>
    <m/>
    <x v="0"/>
    <x v="0"/>
    <s v="ASSIST. TÉCNICA - LOGÍSTICA"/>
    <x v="6"/>
    <x v="0"/>
    <x v="28"/>
    <m/>
    <x v="0"/>
    <n v="335"/>
    <n v="0"/>
    <n v="260.10000000000002"/>
    <n v="120"/>
    <n v="0"/>
    <n v="300"/>
    <n v="0"/>
    <n v="283.57"/>
    <n v="125"/>
    <n v="89.5"/>
    <n v="275.10000000000002"/>
    <n v="2035.4999999999998"/>
    <n v="3823.7699999999995"/>
    <n v="318.64749999999998"/>
    <s v="410000323210"/>
    <n v="5416.0499999999956"/>
  </r>
  <r>
    <m/>
    <x v="0"/>
    <x v="0"/>
    <s v="ASSIST. TÉCNICA - LOGÍSTICA"/>
    <x v="6"/>
    <x v="0"/>
    <x v="28"/>
    <m/>
    <x v="1"/>
    <n v="90"/>
    <n v="0"/>
    <n v="672.7"/>
    <n v="229"/>
    <n v="108.1"/>
    <n v="0"/>
    <n v="0"/>
    <n v="0"/>
    <n v="0"/>
    <n v="0"/>
    <n v="0"/>
    <n v="380"/>
    <n v="1479.8"/>
    <n v="123.31666666666666"/>
    <s v="410000323210"/>
    <n v="5416.0499999999956"/>
  </r>
  <r>
    <m/>
    <x v="0"/>
    <x v="0"/>
    <s v="ASSIST. TÉCNICA - LOGÍSTICA"/>
    <x v="6"/>
    <x v="0"/>
    <x v="28"/>
    <m/>
    <x v="2"/>
    <n v="85.69"/>
    <n v="0"/>
    <n v="699.78"/>
    <n v="0"/>
    <n v="0"/>
    <n v="0"/>
    <n v="0"/>
    <n v="0"/>
    <n v="0"/>
    <n v="0"/>
    <n v="179.98"/>
    <n v="41.769999999999996"/>
    <n v="1007.22"/>
    <n v="83.935000000000002"/>
    <s v="410000323210"/>
    <n v="5416.0499999999956"/>
  </r>
  <r>
    <m/>
    <x v="0"/>
    <x v="0"/>
    <s v="ASSIST. TÉCNICA - LOGÍSTICA"/>
    <x v="6"/>
    <x v="0"/>
    <x v="28"/>
    <m/>
    <x v="3"/>
    <n v="0"/>
    <n v="0"/>
    <n v="0"/>
    <n v="0"/>
    <n v="555.66"/>
    <n v="0"/>
    <n v="0"/>
    <n v="0"/>
    <n v="0"/>
    <n v="1420.6499999999999"/>
    <n v="1746.55"/>
    <n v="29.4"/>
    <n v="3752.2599999999998"/>
    <n v="312.68833333333333"/>
    <s v="410000323210"/>
    <n v="5416.0499999999956"/>
  </r>
  <r>
    <m/>
    <x v="0"/>
    <x v="0"/>
    <s v="ASSIST. TÉCNICA - LOGÍSTICA"/>
    <x v="6"/>
    <x v="0"/>
    <x v="28"/>
    <m/>
    <x v="4"/>
    <n v="0"/>
    <n v="0"/>
    <n v="1436"/>
    <n v="1542.64"/>
    <n v="0"/>
    <n v="109.19999999999999"/>
    <n v="524.85"/>
    <n v="142"/>
    <n v="319.8"/>
    <n v="800"/>
    <n v="240"/>
    <n v="0"/>
    <n v="5114.49"/>
    <n v="426.20749999999998"/>
    <s v="410000323210"/>
    <n v="5416.0499999999956"/>
  </r>
  <r>
    <m/>
    <x v="0"/>
    <x v="0"/>
    <s v="ASSIST. TÉCNICA - LOGÍSTICA"/>
    <x v="6"/>
    <x v="0"/>
    <x v="28"/>
    <m/>
    <x v="5"/>
    <n v="1848"/>
    <n v="225"/>
    <n v="0"/>
    <n v="0"/>
    <n v="240"/>
    <n v="277"/>
    <n v="1545.57"/>
    <n v="225"/>
    <n v="225"/>
    <n v="1609"/>
    <n v="225"/>
    <n v="225"/>
    <n v="6644.57"/>
    <n v="553.71416666666664"/>
    <s v="410000323210"/>
    <n v="5416.0499999999956"/>
  </r>
  <r>
    <m/>
    <x v="0"/>
    <x v="0"/>
    <s v="ASSIST. TÉCNICA - LOGÍSTICA"/>
    <x v="6"/>
    <x v="0"/>
    <x v="28"/>
    <m/>
    <x v="6"/>
    <n v="234"/>
    <n v="1605"/>
    <n v="0"/>
    <n v="406.25"/>
    <n v="0"/>
    <n v="815.8"/>
    <n v="12664.01"/>
    <n v="867.9"/>
    <n v="3912.6299999999997"/>
    <n v="1815"/>
    <n v="3683.11"/>
    <n v="216"/>
    <n v="26219.700000000004"/>
    <n v="2184.9750000000004"/>
    <s v="410000323210"/>
    <n v="5416.0499999999956"/>
  </r>
  <r>
    <m/>
    <x v="0"/>
    <x v="0"/>
    <s v="ASSIST. TÉCNICA - LOGÍSTICA"/>
    <x v="6"/>
    <x v="0"/>
    <x v="28"/>
    <m/>
    <x v="7"/>
    <n v="3363.11"/>
    <n v="640"/>
    <n v="6139.34"/>
    <n v="0"/>
    <n v="156.37"/>
    <n v="3389.67"/>
    <n v="3441.79"/>
    <n v="3389.67"/>
    <n v="3869"/>
    <n v="3374"/>
    <n v="3374"/>
    <n v="3374"/>
    <n v="34510.950000000004"/>
    <n v="2875.9125000000004"/>
    <s v="410000323210"/>
    <n v="5416.0499999999956"/>
  </r>
  <r>
    <m/>
    <x v="0"/>
    <x v="0"/>
    <s v="ASSIST. TÉCNICA - LOGÍSTICA"/>
    <x v="6"/>
    <x v="0"/>
    <x v="28"/>
    <s v="Detalhar na aba &quot;Detalhamento&quot;"/>
    <x v="8"/>
    <n v="3286"/>
    <n v="3286"/>
    <n v="3286"/>
    <n v="3286"/>
    <n v="3286"/>
    <n v="3286"/>
    <n v="3286"/>
    <n v="3286"/>
    <n v="3781"/>
    <n v="3286"/>
    <n v="3286"/>
    <n v="3286"/>
    <n v="39927"/>
    <n v="3327.25"/>
    <s v="410000323210"/>
    <n v="5416.0499999999956"/>
  </r>
  <r>
    <m/>
    <x v="0"/>
    <x v="0"/>
    <s v="ASSIST. TÉCNICA - LOGÍSTICA"/>
    <x v="6"/>
    <x v="0"/>
    <x v="29"/>
    <m/>
    <x v="0"/>
    <n v="0"/>
    <n v="0"/>
    <n v="0"/>
    <n v="0"/>
    <n v="0"/>
    <n v="0"/>
    <n v="0"/>
    <n v="0"/>
    <n v="0"/>
    <n v="16.079999999999998"/>
    <n v="0"/>
    <n v="0"/>
    <n v="16.079999999999998"/>
    <n v="1.3399999999999999"/>
    <s v="430003123210"/>
    <n v="-315.24"/>
  </r>
  <r>
    <m/>
    <x v="0"/>
    <x v="0"/>
    <s v="ASSIST. TÉCNICA - LOGÍSTICA"/>
    <x v="6"/>
    <x v="0"/>
    <x v="29"/>
    <m/>
    <x v="2"/>
    <n v="0"/>
    <n v="0"/>
    <n v="0"/>
    <n v="0"/>
    <n v="0"/>
    <n v="0"/>
    <n v="0"/>
    <n v="0"/>
    <n v="0"/>
    <n v="513"/>
    <n v="0"/>
    <n v="0"/>
    <n v="513"/>
    <n v="42.75"/>
    <s v="430003123210"/>
    <n v="-315.24"/>
  </r>
  <r>
    <m/>
    <x v="0"/>
    <x v="0"/>
    <s v="ASSIST. TÉCNICA - LOGÍSTICA"/>
    <x v="6"/>
    <x v="0"/>
    <x v="29"/>
    <m/>
    <x v="3"/>
    <n v="0"/>
    <n v="1284.97"/>
    <n v="0"/>
    <n v="0"/>
    <n v="0"/>
    <n v="0"/>
    <n v="0"/>
    <n v="0"/>
    <n v="0"/>
    <n v="0"/>
    <n v="0"/>
    <n v="0"/>
    <n v="1284.97"/>
    <n v="107.08083333333333"/>
    <s v="430003123210"/>
    <n v="-315.24"/>
  </r>
  <r>
    <m/>
    <x v="0"/>
    <x v="0"/>
    <s v="ASSIST. TÉCNICA - LOGÍSTICA"/>
    <x v="6"/>
    <x v="0"/>
    <x v="29"/>
    <m/>
    <x v="4"/>
    <n v="0"/>
    <n v="0"/>
    <n v="0"/>
    <n v="0"/>
    <n v="439.95"/>
    <n v="0"/>
    <n v="0"/>
    <n v="0"/>
    <n v="0"/>
    <n v="0"/>
    <n v="198"/>
    <n v="0"/>
    <n v="637.95000000000005"/>
    <n v="53.162500000000001"/>
    <s v="430003123210"/>
    <n v="-315.24"/>
  </r>
  <r>
    <m/>
    <x v="0"/>
    <x v="0"/>
    <s v="ASSIST. TÉCNICA - LOGÍSTICA"/>
    <x v="6"/>
    <x v="0"/>
    <x v="29"/>
    <m/>
    <x v="5"/>
    <n v="0"/>
    <n v="682"/>
    <n v="75.8"/>
    <n v="0"/>
    <n v="0"/>
    <n v="0"/>
    <n v="0"/>
    <n v="0"/>
    <n v="0"/>
    <n v="0"/>
    <n v="0"/>
    <n v="626.79999999999995"/>
    <n v="1384.6"/>
    <n v="115.38333333333333"/>
    <s v="430003123210"/>
    <n v="-315.24"/>
  </r>
  <r>
    <m/>
    <x v="0"/>
    <x v="0"/>
    <s v="ASSIST. TÉCNICA - LOGÍSTICA"/>
    <x v="6"/>
    <x v="0"/>
    <x v="29"/>
    <m/>
    <x v="6"/>
    <n v="0"/>
    <n v="0"/>
    <n v="530"/>
    <n v="0"/>
    <n v="0"/>
    <n v="56"/>
    <n v="0"/>
    <n v="0"/>
    <n v="0"/>
    <n v="429"/>
    <n v="0"/>
    <n v="1184.2"/>
    <n v="2199.1999999999998"/>
    <n v="183.26666666666665"/>
    <s v="430003123210"/>
    <n v="-315.24"/>
  </r>
  <r>
    <m/>
    <x v="0"/>
    <x v="0"/>
    <s v="ASSIST. TÉCNICA - LOGÍSTICA"/>
    <x v="6"/>
    <x v="0"/>
    <x v="29"/>
    <m/>
    <x v="7"/>
    <n v="0"/>
    <n v="0"/>
    <n v="0"/>
    <n v="0"/>
    <n v="810.84"/>
    <n v="0"/>
    <n v="317.39999999999998"/>
    <n v="0"/>
    <n v="0"/>
    <n v="0"/>
    <n v="0"/>
    <n v="0"/>
    <n v="1128.24"/>
    <n v="94.02"/>
    <s v="430003123210"/>
    <n v="-315.24"/>
  </r>
  <r>
    <m/>
    <x v="0"/>
    <x v="0"/>
    <s v="ASSIST. TÉCNICA - LOGÍSTICA"/>
    <x v="6"/>
    <x v="0"/>
    <x v="29"/>
    <s v="Detalhar na aba &quot;Detalhamento&quot;"/>
    <x v="8"/>
    <n v="0"/>
    <n v="0"/>
    <n v="0"/>
    <n v="0"/>
    <n v="813"/>
    <n v="0"/>
    <n v="0"/>
    <n v="0"/>
    <n v="0"/>
    <n v="0"/>
    <n v="0"/>
    <n v="0"/>
    <n v="813"/>
    <n v="67.75"/>
    <s v="430003123210"/>
    <n v="-315.24"/>
  </r>
  <r>
    <m/>
    <x v="0"/>
    <x v="0"/>
    <s v="ASSIST. TÉCNICA - LOGÍSTICA"/>
    <x v="6"/>
    <x v="0"/>
    <x v="30"/>
    <m/>
    <x v="4"/>
    <n v="0"/>
    <n v="0"/>
    <n v="0"/>
    <n v="0"/>
    <n v="0"/>
    <n v="0"/>
    <n v="20.54"/>
    <n v="0"/>
    <n v="0"/>
    <n v="39.879999999999995"/>
    <n v="44.64"/>
    <n v="0"/>
    <n v="105.06"/>
    <n v="8.7550000000000008"/>
    <s v="430004223210"/>
    <n v="0"/>
  </r>
  <r>
    <m/>
    <x v="0"/>
    <x v="0"/>
    <s v="ASSIST. TÉCNICA - LOGÍSTICA"/>
    <x v="6"/>
    <x v="0"/>
    <x v="30"/>
    <m/>
    <x v="5"/>
    <n v="0"/>
    <n v="373"/>
    <n v="0"/>
    <n v="0"/>
    <n v="0"/>
    <n v="0"/>
    <n v="34.910000000000004"/>
    <n v="0"/>
    <n v="0"/>
    <n v="2.02"/>
    <n v="0"/>
    <n v="0"/>
    <n v="409.93"/>
    <n v="34.160833333333336"/>
    <s v="430004223210"/>
    <n v="0"/>
  </r>
  <r>
    <m/>
    <x v="0"/>
    <x v="0"/>
    <s v="ASSIST. TÉCNICA - LOGÍSTICA"/>
    <x v="6"/>
    <x v="0"/>
    <x v="30"/>
    <m/>
    <x v="6"/>
    <n v="0"/>
    <n v="0"/>
    <n v="0"/>
    <n v="0"/>
    <n v="0"/>
    <n v="0"/>
    <n v="0"/>
    <n v="0"/>
    <n v="0"/>
    <n v="14"/>
    <n v="0"/>
    <n v="0"/>
    <n v="14"/>
    <n v="1.1666666666666667"/>
    <s v="430004223210"/>
    <n v="0"/>
  </r>
  <r>
    <m/>
    <x v="0"/>
    <x v="0"/>
    <s v="ASSIST. TÉCNICA - LOGÍSTICA"/>
    <x v="6"/>
    <x v="1"/>
    <x v="31"/>
    <m/>
    <x v="0"/>
    <n v="0"/>
    <n v="0"/>
    <n v="0"/>
    <n v="0"/>
    <n v="0"/>
    <n v="0"/>
    <n v="510.61999999999995"/>
    <n v="0"/>
    <n v="0"/>
    <n v="0"/>
    <n v="0"/>
    <n v="0"/>
    <n v="510.61999999999995"/>
    <n v="42.551666666666662"/>
    <s v="430007023200"/>
    <n v="0"/>
  </r>
  <r>
    <m/>
    <x v="0"/>
    <x v="0"/>
    <s v="ASSIST. TÉCNICA - LOGÍSTICA"/>
    <x v="6"/>
    <x v="0"/>
    <x v="31"/>
    <m/>
    <x v="0"/>
    <n v="1863.0299999999993"/>
    <n v="4813.75"/>
    <n v="1595.66"/>
    <n v="2151.1600000000003"/>
    <n v="6030.7199999999993"/>
    <n v="2119.62"/>
    <n v="8999.8699999999972"/>
    <n v="0"/>
    <n v="1743.6699999999996"/>
    <n v="2135.7400000000007"/>
    <n v="5668.0800000000017"/>
    <n v="1054.53"/>
    <n v="38175.83"/>
    <n v="3181.3191666666667"/>
    <s v="430007023210"/>
    <n v="-4292.0900000030961"/>
  </r>
  <r>
    <m/>
    <x v="0"/>
    <x v="0"/>
    <s v="ASSIST. TÉCNICA - LOGÍSTICA"/>
    <x v="6"/>
    <x v="0"/>
    <x v="31"/>
    <m/>
    <x v="1"/>
    <n v="3139.0599999999995"/>
    <n v="751.77"/>
    <n v="1765.16"/>
    <n v="858.12"/>
    <n v="971.37999999999965"/>
    <n v="2577.08"/>
    <n v="3649.1399999999935"/>
    <n v="28169.390000000014"/>
    <n v="3440.3800000000006"/>
    <n v="2641.1099999999988"/>
    <n v="3247.6000000000004"/>
    <n v="3866.75"/>
    <n v="55076.94"/>
    <n v="4589.7449999999999"/>
    <s v="430007023210"/>
    <n v="-4292.0900000030961"/>
  </r>
  <r>
    <m/>
    <x v="0"/>
    <x v="0"/>
    <s v="ASSIST. TÉCNICA - LOGÍSTICA"/>
    <x v="6"/>
    <x v="0"/>
    <x v="31"/>
    <m/>
    <x v="2"/>
    <n v="3617.69"/>
    <n v="3129.130000000001"/>
    <n v="3578.0899999999988"/>
    <n v="7884.5999999999985"/>
    <n v="20704.360000000015"/>
    <n v="-11772.220000000007"/>
    <n v="2930.349999999999"/>
    <n v="3738.2099999999996"/>
    <n v="4589.55"/>
    <n v="4157.0999999999995"/>
    <n v="12265.099999999995"/>
    <n v="-781.95999999999992"/>
    <n v="54039.999999999993"/>
    <n v="4503.333333333333"/>
    <s v="430007023210"/>
    <n v="-4292.0900000030961"/>
  </r>
  <r>
    <m/>
    <x v="0"/>
    <x v="0"/>
    <s v="ASSIST. TÉCNICA - LOGÍSTICA"/>
    <x v="6"/>
    <x v="0"/>
    <x v="31"/>
    <m/>
    <x v="3"/>
    <n v="8810.1299999999992"/>
    <n v="3169.9500000000007"/>
    <n v="6726.6599999999944"/>
    <n v="4822.4399999999987"/>
    <n v="5845.6599999999962"/>
    <n v="3618.59"/>
    <n v="8764.8299999999945"/>
    <n v="6327.6700000000028"/>
    <n v="15879.020000000006"/>
    <n v="18036.979999999992"/>
    <n v="16284.180000000002"/>
    <n v="10644.51"/>
    <n v="108930.62"/>
    <n v="9077.5516666666663"/>
    <s v="430007023210"/>
    <n v="-4292.0900000030961"/>
  </r>
  <r>
    <m/>
    <x v="0"/>
    <x v="0"/>
    <s v="ASSIST. TÉCNICA - LOGÍSTICA"/>
    <x v="6"/>
    <x v="0"/>
    <x v="31"/>
    <m/>
    <x v="4"/>
    <n v="11431.05"/>
    <n v="6008.12"/>
    <n v="9613.2699999999986"/>
    <n v="1947.4200000000005"/>
    <n v="19817.670000000006"/>
    <n v="15110.490000000002"/>
    <n v="9125.4399999999987"/>
    <n v="4951"/>
    <n v="12639.330000000005"/>
    <n v="6621.05"/>
    <n v="6988.9600000000019"/>
    <n v="8651294.3900000025"/>
    <n v="8755548.1900000032"/>
    <n v="729629.0158333336"/>
    <s v="430007023210"/>
    <n v="-4292.0900000030961"/>
  </r>
  <r>
    <m/>
    <x v="0"/>
    <x v="0"/>
    <s v="ASSIST. TÉCNICA - LOGÍSTICA"/>
    <x v="6"/>
    <x v="0"/>
    <x v="31"/>
    <m/>
    <x v="4"/>
    <n v="0"/>
    <n v="0"/>
    <n v="0"/>
    <n v="0"/>
    <n v="0"/>
    <n v="0"/>
    <n v="0"/>
    <n v="0"/>
    <n v="0"/>
    <n v="0"/>
    <n v="0"/>
    <n v="-8651294.3899999987"/>
    <n v="-8651294.3899999987"/>
    <n v="-720941.1991666666"/>
    <s v="430007023210"/>
    <n v="-4292.0900000030961"/>
  </r>
  <r>
    <m/>
    <x v="0"/>
    <x v="0"/>
    <s v="ASSIST. TÉCNICA - LOGÍSTICA"/>
    <x v="6"/>
    <x v="0"/>
    <x v="31"/>
    <m/>
    <x v="5"/>
    <n v="0"/>
    <n v="0"/>
    <n v="0"/>
    <n v="0"/>
    <n v="0"/>
    <n v="0"/>
    <n v="0"/>
    <n v="0"/>
    <n v="0"/>
    <n v="0"/>
    <n v="0"/>
    <n v="0"/>
    <n v="0"/>
    <n v="0"/>
    <s v="430007023210"/>
    <n v="-4292.0900000030961"/>
  </r>
  <r>
    <m/>
    <x v="0"/>
    <x v="0"/>
    <s v="ASSIST. TÉCNICA - LOGÍSTICA"/>
    <x v="6"/>
    <x v="0"/>
    <x v="31"/>
    <m/>
    <x v="5"/>
    <n v="-1362529.97"/>
    <n v="0"/>
    <n v="0"/>
    <n v="0"/>
    <n v="0"/>
    <n v="0"/>
    <n v="0"/>
    <n v="0"/>
    <n v="0"/>
    <n v="0"/>
    <n v="0"/>
    <n v="0"/>
    <n v="-1362529.97"/>
    <n v="-113544.16416666667"/>
    <s v="430007023210"/>
    <n v="-4292.0900000030961"/>
  </r>
  <r>
    <m/>
    <x v="0"/>
    <x v="0"/>
    <s v="ASSIST. TÉCNICA - LOGÍSTICA"/>
    <x v="6"/>
    <x v="0"/>
    <x v="31"/>
    <m/>
    <x v="5"/>
    <n v="1369480.2799999996"/>
    <n v="2448"/>
    <n v="5161.95"/>
    <n v="0"/>
    <n v="51.45"/>
    <n v="3918.9900000000002"/>
    <n v="14247.93"/>
    <n v="1889.1599999999999"/>
    <n v="1921.6799999999998"/>
    <n v="561.83999999999992"/>
    <n v="4301.46"/>
    <n v="6244.9199999999992"/>
    <n v="1410227.6599999992"/>
    <n v="117518.97166666661"/>
    <s v="430007023210"/>
    <n v="-4292.0900000030961"/>
  </r>
  <r>
    <m/>
    <x v="0"/>
    <x v="0"/>
    <s v="ASSIST. TÉCNICA - LOGÍSTICA"/>
    <x v="6"/>
    <x v="0"/>
    <x v="31"/>
    <m/>
    <x v="6"/>
    <n v="67.64"/>
    <n v="2246.7599999999998"/>
    <n v="8462.3699999999972"/>
    <n v="11178.300000000003"/>
    <n v="5148.71"/>
    <n v="4646.8500000000004"/>
    <n v="2693.2099999999996"/>
    <n v="9272729.1999999695"/>
    <n v="11936495.770000011"/>
    <n v="3604478"/>
    <n v="2493326.2399999946"/>
    <n v="1690193.3799999973"/>
    <n v="29031666.429999974"/>
    <n v="2419305.5358333313"/>
    <s v="430007023210"/>
    <n v="-4292.0900000030961"/>
  </r>
  <r>
    <m/>
    <x v="0"/>
    <x v="0"/>
    <s v="ASSIST. TÉCNICA - LOGÍSTICA"/>
    <x v="6"/>
    <x v="0"/>
    <x v="31"/>
    <m/>
    <x v="7"/>
    <n v="20871.800000003095"/>
    <n v="21709.69999999999"/>
    <n v="7730.5499999999993"/>
    <n v="13725.949999999999"/>
    <n v="16583.28"/>
    <n v="11135.690000000002"/>
    <n v="7515.010000000002"/>
    <n v="7020.1099999999942"/>
    <n v="0"/>
    <n v="0"/>
    <n v="0"/>
    <n v="0"/>
    <n v="106292.0900000031"/>
    <n v="8857.6741666669241"/>
    <s v="430007023210"/>
    <n v="-4292.0900000030961"/>
  </r>
  <r>
    <m/>
    <x v="0"/>
    <x v="0"/>
    <s v="ASSIST. TÉCNICA - LOGÍSTICA"/>
    <x v="6"/>
    <x v="0"/>
    <x v="31"/>
    <s v="Detalhar na aba &quot;4300070 - REFUGO SUCATA&quot;"/>
    <x v="8"/>
    <n v="8500"/>
    <n v="8500"/>
    <n v="8500"/>
    <n v="8500"/>
    <n v="8500"/>
    <n v="8500"/>
    <n v="8500"/>
    <n v="8500"/>
    <n v="8500"/>
    <n v="8500"/>
    <n v="8500"/>
    <n v="8500"/>
    <n v="102000"/>
    <n v="8500"/>
    <s v="430007023210"/>
    <n v="-4292.0900000030961"/>
  </r>
  <r>
    <m/>
    <x v="0"/>
    <x v="0"/>
    <s v="ASSIST. TÉCNICA - LOGÍSTICA"/>
    <x v="7"/>
    <x v="1"/>
    <x v="32"/>
    <m/>
    <x v="1"/>
    <n v="0"/>
    <n v="0"/>
    <n v="800"/>
    <n v="0"/>
    <n v="141.59"/>
    <n v="0"/>
    <n v="0"/>
    <n v="0"/>
    <n v="0"/>
    <n v="0"/>
    <n v="0"/>
    <n v="0"/>
    <n v="941.59"/>
    <n v="78.465833333333336"/>
    <s v="430001623200"/>
    <n v="0"/>
  </r>
  <r>
    <m/>
    <x v="0"/>
    <x v="0"/>
    <s v="ASSIST. TÉCNICA - LOGÍSTICA"/>
    <x v="7"/>
    <x v="0"/>
    <x v="32"/>
    <m/>
    <x v="0"/>
    <n v="1979.83"/>
    <n v="294.5"/>
    <n v="227.64"/>
    <n v="857.58999999999992"/>
    <n v="694.17000000000007"/>
    <n v="693.1"/>
    <n v="2483.75"/>
    <n v="250.53000000000003"/>
    <n v="383.28"/>
    <n v="335.43"/>
    <n v="328.72"/>
    <n v="329.81"/>
    <n v="8858.3499999999985"/>
    <n v="738.19583333333321"/>
    <s v="430001623210"/>
    <n v="-7434.3766666666779"/>
  </r>
  <r>
    <m/>
    <x v="0"/>
    <x v="0"/>
    <s v="ASSIST. TÉCNICA - LOGÍSTICA"/>
    <x v="7"/>
    <x v="0"/>
    <x v="32"/>
    <m/>
    <x v="1"/>
    <n v="498.67"/>
    <n v="400.34000000000003"/>
    <n v="611.26"/>
    <n v="485.27000000000004"/>
    <n v="414.71000000000004"/>
    <n v="493.62"/>
    <n v="359.59999999999997"/>
    <n v="877.89"/>
    <n v="877.73"/>
    <n v="878.78"/>
    <n v="1345.56"/>
    <n v="878.6"/>
    <n v="8122.0300000000007"/>
    <n v="676.83583333333343"/>
    <s v="430001623210"/>
    <n v="-7434.3766666666779"/>
  </r>
  <r>
    <m/>
    <x v="0"/>
    <x v="0"/>
    <s v="ASSIST. TÉCNICA - LOGÍSTICA"/>
    <x v="7"/>
    <x v="0"/>
    <x v="32"/>
    <m/>
    <x v="2"/>
    <n v="1792.5000000000002"/>
    <n v="734.01"/>
    <n v="616.59"/>
    <n v="716.87"/>
    <n v="754.28000000000009"/>
    <n v="192.54"/>
    <n v="1474.47"/>
    <n v="769.12000000000012"/>
    <n v="10032.42"/>
    <n v="1077.21"/>
    <n v="694.93000000000006"/>
    <n v="1203.0299999999997"/>
    <n v="20057.969999999998"/>
    <n v="1671.4974999999997"/>
    <s v="430001623210"/>
    <n v="-7434.3766666666779"/>
  </r>
  <r>
    <m/>
    <x v="0"/>
    <x v="0"/>
    <s v="ASSIST. TÉCNICA - LOGÍSTICA"/>
    <x v="7"/>
    <x v="0"/>
    <x v="32"/>
    <m/>
    <x v="3"/>
    <n v="1078.53"/>
    <n v="383.31"/>
    <n v="520.38"/>
    <n v="710.81999999999994"/>
    <n v="565.35"/>
    <n v="698.3900000000001"/>
    <n v="390.18"/>
    <n v="1607.35"/>
    <n v="491.9"/>
    <n v="337.52000000000004"/>
    <n v="160.22999999999999"/>
    <n v="2811.1"/>
    <n v="9755.06"/>
    <n v="812.92166666666662"/>
    <s v="430001623210"/>
    <n v="-7434.3766666666779"/>
  </r>
  <r>
    <m/>
    <x v="0"/>
    <x v="0"/>
    <s v="ASSIST. TÉCNICA - LOGÍSTICA"/>
    <x v="7"/>
    <x v="0"/>
    <x v="32"/>
    <m/>
    <x v="4"/>
    <n v="27.36"/>
    <n v="23.97"/>
    <n v="86.72"/>
    <n v="24"/>
    <n v="23.87"/>
    <n v="22.44"/>
    <n v="21.9"/>
    <n v="21"/>
    <n v="21.12"/>
    <n v="2882.55"/>
    <n v="0"/>
    <n v="44.260000000000005"/>
    <n v="3199.1900000000005"/>
    <n v="266.59916666666669"/>
    <s v="430001623210"/>
    <n v="-7434.3766666666779"/>
  </r>
  <r>
    <m/>
    <x v="0"/>
    <x v="0"/>
    <s v="ASSIST. TÉCNICA - LOGÍSTICA"/>
    <x v="7"/>
    <x v="0"/>
    <x v="32"/>
    <m/>
    <x v="5"/>
    <n v="21.16"/>
    <n v="4"/>
    <n v="128.79"/>
    <n v="24.51"/>
    <n v="2892.8399999999997"/>
    <n v="983.38"/>
    <n v="1511.96"/>
    <n v="3417.2"/>
    <n v="0"/>
    <n v="75.88"/>
    <n v="30.52"/>
    <n v="37.520000000000003"/>
    <n v="9127.76"/>
    <n v="760.64666666666665"/>
    <s v="430001623210"/>
    <n v="-7434.3766666666779"/>
  </r>
  <r>
    <m/>
    <x v="0"/>
    <x v="0"/>
    <s v="ASSIST. TÉCNICA - LOGÍSTICA"/>
    <x v="7"/>
    <x v="0"/>
    <x v="32"/>
    <m/>
    <x v="6"/>
    <n v="5957.64"/>
    <n v="36.68"/>
    <n v="0"/>
    <n v="39.479999999999997"/>
    <n v="175.5"/>
    <n v="240"/>
    <n v="1850"/>
    <n v="1600.01"/>
    <n v="230.33"/>
    <n v="145"/>
    <n v="0"/>
    <n v="0"/>
    <n v="10274.64"/>
    <n v="856.21999999999991"/>
    <s v="430001623210"/>
    <n v="-7434.3766666666779"/>
  </r>
  <r>
    <m/>
    <x v="0"/>
    <x v="0"/>
    <s v="ASSIST. TÉCNICA - LOGÍSTICA"/>
    <x v="7"/>
    <x v="0"/>
    <x v="32"/>
    <m/>
    <x v="7"/>
    <n v="0"/>
    <n v="3000"/>
    <n v="4324.63"/>
    <n v="20824.599999999999"/>
    <n v="3100"/>
    <n v="437.14"/>
    <n v="2457.5699999999997"/>
    <n v="0"/>
    <n v="822.60916666666662"/>
    <n v="822.60916666666662"/>
    <n v="822.60916666666662"/>
    <n v="822.60916666666662"/>
    <n v="37434.376666666678"/>
    <n v="3119.53138888889"/>
    <s v="430001623210"/>
    <n v="-7434.3766666666779"/>
  </r>
  <r>
    <m/>
    <x v="0"/>
    <x v="0"/>
    <s v="ASSIST. TÉCNICA - LOGÍSTICA"/>
    <x v="7"/>
    <x v="0"/>
    <x v="32"/>
    <s v="Detalhar na aba &quot;Detalhamento&quot;"/>
    <x v="8"/>
    <n v="0"/>
    <n v="17200"/>
    <n v="1200"/>
    <n v="1200"/>
    <n v="8950"/>
    <n v="1200"/>
    <n v="0"/>
    <n v="0"/>
    <n v="250"/>
    <n v="0"/>
    <n v="0"/>
    <n v="0"/>
    <n v="30000"/>
    <n v="2500"/>
    <s v="430001623210"/>
    <n v="-7434.3766666666779"/>
  </r>
  <r>
    <m/>
    <x v="0"/>
    <x v="0"/>
    <s v="ASSIST. TÉCNICA - LOGÍSTICA"/>
    <x v="8"/>
    <x v="0"/>
    <x v="33"/>
    <s v="Detalhar na aba &quot;VIAGENS&quot;"/>
    <x v="8"/>
    <n v="481.6"/>
    <n v="481.6"/>
    <n v="481.6"/>
    <n v="481.6"/>
    <n v="481.6"/>
    <n v="481.6"/>
    <n v="481.6"/>
    <n v="481.6"/>
    <n v="481.6"/>
    <n v="481.6"/>
    <n v="481.6"/>
    <n v="481.6"/>
    <n v="5779.2000000000007"/>
    <n v="481.60000000000008"/>
    <s v="430014723210"/>
    <n v="5779.2000000000007"/>
  </r>
  <r>
    <m/>
    <x v="0"/>
    <x v="0"/>
    <s v="ASSIST. TÉCNICA - LOGÍSTICA"/>
    <x v="8"/>
    <x v="0"/>
    <x v="34"/>
    <s v="Detalhar na aba &quot;VIAGENS&quot;"/>
    <x v="8"/>
    <n v="218.20486626984129"/>
    <n v="218.20486626984129"/>
    <n v="218.20486626984129"/>
    <n v="218.20486626984129"/>
    <n v="218.20486626984129"/>
    <n v="218.20486626984129"/>
    <n v="218.20486626984129"/>
    <n v="218.20486626984129"/>
    <n v="218.20486626984129"/>
    <n v="218.20486626984129"/>
    <n v="218.20486626984129"/>
    <n v="218.20486626984129"/>
    <n v="2618.4583952380949"/>
    <n v="218.20486626984123"/>
    <s v="430014323210"/>
    <n v="2618.4583952380949"/>
  </r>
  <r>
    <m/>
    <x v="0"/>
    <x v="0"/>
    <s v="ASSIST. TÉCNICA - LOGÍSTICA"/>
    <x v="8"/>
    <x v="0"/>
    <x v="35"/>
    <s v="Detalhar na aba &quot;VIAGENS&quot;"/>
    <x v="8"/>
    <n v="0"/>
    <n v="0"/>
    <n v="0"/>
    <n v="0"/>
    <n v="0"/>
    <n v="0"/>
    <n v="0"/>
    <n v="0"/>
    <n v="0"/>
    <n v="0"/>
    <n v="0"/>
    <n v="0"/>
    <n v="0"/>
    <n v="0"/>
    <s v="430004323210"/>
    <n v="0"/>
  </r>
  <r>
    <m/>
    <x v="0"/>
    <x v="0"/>
    <s v="ASSIST. TÉCNICA - LOGÍSTICA"/>
    <x v="8"/>
    <x v="0"/>
    <x v="36"/>
    <s v="Detalhar na aba &quot;VIAGENS&quot;"/>
    <x v="8"/>
    <n v="0"/>
    <n v="0"/>
    <n v="0"/>
    <n v="0"/>
    <n v="0"/>
    <n v="0"/>
    <n v="0"/>
    <n v="0"/>
    <n v="0"/>
    <n v="0"/>
    <n v="0"/>
    <n v="0"/>
    <n v="0"/>
    <n v="0"/>
    <s v="430013623210"/>
    <n v="0"/>
  </r>
  <r>
    <m/>
    <x v="0"/>
    <x v="0"/>
    <s v="ASSIST. TÉCNICA - LOGÍSTICA"/>
    <x v="8"/>
    <x v="0"/>
    <x v="37"/>
    <s v="Detalhar na aba &quot;VIAGENS&quot;"/>
    <x v="8"/>
    <n v="0"/>
    <n v="0"/>
    <n v="0"/>
    <n v="0"/>
    <n v="0"/>
    <n v="0"/>
    <n v="0"/>
    <n v="0"/>
    <n v="0"/>
    <n v="0"/>
    <n v="0"/>
    <n v="0"/>
    <n v="0"/>
    <n v="0"/>
    <s v="430014823210"/>
    <n v="0"/>
  </r>
  <r>
    <m/>
    <x v="0"/>
    <x v="0"/>
    <s v="ASSIST. TÉCNICA - LOGÍSTICA"/>
    <x v="8"/>
    <x v="0"/>
    <x v="38"/>
    <s v="Detalhar na aba &quot;VIAGENS&quot;"/>
    <x v="8"/>
    <n v="200"/>
    <n v="200"/>
    <n v="200"/>
    <n v="200"/>
    <n v="200"/>
    <n v="200"/>
    <n v="200"/>
    <n v="200"/>
    <n v="200"/>
    <n v="200"/>
    <n v="200"/>
    <n v="200"/>
    <n v="2400"/>
    <n v="200"/>
    <s v="430014623210"/>
    <n v="2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58F08-E63E-441F-B956-88074BF11AEC}" name="Tabela dinâmica1" cacheId="338" applyNumberFormats="0" applyBorderFormats="0" applyFontFormats="0" applyPatternFormats="0" applyAlignmentFormats="0" applyWidthHeightFormats="1" dataCaption="Valores" missingCaption="0" updatedVersion="8" minRefreshableVersion="3" colGrandTotals="0" itemPrintTitles="1" createdVersion="8" indent="0" outline="1" outlineData="1" multipleFieldFilters="0" rowHeaderCaption="ÁREA / CONTA" colHeaderCaption=".">
  <location ref="B6:EG59" firstHeaderRow="1" firstDataRow="3" firstDataCol="1"/>
  <pivotFields count="2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multipleItemSelectionAllowed="1" showAll="0" sortType="ascending">
      <items count="2">
        <item x="0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0">
        <item x="27"/>
        <item x="28"/>
        <item x="32"/>
        <item x="0"/>
        <item x="10"/>
        <item x="18"/>
        <item x="3"/>
        <item x="4"/>
        <item x="30"/>
        <item x="5"/>
        <item x="21"/>
        <item x="6"/>
        <item x="22"/>
        <item x="8"/>
        <item x="11"/>
        <item x="12"/>
        <item x="13"/>
        <item x="14"/>
        <item x="15"/>
        <item x="7"/>
        <item x="1"/>
        <item x="25"/>
        <item x="2"/>
        <item x="17"/>
        <item x="19"/>
        <item x="23"/>
        <item x="31"/>
        <item x="29"/>
        <item x="20"/>
        <item x="9"/>
        <item x="24"/>
        <item x="16"/>
        <item x="26"/>
        <item x="33"/>
        <item x="34"/>
        <item x="35"/>
        <item x="36"/>
        <item x="37"/>
        <item x="3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"/>
    <field x="2"/>
    <field x="4"/>
    <field x="6"/>
  </rowFields>
  <rowItems count="51">
    <i>
      <x/>
    </i>
    <i r="1">
      <x/>
    </i>
    <i r="2">
      <x/>
    </i>
    <i r="3">
      <x v="3"/>
    </i>
    <i r="3">
      <x v="6"/>
    </i>
    <i r="3">
      <x v="7"/>
    </i>
    <i r="3">
      <x v="9"/>
    </i>
    <i r="3">
      <x v="11"/>
    </i>
    <i r="3">
      <x v="19"/>
    </i>
    <i r="3">
      <x v="20"/>
    </i>
    <i r="3">
      <x v="22"/>
    </i>
    <i r="2">
      <x v="1"/>
    </i>
    <i r="3">
      <x v="13"/>
    </i>
    <i r="3">
      <x v="29"/>
    </i>
    <i r="2">
      <x v="2"/>
    </i>
    <i r="3">
      <x v="4"/>
    </i>
    <i r="3">
      <x v="14"/>
    </i>
    <i r="3">
      <x v="15"/>
    </i>
    <i r="2">
      <x v="3"/>
    </i>
    <i r="3">
      <x v="16"/>
    </i>
    <i r="3">
      <x v="17"/>
    </i>
    <i r="3">
      <x v="18"/>
    </i>
    <i r="2">
      <x v="4"/>
    </i>
    <i r="3">
      <x v="5"/>
    </i>
    <i r="3">
      <x v="23"/>
    </i>
    <i r="3">
      <x v="24"/>
    </i>
    <i r="3">
      <x v="28"/>
    </i>
    <i r="3">
      <x v="31"/>
    </i>
    <i r="2">
      <x v="5"/>
    </i>
    <i r="3">
      <x v="10"/>
    </i>
    <i r="3">
      <x v="12"/>
    </i>
    <i r="3">
      <x v="21"/>
    </i>
    <i r="3">
      <x v="25"/>
    </i>
    <i r="3">
      <x v="30"/>
    </i>
    <i r="3">
      <x v="32"/>
    </i>
    <i r="2">
      <x v="6"/>
    </i>
    <i r="3">
      <x/>
    </i>
    <i r="3">
      <x v="1"/>
    </i>
    <i r="3">
      <x v="8"/>
    </i>
    <i r="3">
      <x v="26"/>
    </i>
    <i r="3">
      <x v="27"/>
    </i>
    <i r="2">
      <x v="7"/>
    </i>
    <i r="3">
      <x v="2"/>
    </i>
    <i r="2">
      <x v="8"/>
    </i>
    <i r="3">
      <x v="33"/>
    </i>
    <i r="3">
      <x v="34"/>
    </i>
    <i r="3">
      <x v="35"/>
    </i>
    <i r="3">
      <x v="36"/>
    </i>
    <i r="3">
      <x v="37"/>
    </i>
    <i r="3">
      <x v="38"/>
    </i>
    <i t="grand">
      <x/>
    </i>
  </rowItems>
  <colFields count="2">
    <field x="8"/>
    <field x="-2"/>
  </colFields>
  <colItems count="135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2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3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4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5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6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7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8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</colItems>
  <dataFields count="15">
    <dataField name="JAN " fld="9" baseField="5" baseItem="0" numFmtId="38"/>
    <dataField name="FEV " fld="10" baseField="5" baseItem="0" numFmtId="38"/>
    <dataField name="MAR " fld="11" baseField="5" baseItem="0" numFmtId="38"/>
    <dataField name="ABR " fld="12" baseField="5" baseItem="0" numFmtId="38"/>
    <dataField name="MAI " fld="13" baseField="5" baseItem="0" numFmtId="38"/>
    <dataField name="JUN " fld="14" baseField="6" baseItem="0" numFmtId="38"/>
    <dataField name="JUL " fld="15" baseField="6" baseItem="0" numFmtId="38"/>
    <dataField name="AGO " fld="16" baseField="9" baseItem="21" numFmtId="38"/>
    <dataField name="SET " fld="17" baseField="9" baseItem="21" numFmtId="38"/>
    <dataField name="OUT " fld="18" baseField="9" baseItem="21" numFmtId="38"/>
    <dataField name="NOV " fld="19" baseField="9" baseItem="21" numFmtId="38"/>
    <dataField name="DEZ " fld="20" baseField="5" baseItem="0" numFmtId="38"/>
    <dataField name="TOTAL " fld="21" baseField="5" baseItem="0" numFmtId="38"/>
    <dataField name=" " fld="0" subtotal="count" baseField="0" baseItem="0"/>
    <dataField name=" VAR 2025 X 2026 ÁREA" fld="24" baseField="0" baseItem="0" numFmtId="38"/>
  </dataFields>
  <formats count="136">
    <format dxfId="293">
      <pivotArea dataOnly="0" outline="0" fieldPosition="0">
        <references count="1">
          <reference field="4294967294" count="1">
            <x v="12"/>
          </reference>
        </references>
      </pivotArea>
    </format>
    <format dxfId="292">
      <pivotArea type="all" dataOnly="0" outline="0" fieldPosition="0"/>
    </format>
    <format dxfId="291">
      <pivotArea dataOnly="0" labelOnly="1" fieldPosition="0">
        <references count="1">
          <reference field="8" count="0"/>
        </references>
      </pivotArea>
    </format>
    <format dxfId="290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89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8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8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86">
      <pivotArea dataOnly="0" labelOnly="1" fieldPosition="0">
        <references count="1">
          <reference field="8" count="0"/>
        </references>
      </pivotArea>
    </format>
    <format dxfId="28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8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83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82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81">
      <pivotArea type="all" dataOnly="0" outline="0" fieldPosition="0"/>
    </format>
    <format dxfId="280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1"/>
          </reference>
        </references>
      </pivotArea>
    </format>
    <format dxfId="279">
      <pivotArea dataOnly="0" labelOnly="1" offset="IV256" fieldPosition="0">
        <references count="1">
          <reference field="8" count="1">
            <x v="1"/>
          </reference>
        </references>
      </pivotArea>
    </format>
    <format dxfId="278">
      <pivotArea dataOnly="0" outline="0" fieldPosition="0">
        <references count="1">
          <reference field="4294967294" count="1">
            <x v="13"/>
          </reference>
        </references>
      </pivotArea>
    </format>
    <format dxfId="277">
      <pivotArea dataOnly="0" outline="0" fieldPosition="0">
        <references count="1">
          <reference field="4294967294" count="1">
            <x v="13"/>
          </reference>
        </references>
      </pivotArea>
    </format>
    <format dxfId="276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275">
      <pivotArea dataOnly="0" labelOnly="1" offset="IV256" fieldPosition="0">
        <references count="1">
          <reference field="8" count="1">
            <x v="2"/>
          </reference>
        </references>
      </pivotArea>
    </format>
    <format dxfId="274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273">
      <pivotArea dataOnly="0" labelOnly="1" offset="IV256" fieldPosition="0">
        <references count="1">
          <reference field="8" count="1">
            <x v="2"/>
          </reference>
        </references>
      </pivotArea>
    </format>
    <format dxfId="272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271">
      <pivotArea dataOnly="0" labelOnly="1" offset="IV256" fieldPosition="0">
        <references count="1">
          <reference field="8" count="1">
            <x v="3"/>
          </reference>
        </references>
      </pivotArea>
    </format>
    <format dxfId="270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269">
      <pivotArea dataOnly="0" labelOnly="1" offset="IV256" fieldPosition="0">
        <references count="1">
          <reference field="8" count="1">
            <x v="3"/>
          </reference>
        </references>
      </pivotArea>
    </format>
    <format dxfId="268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267">
      <pivotArea dataOnly="0" labelOnly="1" offset="IV256" fieldPosition="0">
        <references count="1">
          <reference field="8" count="1">
            <x v="4"/>
          </reference>
        </references>
      </pivotArea>
    </format>
    <format dxfId="266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265">
      <pivotArea dataOnly="0" labelOnly="1" offset="IV256" fieldPosition="0">
        <references count="1">
          <reference field="8" count="1">
            <x v="4"/>
          </reference>
        </references>
      </pivotArea>
    </format>
    <format dxfId="264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263">
      <pivotArea dataOnly="0" labelOnly="1" offset="IV256" fieldPosition="0">
        <references count="1">
          <reference field="8" count="1">
            <x v="4"/>
          </reference>
        </references>
      </pivotArea>
    </format>
    <format dxfId="262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261">
      <pivotArea dataOnly="0" labelOnly="1" offset="IV256" fieldPosition="0">
        <references count="1">
          <reference field="8" count="1">
            <x v="2"/>
          </reference>
        </references>
      </pivotArea>
    </format>
    <format dxfId="260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259">
      <pivotArea dataOnly="0" labelOnly="1" offset="IV256" fieldPosition="0">
        <references count="1">
          <reference field="8" count="1">
            <x v="3"/>
          </reference>
        </references>
      </pivotArea>
    </format>
    <format dxfId="258">
      <pivotArea dataOnly="0" labelOnly="1" offset="IV256" fieldPosition="0">
        <references count="1">
          <reference field="8" count="1">
            <x v="3"/>
          </reference>
        </references>
      </pivotArea>
    </format>
    <format dxfId="257">
      <pivotArea dataOnly="0" outline="0" fieldPosition="0">
        <references count="1">
          <reference field="4294967294" count="1">
            <x v="13"/>
          </reference>
        </references>
      </pivotArea>
    </format>
    <format dxfId="256">
      <pivotArea dataOnly="0" outline="0" fieldPosition="0">
        <references count="1">
          <reference field="4294967294" count="1">
            <x v="13"/>
          </reference>
        </references>
      </pivotArea>
    </format>
    <format dxfId="255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3"/>
          </reference>
        </references>
      </pivotArea>
    </format>
    <format dxfId="254">
      <pivotArea dataOnly="0" labelOnly="1" offset="IV256" fieldPosition="0">
        <references count="1">
          <reference field="8" count="1">
            <x v="3"/>
          </reference>
        </references>
      </pivotArea>
    </format>
    <format dxfId="253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3"/>
          </reference>
        </references>
      </pivotArea>
    </format>
    <format dxfId="252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2"/>
          </reference>
        </references>
      </pivotArea>
    </format>
    <format dxfId="251">
      <pivotArea dataOnly="0" labelOnly="1" offset="IV256" fieldPosition="0">
        <references count="1">
          <reference field="8" count="1">
            <x v="2"/>
          </reference>
        </references>
      </pivotArea>
    </format>
    <format dxfId="250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2"/>
          </reference>
        </references>
      </pivotArea>
    </format>
    <format dxfId="249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1"/>
          </reference>
        </references>
      </pivotArea>
    </format>
    <format dxfId="248">
      <pivotArea dataOnly="0" labelOnly="1" offset="IV256" fieldPosition="0">
        <references count="1">
          <reference field="8" count="1">
            <x v="1"/>
          </reference>
        </references>
      </pivotArea>
    </format>
    <format dxfId="247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1"/>
          </reference>
        </references>
      </pivotArea>
    </format>
    <format dxfId="246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4"/>
          </reference>
        </references>
      </pivotArea>
    </format>
    <format dxfId="245">
      <pivotArea dataOnly="0" labelOnly="1" offset="IV256" fieldPosition="0">
        <references count="1">
          <reference field="8" count="1">
            <x v="4"/>
          </reference>
        </references>
      </pivotArea>
    </format>
    <format dxfId="244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4"/>
          </reference>
        </references>
      </pivotArea>
    </format>
    <format dxfId="243">
      <pivotArea dataOnly="0" labelOnly="1" offset="IV256" fieldPosition="0">
        <references count="1">
          <reference field="8" count="1">
            <x v="5"/>
          </reference>
        </references>
      </pivotArea>
    </format>
    <format dxfId="242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5"/>
          </reference>
        </references>
      </pivotArea>
    </format>
    <format dxfId="241">
      <pivotArea field="1" type="button" dataOnly="0" labelOnly="1" outline="0" axis="axisRow" fieldPosition="0"/>
    </format>
    <format dxfId="240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39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3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3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36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23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3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33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32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31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230">
      <pivotArea field="1" type="button" dataOnly="0" labelOnly="1" outline="0" axis="axisRow" fieldPosition="0"/>
    </format>
    <format dxfId="229">
      <pivotArea field="1" type="button" dataOnly="0" labelOnly="1" outline="0" axis="axisRow" fieldPosition="0"/>
    </format>
    <format dxfId="22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2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26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2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24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223">
      <pivotArea dataOnly="0" fieldPosition="0">
        <references count="1">
          <reference field="1" count="0"/>
        </references>
      </pivotArea>
    </format>
    <format dxfId="222">
      <pivotArea dataOnly="0" labelOnly="1" fieldPosition="0">
        <references count="1">
          <reference field="8" count="1">
            <x v="6"/>
          </reference>
        </references>
      </pivotArea>
    </format>
    <format dxfId="221">
      <pivotArea dataOnly="0" labelOnly="1" offset="IV256" fieldPosition="0">
        <references count="1">
          <reference field="8" count="1">
            <x v="6"/>
          </reference>
        </references>
      </pivotArea>
    </format>
    <format dxfId="220">
      <pivotArea field="1" type="button" dataOnly="0" labelOnly="1" outline="0" axis="axisRow" fieldPosition="0"/>
    </format>
    <format dxfId="219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1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1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16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1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5"/>
          </reference>
        </references>
      </pivotArea>
    </format>
    <format dxfId="21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6"/>
          </reference>
        </references>
      </pivotArea>
    </format>
    <format dxfId="213">
      <pivotArea type="origin" dataOnly="0" labelOnly="1" outline="0" offset="A1" fieldPosition="0"/>
    </format>
    <format dxfId="212">
      <pivotArea field="8" type="button" dataOnly="0" labelOnly="1" outline="0" axis="axisCol" fieldPosition="0"/>
    </format>
    <format dxfId="211">
      <pivotArea field="-2" type="button" dataOnly="0" labelOnly="1" outline="0" axis="axisCol" fieldPosition="1"/>
    </format>
    <format dxfId="210">
      <pivotArea type="topRight" dataOnly="0" labelOnly="1" outline="0" fieldPosition="0"/>
    </format>
    <format dxfId="209">
      <pivotArea dataOnly="0" labelOnly="1" offset="IV256" fieldPosition="0">
        <references count="1">
          <reference field="8" count="1">
            <x v="7"/>
          </reference>
        </references>
      </pivotArea>
    </format>
    <format dxfId="208">
      <pivotArea dataOnly="0" labelOnly="1" offset="IV256" fieldPosition="0">
        <references count="1">
          <reference field="8" count="1">
            <x v="8"/>
          </reference>
        </references>
      </pivotArea>
    </format>
    <format dxfId="207">
      <pivotArea dataOnly="0" labelOnly="1" offset="IV256" fieldPosition="0">
        <references count="1">
          <reference field="8" count="1">
            <x v="0"/>
          </reference>
        </references>
      </pivotArea>
    </format>
    <format dxfId="206">
      <pivotArea type="topRight" dataOnly="0" labelOnly="1" outline="0" offset="L1" fieldPosition="0"/>
    </format>
    <format dxfId="205">
      <pivotArea dataOnly="0" labelOnly="1" offset="IV256" fieldPosition="0">
        <references count="1">
          <reference field="8" count="1">
            <x v="0"/>
          </reference>
        </references>
      </pivotArea>
    </format>
    <format dxfId="204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0"/>
          </reference>
        </references>
      </pivotArea>
    </format>
    <format dxfId="203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0"/>
          </reference>
        </references>
      </pivotArea>
    </format>
    <format dxfId="202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1"/>
          </reference>
        </references>
      </pivotArea>
    </format>
    <format dxfId="201">
      <pivotArea type="topRight" dataOnly="0" labelOnly="1" outline="0" offset="Z1" fieldPosition="0"/>
    </format>
    <format dxfId="200">
      <pivotArea dataOnly="0" labelOnly="1" offset="IV256" fieldPosition="0">
        <references count="1">
          <reference field="8" count="1">
            <x v="1"/>
          </reference>
        </references>
      </pivotArea>
    </format>
    <format dxfId="199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1"/>
          </reference>
        </references>
      </pivotArea>
    </format>
    <format dxfId="198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197">
      <pivotArea type="topRight" dataOnly="0" labelOnly="1" outline="0" offset="AN1" fieldPosition="0"/>
    </format>
    <format dxfId="196">
      <pivotArea dataOnly="0" labelOnly="1" offset="IV256" fieldPosition="0">
        <references count="1">
          <reference field="8" count="1">
            <x v="2"/>
          </reference>
        </references>
      </pivotArea>
    </format>
    <format dxfId="195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2"/>
          </reference>
        </references>
      </pivotArea>
    </format>
    <format dxfId="194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193">
      <pivotArea type="topRight" dataOnly="0" labelOnly="1" outline="0" offset="BB1" fieldPosition="0"/>
    </format>
    <format dxfId="192">
      <pivotArea dataOnly="0" labelOnly="1" offset="IV256" fieldPosition="0">
        <references count="1">
          <reference field="8" count="1">
            <x v="3"/>
          </reference>
        </references>
      </pivotArea>
    </format>
    <format dxfId="191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3"/>
          </reference>
        </references>
      </pivotArea>
    </format>
    <format dxfId="190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189">
      <pivotArea type="topRight" dataOnly="0" labelOnly="1" outline="0" offset="BP1" fieldPosition="0"/>
    </format>
    <format dxfId="188">
      <pivotArea dataOnly="0" labelOnly="1" offset="IV256" fieldPosition="0">
        <references count="1">
          <reference field="8" count="1">
            <x v="4"/>
          </reference>
        </references>
      </pivotArea>
    </format>
    <format dxfId="187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4"/>
          </reference>
        </references>
      </pivotArea>
    </format>
    <format dxfId="186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5"/>
          </reference>
        </references>
      </pivotArea>
    </format>
    <format dxfId="185">
      <pivotArea type="topRight" dataOnly="0" labelOnly="1" outline="0" offset="CD1" fieldPosition="0"/>
    </format>
    <format dxfId="184">
      <pivotArea dataOnly="0" labelOnly="1" offset="IV256" fieldPosition="0">
        <references count="1">
          <reference field="8" count="1">
            <x v="5"/>
          </reference>
        </references>
      </pivotArea>
    </format>
    <format dxfId="183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5"/>
          </reference>
        </references>
      </pivotArea>
    </format>
    <format dxfId="182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6"/>
          </reference>
        </references>
      </pivotArea>
    </format>
    <format dxfId="181">
      <pivotArea type="topRight" dataOnly="0" labelOnly="1" outline="0" offset="CR1" fieldPosition="0"/>
    </format>
    <format dxfId="180">
      <pivotArea dataOnly="0" labelOnly="1" offset="IV256" fieldPosition="0">
        <references count="1">
          <reference field="8" count="1">
            <x v="6"/>
          </reference>
        </references>
      </pivotArea>
    </format>
    <format dxfId="179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6"/>
          </reference>
        </references>
      </pivotArea>
    </format>
    <format dxfId="178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7"/>
          </reference>
        </references>
      </pivotArea>
    </format>
    <format dxfId="177">
      <pivotArea type="topRight" dataOnly="0" labelOnly="1" outline="0" offset="DF1" fieldPosition="0"/>
    </format>
    <format dxfId="176">
      <pivotArea dataOnly="0" labelOnly="1" offset="IV256" fieldPosition="0">
        <references count="1">
          <reference field="8" count="1">
            <x v="7"/>
          </reference>
        </references>
      </pivotArea>
    </format>
    <format dxfId="175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7"/>
          </reference>
        </references>
      </pivotArea>
    </format>
    <format dxfId="174">
      <pivotArea type="topRight" dataOnly="0" labelOnly="1" outline="0" offset="DT1" fieldPosition="0"/>
    </format>
    <format dxfId="173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8"/>
          </reference>
        </references>
      </pivotArea>
    </format>
    <format dxfId="172">
      <pivotArea collapsedLevelsAreSubtotals="1" fieldPosition="0">
        <references count="4">
          <reference field="4294967294" count="1" selected="0">
            <x v="13"/>
          </reference>
          <reference field="1" count="0" selected="0"/>
          <reference field="2" count="0"/>
          <reference field="8" count="1" selected="0">
            <x v="8"/>
          </reference>
        </references>
      </pivotArea>
    </format>
    <format dxfId="171">
      <pivotArea type="topRight" dataOnly="0" labelOnly="1" outline="0" offset="EH1" fieldPosition="0"/>
    </format>
    <format dxfId="170">
      <pivotArea dataOnly="0" labelOnly="1" offset="IV256" fieldPosition="0">
        <references count="1">
          <reference field="8" count="1">
            <x v="8"/>
          </reference>
        </references>
      </pivotArea>
    </format>
    <format dxfId="169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8"/>
          </reference>
        </references>
      </pivotArea>
    </format>
    <format dxfId="168">
      <pivotArea dataOnly="0" labelOnly="1" offset="N256" fieldPosition="0">
        <references count="1">
          <reference field="8" count="1">
            <x v="0"/>
          </reference>
        </references>
      </pivotArea>
    </format>
    <format dxfId="167">
      <pivotArea dataOnly="0" labelOnly="1" offset="N256" fieldPosition="0">
        <references count="1">
          <reference field="8" count="1">
            <x v="1"/>
          </reference>
        </references>
      </pivotArea>
    </format>
    <format dxfId="166">
      <pivotArea dataOnly="0" labelOnly="1" offset="N256" fieldPosition="0">
        <references count="1">
          <reference field="8" count="1">
            <x v="2"/>
          </reference>
        </references>
      </pivotArea>
    </format>
    <format dxfId="165">
      <pivotArea dataOnly="0" labelOnly="1" offset="N256" fieldPosition="0">
        <references count="1">
          <reference field="8" count="1">
            <x v="3"/>
          </reference>
        </references>
      </pivotArea>
    </format>
    <format dxfId="164">
      <pivotArea dataOnly="0" labelOnly="1" offset="N256" fieldPosition="0">
        <references count="1">
          <reference field="8" count="1">
            <x v="4"/>
          </reference>
        </references>
      </pivotArea>
    </format>
    <format dxfId="163">
      <pivotArea dataOnly="0" labelOnly="1" offset="N256" fieldPosition="0">
        <references count="1">
          <reference field="8" count="1">
            <x v="5"/>
          </reference>
        </references>
      </pivotArea>
    </format>
    <format dxfId="162">
      <pivotArea dataOnly="0" labelOnly="1" offset="N256" fieldPosition="0">
        <references count="1">
          <reference field="8" count="1">
            <x v="6"/>
          </reference>
        </references>
      </pivotArea>
    </format>
    <format dxfId="161">
      <pivotArea dataOnly="0" labelOnly="1" offset="N256" fieldPosition="0">
        <references count="1">
          <reference field="8" count="1">
            <x v="7"/>
          </reference>
        </references>
      </pivotArea>
    </format>
    <format dxfId="160">
      <pivotArea dataOnly="0" labelOnly="1" offset="N256" fieldPosition="0">
        <references count="1">
          <reference field="8" count="1">
            <x v="8"/>
          </reference>
        </references>
      </pivotArea>
    </format>
    <format dxfId="159">
      <pivotArea dataOnly="0" labelOnly="1" fieldPosition="0">
        <references count="1">
          <reference field="8" count="1">
            <x v="8"/>
          </reference>
        </references>
      </pivotArea>
    </format>
    <format dxfId="158">
      <pivotArea outline="0" collapsedLevelsAreSubtotals="1" fieldPosition="0">
        <references count="2">
          <reference field="4294967294" count="1" selected="0">
            <x v="14"/>
          </reference>
          <reference field="8" count="1" selected="0">
            <x v="8"/>
          </reference>
        </references>
      </pivotArea>
    </format>
  </formats>
  <pivotTableStyleInfo name="PivotStyleMedium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7CE14C-7255-405E-9B49-ED308024A061}" name="Tabela dinâmica1" cacheId="338" applyNumberFormats="0" applyBorderFormats="0" applyFontFormats="0" applyPatternFormats="0" applyAlignmentFormats="0" applyWidthHeightFormats="1" dataCaption="Valores" missingCaption="0" updatedVersion="8" minRefreshableVersion="3" colGrandTotals="0" itemPrintTitles="1" createdVersion="8" indent="0" outline="1" outlineData="1" multipleFieldFilters="0" rowHeaderCaption="ÁREA / CONTA" colHeaderCaption=".">
  <location ref="B6:EG48" firstHeaderRow="1" firstDataRow="3" firstDataCol="1"/>
  <pivotFields count="2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multipleItemSelectionAllowed="1" showAll="0" sortType="ascending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descending">
      <items count="10">
        <item x="0"/>
        <item sd="0" x="1"/>
        <item sd="0" x="2"/>
        <item sd="0" x="3"/>
        <item x="4"/>
        <item x="5"/>
        <item x="6"/>
        <item x="7"/>
        <item sd="0" x="8"/>
        <item t="default" sd="0"/>
      </items>
      <autoSortScope>
        <pivotArea dataOnly="0" outline="0" fieldPosition="0">
          <references count="2">
            <reference field="4294967294" count="1" selected="0">
              <x v="12"/>
            </reference>
            <reference field="8" count="1" selected="0">
              <x v="5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">
        <item x="0"/>
        <item sd="0" x="1"/>
        <item sd="0" x="2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descending">
      <items count="40">
        <item x="27"/>
        <item x="28"/>
        <item x="32"/>
        <item x="0"/>
        <item x="10"/>
        <item x="18"/>
        <item x="3"/>
        <item x="4"/>
        <item x="30"/>
        <item x="5"/>
        <item x="21"/>
        <item x="6"/>
        <item x="22"/>
        <item x="8"/>
        <item x="11"/>
        <item x="12"/>
        <item x="13"/>
        <item x="14"/>
        <item x="15"/>
        <item x="7"/>
        <item x="1"/>
        <item x="25"/>
        <item x="2"/>
        <item x="17"/>
        <item x="19"/>
        <item x="23"/>
        <item x="31"/>
        <item x="29"/>
        <item x="20"/>
        <item x="9"/>
        <item x="24"/>
        <item x="16"/>
        <item x="26"/>
        <item x="33"/>
        <item x="34"/>
        <item x="35"/>
        <item x="36"/>
        <item x="37"/>
        <item x="38"/>
        <item t="default"/>
      </items>
      <autoSortScope>
        <pivotArea dataOnly="0" outline="0" fieldPosition="0">
          <references count="2">
            <reference field="4294967294" count="1" selected="0">
              <x v="12"/>
            </reference>
            <reference field="8" count="1" selected="0">
              <x v="5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5"/>
    <field x="4"/>
    <field x="6"/>
  </rowFields>
  <rowItems count="40">
    <i>
      <x/>
    </i>
    <i r="1">
      <x/>
    </i>
    <i r="2">
      <x/>
    </i>
    <i r="3">
      <x v="5"/>
    </i>
    <i r="4">
      <x v="12"/>
    </i>
    <i r="4">
      <x v="10"/>
    </i>
    <i r="4">
      <x v="32"/>
    </i>
    <i r="4">
      <x v="30"/>
    </i>
    <i r="4">
      <x v="25"/>
    </i>
    <i r="4">
      <x v="21"/>
    </i>
    <i r="3">
      <x v="6"/>
    </i>
    <i r="4">
      <x/>
    </i>
    <i r="4">
      <x v="26"/>
    </i>
    <i r="4">
      <x v="1"/>
    </i>
    <i r="4">
      <x v="27"/>
    </i>
    <i r="4">
      <x v="8"/>
    </i>
    <i r="3">
      <x v="4"/>
    </i>
    <i r="4">
      <x v="23"/>
    </i>
    <i r="4">
      <x v="24"/>
    </i>
    <i r="4">
      <x v="5"/>
    </i>
    <i r="4">
      <x v="31"/>
    </i>
    <i r="4">
      <x v="28"/>
    </i>
    <i r="3">
      <x/>
    </i>
    <i r="4">
      <x v="3"/>
    </i>
    <i r="4">
      <x v="6"/>
    </i>
    <i r="4">
      <x v="9"/>
    </i>
    <i r="4">
      <x v="7"/>
    </i>
    <i r="4">
      <x v="19"/>
    </i>
    <i r="4">
      <x v="11"/>
    </i>
    <i r="4">
      <x v="22"/>
    </i>
    <i r="4">
      <x v="20"/>
    </i>
    <i r="3">
      <x v="7"/>
    </i>
    <i r="4">
      <x v="2"/>
    </i>
    <i r="3">
      <x v="3"/>
    </i>
    <i r="3">
      <x v="8"/>
    </i>
    <i r="3">
      <x v="2"/>
    </i>
    <i r="3">
      <x v="1"/>
    </i>
    <i r="2">
      <x v="1"/>
    </i>
    <i r="2">
      <x v="2"/>
    </i>
    <i t="grand">
      <x/>
    </i>
  </rowItems>
  <colFields count="2">
    <field x="8"/>
    <field x="-2"/>
  </colFields>
  <colItems count="135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2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3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4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5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6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7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8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</colItems>
  <dataFields count="15">
    <dataField name="JAN " fld="9" baseField="5" baseItem="0" numFmtId="38"/>
    <dataField name="FEV " fld="10" baseField="5" baseItem="0" numFmtId="38"/>
    <dataField name="MAR " fld="11" baseField="5" baseItem="0" numFmtId="38"/>
    <dataField name="ABR " fld="12" baseField="5" baseItem="0" numFmtId="38"/>
    <dataField name="MAI " fld="13" baseField="5" baseItem="0" numFmtId="38"/>
    <dataField name="JUN " fld="14" baseField="6" baseItem="0" numFmtId="38"/>
    <dataField name="JUL " fld="15" baseField="6" baseItem="0" numFmtId="38"/>
    <dataField name="AGO " fld="16" baseField="9" baseItem="21" numFmtId="38"/>
    <dataField name="SET " fld="17" baseField="9" baseItem="21" numFmtId="38"/>
    <dataField name="OUT " fld="18" baseField="9" baseItem="21" numFmtId="38"/>
    <dataField name="NOV " fld="19" baseField="9" baseItem="21" numFmtId="38"/>
    <dataField name="DEZ " fld="20" baseField="5" baseItem="0" numFmtId="38"/>
    <dataField name="TOTAL " fld="21" baseField="5" baseItem="0" numFmtId="38"/>
    <dataField name=" " fld="0" subtotal="count" baseField="0" baseItem="0"/>
    <dataField name=" VAR 2025 X 2026 ÁREA" fld="24" baseField="0" baseItem="0" numFmtId="38"/>
  </dataFields>
  <formats count="125">
    <format dxfId="156">
      <pivotArea dataOnly="0" outline="0" fieldPosition="0">
        <references count="1">
          <reference field="4294967294" count="1">
            <x v="12"/>
          </reference>
        </references>
      </pivotArea>
    </format>
    <format dxfId="155">
      <pivotArea type="all" dataOnly="0" outline="0" fieldPosition="0"/>
    </format>
    <format dxfId="154">
      <pivotArea dataOnly="0" labelOnly="1" fieldPosition="0">
        <references count="1">
          <reference field="8" count="0"/>
        </references>
      </pivotArea>
    </format>
    <format dxfId="153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152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151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150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149">
      <pivotArea dataOnly="0" labelOnly="1" fieldPosition="0">
        <references count="1">
          <reference field="8" count="0"/>
        </references>
      </pivotArea>
    </format>
    <format dxfId="14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14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146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14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144">
      <pivotArea type="all" dataOnly="0" outline="0" fieldPosition="0"/>
    </format>
    <format dxfId="143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1"/>
          </reference>
        </references>
      </pivotArea>
    </format>
    <format dxfId="142">
      <pivotArea dataOnly="0" labelOnly="1" offset="IV256" fieldPosition="0">
        <references count="1">
          <reference field="8" count="1">
            <x v="1"/>
          </reference>
        </references>
      </pivotArea>
    </format>
    <format dxfId="141">
      <pivotArea dataOnly="0" outline="0" fieldPosition="0">
        <references count="1">
          <reference field="4294967294" count="1">
            <x v="13"/>
          </reference>
        </references>
      </pivotArea>
    </format>
    <format dxfId="140">
      <pivotArea dataOnly="0" outline="0" fieldPosition="0">
        <references count="1">
          <reference field="4294967294" count="1">
            <x v="13"/>
          </reference>
        </references>
      </pivotArea>
    </format>
    <format dxfId="139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138">
      <pivotArea dataOnly="0" labelOnly="1" offset="IV256" fieldPosition="0">
        <references count="1">
          <reference field="8" count="1">
            <x v="2"/>
          </reference>
        </references>
      </pivotArea>
    </format>
    <format dxfId="137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136">
      <pivotArea dataOnly="0" labelOnly="1" offset="IV256" fieldPosition="0">
        <references count="1">
          <reference field="8" count="1">
            <x v="2"/>
          </reference>
        </references>
      </pivotArea>
    </format>
    <format dxfId="135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134">
      <pivotArea dataOnly="0" labelOnly="1" offset="IV256" fieldPosition="0">
        <references count="1">
          <reference field="8" count="1">
            <x v="3"/>
          </reference>
        </references>
      </pivotArea>
    </format>
    <format dxfId="133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132">
      <pivotArea dataOnly="0" labelOnly="1" offset="IV256" fieldPosition="0">
        <references count="1">
          <reference field="8" count="1">
            <x v="3"/>
          </reference>
        </references>
      </pivotArea>
    </format>
    <format dxfId="131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130">
      <pivotArea dataOnly="0" labelOnly="1" offset="IV256" fieldPosition="0">
        <references count="1">
          <reference field="8" count="1">
            <x v="4"/>
          </reference>
        </references>
      </pivotArea>
    </format>
    <format dxfId="129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128">
      <pivotArea dataOnly="0" labelOnly="1" offset="IV256" fieldPosition="0">
        <references count="1">
          <reference field="8" count="1">
            <x v="4"/>
          </reference>
        </references>
      </pivotArea>
    </format>
    <format dxfId="127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126">
      <pivotArea dataOnly="0" labelOnly="1" offset="IV256" fieldPosition="0">
        <references count="1">
          <reference field="8" count="1">
            <x v="4"/>
          </reference>
        </references>
      </pivotArea>
    </format>
    <format dxfId="125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124">
      <pivotArea dataOnly="0" labelOnly="1" offset="IV256" fieldPosition="0">
        <references count="1">
          <reference field="8" count="1">
            <x v="2"/>
          </reference>
        </references>
      </pivotArea>
    </format>
    <format dxfId="123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122">
      <pivotArea dataOnly="0" labelOnly="1" offset="IV256" fieldPosition="0">
        <references count="1">
          <reference field="8" count="1">
            <x v="3"/>
          </reference>
        </references>
      </pivotArea>
    </format>
    <format dxfId="121">
      <pivotArea dataOnly="0" labelOnly="1" offset="IV256" fieldPosition="0">
        <references count="1">
          <reference field="8" count="1">
            <x v="3"/>
          </reference>
        </references>
      </pivotArea>
    </format>
    <format dxfId="120">
      <pivotArea dataOnly="0" outline="0" fieldPosition="0">
        <references count="1">
          <reference field="4294967294" count="1">
            <x v="13"/>
          </reference>
        </references>
      </pivotArea>
    </format>
    <format dxfId="119">
      <pivotArea dataOnly="0" outline="0" fieldPosition="0">
        <references count="1">
          <reference field="4294967294" count="1">
            <x v="13"/>
          </reference>
        </references>
      </pivotArea>
    </format>
    <format dxfId="118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3"/>
          </reference>
        </references>
      </pivotArea>
    </format>
    <format dxfId="117">
      <pivotArea type="topRight" dataOnly="0" labelOnly="1" outline="0" offset="BF1" fieldPosition="0"/>
    </format>
    <format dxfId="116">
      <pivotArea dataOnly="0" labelOnly="1" offset="IV256" fieldPosition="0">
        <references count="1">
          <reference field="8" count="1">
            <x v="3"/>
          </reference>
        </references>
      </pivotArea>
    </format>
    <format dxfId="115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3"/>
          </reference>
        </references>
      </pivotArea>
    </format>
    <format dxfId="114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2"/>
          </reference>
        </references>
      </pivotArea>
    </format>
    <format dxfId="113">
      <pivotArea type="topRight" dataOnly="0" labelOnly="1" outline="0" offset="AQ1" fieldPosition="0"/>
    </format>
    <format dxfId="112">
      <pivotArea dataOnly="0" labelOnly="1" offset="IV256" fieldPosition="0">
        <references count="1">
          <reference field="8" count="1">
            <x v="2"/>
          </reference>
        </references>
      </pivotArea>
    </format>
    <format dxfId="111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2"/>
          </reference>
        </references>
      </pivotArea>
    </format>
    <format dxfId="110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1"/>
          </reference>
        </references>
      </pivotArea>
    </format>
    <format dxfId="109">
      <pivotArea type="topRight" dataOnly="0" labelOnly="1" outline="0" offset="AB1" fieldPosition="0"/>
    </format>
    <format dxfId="108">
      <pivotArea dataOnly="0" labelOnly="1" offset="IV256" fieldPosition="0">
        <references count="1">
          <reference field="8" count="1">
            <x v="1"/>
          </reference>
        </references>
      </pivotArea>
    </format>
    <format dxfId="107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1"/>
          </reference>
        </references>
      </pivotArea>
    </format>
    <format dxfId="106">
      <pivotArea type="topRight" dataOnly="0" labelOnly="1" outline="0" offset="M1" fieldPosition="0"/>
    </format>
    <format dxfId="105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4"/>
          </reference>
        </references>
      </pivotArea>
    </format>
    <format dxfId="104">
      <pivotArea type="topRight" dataOnly="0" labelOnly="1" outline="0" offset="BU1" fieldPosition="0"/>
    </format>
    <format dxfId="103">
      <pivotArea dataOnly="0" labelOnly="1" offset="IV256" fieldPosition="0">
        <references count="1">
          <reference field="8" count="1">
            <x v="4"/>
          </reference>
        </references>
      </pivotArea>
    </format>
    <format dxfId="102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4"/>
          </reference>
        </references>
      </pivotArea>
    </format>
    <format dxfId="101">
      <pivotArea type="topRight" dataOnly="0" labelOnly="1" outline="0" offset="CJ1" fieldPosition="0"/>
    </format>
    <format dxfId="100">
      <pivotArea dataOnly="0" labelOnly="1" offset="IV256" fieldPosition="0">
        <references count="1">
          <reference field="8" count="1">
            <x v="5"/>
          </reference>
        </references>
      </pivotArea>
    </format>
    <format dxfId="99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5"/>
          </reference>
        </references>
      </pivotArea>
    </format>
    <format dxfId="98">
      <pivotArea field="1" type="button" dataOnly="0" labelOnly="1" outline="0" axis="axisRow" fieldPosition="0"/>
    </format>
    <format dxfId="9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96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9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9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93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92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91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90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89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88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87">
      <pivotArea field="1" type="button" dataOnly="0" labelOnly="1" outline="0" axis="axisRow" fieldPosition="0"/>
    </format>
    <format dxfId="86">
      <pivotArea field="1" type="button" dataOnly="0" labelOnly="1" outline="0" axis="axisRow" fieldPosition="0"/>
    </format>
    <format dxfId="8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8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83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82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81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80">
      <pivotArea dataOnly="0" fieldPosition="0">
        <references count="1">
          <reference field="1" count="0"/>
        </references>
      </pivotArea>
    </format>
    <format dxfId="79">
      <pivotArea field="1" type="button" dataOnly="0" labelOnly="1" outline="0" axis="axisRow" fieldPosition="0"/>
    </format>
    <format dxfId="7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7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76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7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7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5"/>
          </reference>
        </references>
      </pivotArea>
    </format>
    <format dxfId="73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6"/>
          </reference>
        </references>
      </pivotArea>
    </format>
    <format dxfId="72">
      <pivotArea dataOnly="0" labelOnly="1" offset="IV256" fieldPosition="0">
        <references count="1">
          <reference field="8" count="1">
            <x v="6"/>
          </reference>
        </references>
      </pivotArea>
    </format>
    <format dxfId="71">
      <pivotArea dataOnly="0" labelOnly="1" offset="IV256" fieldPosition="0">
        <references count="1">
          <reference field="8" count="1">
            <x v="7"/>
          </reference>
        </references>
      </pivotArea>
    </format>
    <format dxfId="70">
      <pivotArea dataOnly="0" labelOnly="1" offset="IV256" fieldPosition="0">
        <references count="1">
          <reference field="8" count="1">
            <x v="8"/>
          </reference>
        </references>
      </pivotArea>
    </format>
    <format dxfId="69">
      <pivotArea dataOnly="0" labelOnly="1" offset="N256" fieldPosition="0">
        <references count="1">
          <reference field="8" count="1">
            <x v="0"/>
          </reference>
        </references>
      </pivotArea>
    </format>
    <format dxfId="68">
      <pivotArea dataOnly="0" labelOnly="1" offset="N256" fieldPosition="0">
        <references count="1">
          <reference field="8" count="1">
            <x v="1"/>
          </reference>
        </references>
      </pivotArea>
    </format>
    <format dxfId="67">
      <pivotArea dataOnly="0" labelOnly="1" offset="N256" fieldPosition="0">
        <references count="1">
          <reference field="8" count="1">
            <x v="2"/>
          </reference>
        </references>
      </pivotArea>
    </format>
    <format dxfId="66">
      <pivotArea dataOnly="0" labelOnly="1" offset="N256" fieldPosition="0">
        <references count="1">
          <reference field="8" count="1">
            <x v="3"/>
          </reference>
        </references>
      </pivotArea>
    </format>
    <format dxfId="65">
      <pivotArea dataOnly="0" labelOnly="1" offset="N256" fieldPosition="0">
        <references count="1">
          <reference field="8" count="1">
            <x v="4"/>
          </reference>
        </references>
      </pivotArea>
    </format>
    <format dxfId="64">
      <pivotArea dataOnly="0" labelOnly="1" offset="N256" fieldPosition="0">
        <references count="1">
          <reference field="8" count="1">
            <x v="5"/>
          </reference>
        </references>
      </pivotArea>
    </format>
    <format dxfId="63">
      <pivotArea dataOnly="0" labelOnly="1" offset="N256" fieldPosition="0">
        <references count="1">
          <reference field="8" count="1">
            <x v="6"/>
          </reference>
        </references>
      </pivotArea>
    </format>
    <format dxfId="62">
      <pivotArea dataOnly="0" labelOnly="1" offset="N256" fieldPosition="0">
        <references count="1">
          <reference field="8" count="1">
            <x v="7"/>
          </reference>
        </references>
      </pivotArea>
    </format>
    <format dxfId="61">
      <pivotArea dataOnly="0" labelOnly="1" offset="N256" fieldPosition="0">
        <references count="1">
          <reference field="8" count="1">
            <x v="8"/>
          </reference>
        </references>
      </pivotArea>
    </format>
    <format dxfId="60">
      <pivotArea outline="0" collapsedLevelsAreSubtotals="1" fieldPosition="0">
        <references count="2">
          <reference field="4294967294" count="1" selected="0">
            <x v="14"/>
          </reference>
          <reference field="8" count="1" selected="0">
            <x v="8"/>
          </reference>
        </references>
      </pivotArea>
    </format>
    <format dxfId="59">
      <pivotArea collapsedLevelsAreSubtotals="1" fieldPosition="0">
        <references count="7">
          <reference field="4294967294" count="1" selected="0">
            <x v="12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0"/>
          </reference>
          <reference field="8" count="1" selected="0">
            <x v="8"/>
          </reference>
        </references>
      </pivotArea>
    </format>
    <format dxfId="58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1"/>
          </reference>
          <reference field="8" count="1" selected="0">
            <x v="8"/>
          </reference>
        </references>
      </pivotArea>
    </format>
    <format dxfId="57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4"/>
          </reference>
          <reference field="5" count="1" selected="0">
            <x v="0"/>
          </reference>
          <reference field="6" count="1">
            <x v="24"/>
          </reference>
          <reference field="8" count="1" selected="0">
            <x v="8"/>
          </reference>
        </references>
      </pivotArea>
    </format>
    <format dxfId="56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4"/>
          </reference>
          <reference field="5" count="1" selected="0">
            <x v="0"/>
          </reference>
          <reference field="6" count="1">
            <x v="5"/>
          </reference>
          <reference field="8" count="1" selected="0">
            <x v="8"/>
          </reference>
        </references>
      </pivotArea>
    </format>
    <format dxfId="55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3"/>
          </reference>
          <reference field="8" count="1" selected="0">
            <x v="8"/>
          </reference>
        </references>
      </pivotArea>
    </format>
    <format dxfId="54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7"/>
          </reference>
          <reference field="8" count="1" selected="0">
            <x v="8"/>
          </reference>
        </references>
      </pivotArea>
    </format>
    <format dxfId="53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9"/>
          </reference>
          <reference field="8" count="1" selected="0">
            <x v="8"/>
          </reference>
        </references>
      </pivotArea>
    </format>
    <format dxfId="52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19"/>
          </reference>
          <reference field="8" count="1" selected="0">
            <x v="8"/>
          </reference>
        </references>
      </pivotArea>
    </format>
    <format dxfId="51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22"/>
          </reference>
          <reference field="8" count="1" selected="0">
            <x v="8"/>
          </reference>
        </references>
      </pivotArea>
    </format>
    <format dxfId="50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7"/>
          </reference>
          <reference field="5" count="1" selected="0">
            <x v="0"/>
          </reference>
          <reference field="6" count="1">
            <x v="2"/>
          </reference>
          <reference field="8" count="1" selected="0">
            <x v="8"/>
          </reference>
        </references>
      </pivotArea>
    </format>
    <format dxfId="49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3"/>
          </reference>
          <reference field="5" count="1" selected="0">
            <x v="0"/>
          </reference>
          <reference field="6" count="1">
            <x v="17"/>
          </reference>
          <reference field="8" count="1" selected="0">
            <x v="8"/>
          </reference>
        </references>
      </pivotArea>
    </format>
    <format dxfId="48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8"/>
          </reference>
          <reference field="5" count="1" selected="0">
            <x v="0"/>
          </reference>
          <reference field="6" count="1">
            <x v="38"/>
          </reference>
          <reference field="8" count="1" selected="0">
            <x v="8"/>
          </reference>
        </references>
      </pivotArea>
    </format>
    <format dxfId="47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8"/>
          </reference>
          <reference field="5" count="1" selected="0">
            <x v="0"/>
          </reference>
          <reference field="6" count="1">
            <x v="35"/>
          </reference>
          <reference field="8" count="1" selected="0">
            <x v="8"/>
          </reference>
        </references>
      </pivotArea>
    </format>
    <format dxfId="46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0"/>
          </reference>
          <reference field="8" count="1" selected="0">
            <x v="8"/>
          </reference>
        </references>
      </pivotArea>
    </format>
    <format dxfId="45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5"/>
          </reference>
          <reference field="5" count="1" selected="0">
            <x v="0"/>
          </reference>
          <reference field="6" count="2">
            <x v="10"/>
            <x v="12"/>
          </reference>
          <reference field="8" count="1" selected="0">
            <x v="8"/>
          </reference>
        </references>
      </pivotArea>
    </format>
    <format dxfId="44">
      <pivotArea collapsedLevelsAreSubtotals="1" fieldPosition="0">
        <references count="7">
          <reference field="4294967294" count="1" selected="0">
            <x v="12"/>
          </reference>
          <reference field="1" count="0" selected="0"/>
          <reference field="2" count="0" selected="0"/>
          <reference field="4" count="1" selected="0">
            <x v="5"/>
          </reference>
          <reference field="5" count="1" selected="0">
            <x v="0"/>
          </reference>
          <reference field="6" count="2">
            <x v="10"/>
            <x v="12"/>
          </reference>
          <reference field="8" count="1" selected="0">
            <x v="8"/>
          </reference>
        </references>
      </pivotArea>
    </format>
    <format dxfId="43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0"/>
          </reference>
          <reference field="8" count="1" selected="0">
            <x v="8"/>
          </reference>
        </references>
      </pivotArea>
    </format>
    <format dxfId="42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1"/>
          </reference>
          <reference field="8" count="1" selected="0">
            <x v="8"/>
          </reference>
        </references>
      </pivotArea>
    </format>
    <format dxfId="41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4"/>
          </reference>
          <reference field="5" count="1" selected="0">
            <x v="0"/>
          </reference>
          <reference field="6" count="1">
            <x v="24"/>
          </reference>
          <reference field="8" count="1" selected="0">
            <x v="8"/>
          </reference>
        </references>
      </pivotArea>
    </format>
    <format dxfId="40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4"/>
          </reference>
          <reference field="5" count="1" selected="0">
            <x v="0"/>
          </reference>
          <reference field="6" count="1">
            <x v="5"/>
          </reference>
          <reference field="8" count="1" selected="0">
            <x v="8"/>
          </reference>
        </references>
      </pivotArea>
    </format>
    <format dxfId="39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3"/>
          </reference>
          <reference field="8" count="1" selected="0">
            <x v="8"/>
          </reference>
        </references>
      </pivotArea>
    </format>
    <format dxfId="38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3">
            <x v="7"/>
            <x v="9"/>
            <x v="19"/>
          </reference>
          <reference field="8" count="1" selected="0">
            <x v="8"/>
          </reference>
        </references>
      </pivotArea>
    </format>
    <format dxfId="37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22"/>
          </reference>
          <reference field="8" count="1" selected="0">
            <x v="8"/>
          </reference>
        </references>
      </pivotArea>
    </format>
    <format dxfId="36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7"/>
          </reference>
          <reference field="5" count="1" selected="0">
            <x v="0"/>
          </reference>
          <reference field="6" count="1">
            <x v="2"/>
          </reference>
          <reference field="8" count="1" selected="0">
            <x v="8"/>
          </reference>
        </references>
      </pivotArea>
    </format>
    <format dxfId="35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3"/>
          </reference>
          <reference field="5" count="1" selected="0">
            <x v="0"/>
          </reference>
          <reference field="6" count="1">
            <x v="17"/>
          </reference>
          <reference field="8" count="1" selected="0">
            <x v="8"/>
          </reference>
        </references>
      </pivotArea>
    </format>
    <format dxfId="34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8"/>
          </reference>
          <reference field="5" count="1" selected="0">
            <x v="0"/>
          </reference>
          <reference field="6" count="1">
            <x v="38"/>
          </reference>
          <reference field="8" count="1" selected="0">
            <x v="8"/>
          </reference>
        </references>
      </pivotArea>
    </format>
    <format dxfId="33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8"/>
          </reference>
          <reference field="5" count="1" selected="0">
            <x v="0"/>
          </reference>
          <reference field="6" count="1">
            <x v="35"/>
          </reference>
          <reference field="8" count="1" selected="0">
            <x v="8"/>
          </reference>
        </references>
      </pivotArea>
    </format>
    <format dxfId="32">
      <pivotArea collapsedLevelsAreSubtotals="1" fieldPosition="0">
        <references count="7">
          <reference field="4294967294" count="1" selected="0">
            <x v="12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0"/>
          </reference>
          <reference field="8" count="1" selected="0">
            <x v="8"/>
          </reference>
        </references>
      </pivotArea>
    </format>
  </formats>
  <pivotTableStyleInfo name="PivotStyleMedium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437308-0890-4D16-BAB2-B39A31440BC8}" name="BASE_ADM" displayName="BASE_ADM" ref="A2:Y206" totalsRowShown="0" headerRowDxfId="31" dataDxfId="30" tableBorderDxfId="29">
  <autoFilter ref="A2:Y206" xr:uid="{84437308-0890-4D16-BAB2-B39A31440BC8}">
    <filterColumn colId="6">
      <filters>
        <filter val="4100002 - MATERIAL DE EMBALAGEM"/>
      </filters>
    </filterColumn>
    <filterColumn colId="8">
      <filters>
        <filter val="2026 ÁREA"/>
      </filters>
    </filterColumn>
  </autoFilter>
  <sortState xmlns:xlrd2="http://schemas.microsoft.com/office/spreadsheetml/2017/richdata2" ref="A3:W200">
    <sortCondition ref="I2:I200"/>
  </sortState>
  <tableColumns count="25">
    <tableColumn id="1" xr3:uid="{E084C1ED-3429-4F59-8C0E-9CFA94F217FB}" name="." dataDxfId="28"/>
    <tableColumn id="2" xr3:uid="{A22E263A-87CC-4772-8FC5-6917156C620E}" name="GRUPO_1" dataDxfId="27"/>
    <tableColumn id="3" xr3:uid="{AAE4DC4C-1F59-4F6D-BC57-BE9F988E4B48}" name="ÁREA" dataDxfId="26"/>
    <tableColumn id="26" xr3:uid="{5798EC78-216F-4BDC-BD96-EC5B5818F641}" name="ÁREA SEGREGADA" dataDxfId="25"/>
    <tableColumn id="4" xr3:uid="{788A146C-120E-43C2-A0B7-13A3810AC108}" name="PACOTE" dataDxfId="24"/>
    <tableColumn id="5" xr3:uid="{EC5A3371-B9CB-447B-8A95-98F044663A52}" name="CENTRO DE CUSTOS" dataDxfId="23"/>
    <tableColumn id="6" xr3:uid="{EBABDB6C-0DE4-41FC-B652-9F378339473F}" name="CONTA CONTABIL" dataDxfId="22"/>
    <tableColumn id="7" xr3:uid="{2565CF22-5FAF-40A4-A63C-D996E89EBAF7}" name="OBS E PREMISSAS" dataDxfId="21"/>
    <tableColumn id="8" xr3:uid="{80674463-5314-45E4-992F-CE807B4B93A0}" name="ANO" dataDxfId="20"/>
    <tableColumn id="9" xr3:uid="{11D0DEF2-246F-4CB2-A5BB-4B69B6D86C9D}" name="jan" dataDxfId="19"/>
    <tableColumn id="10" xr3:uid="{D13DA058-6FD1-41AA-B71A-A843CEF76566}" name="fev" dataDxfId="18"/>
    <tableColumn id="11" xr3:uid="{0366BDCE-FDC2-4AB5-BB79-44544075827D}" name="mar" dataDxfId="17"/>
    <tableColumn id="12" xr3:uid="{4260DDC4-6916-4602-A096-DC3FA0927D42}" name="abr" dataDxfId="16"/>
    <tableColumn id="13" xr3:uid="{16B1D0EF-DC0E-41B8-865F-5047A13D1C4C}" name="mai" dataDxfId="15"/>
    <tableColumn id="14" xr3:uid="{6E52752E-18E9-41A6-A252-474A50C39E41}" name="jun" dataDxfId="14"/>
    <tableColumn id="15" xr3:uid="{B726C89F-F7A4-4603-9D5E-1283B9D9CA8F}" name="jul" dataDxfId="13"/>
    <tableColumn id="16" xr3:uid="{E37BB35C-C25E-42CA-B373-4D3D93146988}" name="ago" dataDxfId="12"/>
    <tableColumn id="17" xr3:uid="{5175E5BD-7226-49EE-9EA1-20F361A84508}" name="set" dataDxfId="11"/>
    <tableColumn id="18" xr3:uid="{21984AB8-D418-490F-B848-0CA4DAFA9FCF}" name="out" dataDxfId="10"/>
    <tableColumn id="19" xr3:uid="{DB9D9C76-0999-437D-A12D-DBE5E1F90D4D}" name="nov" dataDxfId="9"/>
    <tableColumn id="20" xr3:uid="{039BD035-6C58-49F9-B4DF-48D333B68DEE}" name="dez" dataDxfId="8"/>
    <tableColumn id="21" xr3:uid="{DC35C7B4-5A93-4DF6-8821-C813DF148A79}" name="total" dataDxfId="7">
      <calculatedColumnFormula>SUM(BASE_ADM[[#This Row],[jan]:[dez]])</calculatedColumnFormula>
    </tableColumn>
    <tableColumn id="24" xr3:uid="{BFB651E5-BFE0-46DA-9441-5AED7D5A9C0A}" name="Média/mês" dataDxfId="6">
      <calculatedColumnFormula>SUM(BASE_ADM[[#This Row],[jan]:[dez]])/12</calculatedColumnFormula>
    </tableColumn>
    <tableColumn id="23" xr3:uid="{7A1B7718-A6AC-4CEB-BBFB-EA1ADE0B8893}" name="CHAVE" dataDxfId="5">
      <calculatedColumnFormula>_xlfn.CONCAT(LEFT(BASE_ADM[[#This Row],[CONTA CONTABIL]],7),LEFT(BASE_ADM[[#This Row],[CENTRO DE CUSTOS]],5))</calculatedColumnFormula>
    </tableColumn>
    <tableColumn id="22" xr3:uid="{89214EFA-2F8B-469B-9E34-6C1E6891D940}" name="VAR 2025 X 2026 ÁREA" dataDxfId="4">
      <calculatedColumnFormula array="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calculatedColumnFormula>
    </tableColumn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7F1C8-D6E0-4808-BCB9-6C06FED85CAF}">
  <dimension ref="A2:C41"/>
  <sheetViews>
    <sheetView showGridLines="0" topLeftCell="A13" zoomScaleNormal="100" workbookViewId="0">
      <selection activeCell="B12" sqref="B12:C12"/>
    </sheetView>
  </sheetViews>
  <sheetFormatPr defaultRowHeight="15"/>
  <cols>
    <col min="1" max="1" width="4" customWidth="1"/>
    <col min="2" max="2" width="69.85546875" bestFit="1" customWidth="1"/>
    <col min="3" max="3" width="93.42578125" style="166" bestFit="1" customWidth="1"/>
    <col min="9" max="9" width="2.28515625" customWidth="1"/>
  </cols>
  <sheetData>
    <row r="2" spans="1:3" ht="19.5" thickBot="1">
      <c r="A2" s="156" t="s">
        <v>286</v>
      </c>
      <c r="B2" s="156"/>
      <c r="C2" s="157"/>
    </row>
    <row r="3" spans="1:3" ht="26.25" thickTop="1">
      <c r="B3" s="158" t="s">
        <v>287</v>
      </c>
      <c r="C3" s="159" t="s">
        <v>303</v>
      </c>
    </row>
    <row r="4" spans="1:3">
      <c r="B4" s="160" t="s">
        <v>306</v>
      </c>
      <c r="C4" s="161" t="s">
        <v>314</v>
      </c>
    </row>
    <row r="5" spans="1:3">
      <c r="B5" s="161" t="s">
        <v>304</v>
      </c>
      <c r="C5" s="161" t="s">
        <v>305</v>
      </c>
    </row>
    <row r="6" spans="1:3" ht="7.15" customHeight="1"/>
    <row r="7" spans="1:3" ht="20.45" customHeight="1" thickBot="1">
      <c r="A7" s="321" t="s">
        <v>308</v>
      </c>
      <c r="B7" s="322"/>
      <c r="C7" s="157"/>
    </row>
    <row r="8" spans="1:3" ht="19.5" thickTop="1">
      <c r="A8" s="163"/>
      <c r="B8" s="323"/>
      <c r="C8" s="323"/>
    </row>
    <row r="9" spans="1:3" ht="15.75">
      <c r="A9" s="183"/>
      <c r="B9" s="324" t="s">
        <v>307</v>
      </c>
      <c r="C9" s="324"/>
    </row>
    <row r="10" spans="1:3" ht="21.6" customHeight="1">
      <c r="A10" s="164"/>
      <c r="B10" s="326" t="s">
        <v>315</v>
      </c>
      <c r="C10" s="326"/>
    </row>
    <row r="11" spans="1:3" ht="21.6" customHeight="1">
      <c r="A11" s="164"/>
      <c r="B11" s="326" t="s">
        <v>732</v>
      </c>
      <c r="C11" s="326"/>
    </row>
    <row r="12" spans="1:3" ht="21.6" customHeight="1">
      <c r="A12" s="164"/>
      <c r="B12" s="326" t="s">
        <v>316</v>
      </c>
      <c r="C12" s="326"/>
    </row>
    <row r="13" spans="1:3" ht="34.9" customHeight="1">
      <c r="B13" s="325" t="s">
        <v>317</v>
      </c>
      <c r="C13" s="325"/>
    </row>
    <row r="14" spans="1:3" ht="20.45" customHeight="1" thickBot="1">
      <c r="A14" s="321" t="s">
        <v>310</v>
      </c>
      <c r="B14" s="322"/>
      <c r="C14" s="157"/>
    </row>
    <row r="15" spans="1:3" ht="9.6" customHeight="1" thickTop="1">
      <c r="A15" s="184"/>
      <c r="B15" s="185"/>
      <c r="C15" s="186"/>
    </row>
    <row r="16" spans="1:3" ht="15.75">
      <c r="A16" s="182" t="s">
        <v>309</v>
      </c>
      <c r="B16" s="165"/>
      <c r="C16" s="162"/>
    </row>
    <row r="17" spans="1:3" ht="200.45" customHeight="1">
      <c r="A17" s="165"/>
      <c r="B17" s="165"/>
      <c r="C17" s="162"/>
    </row>
    <row r="18" spans="1:3" ht="15.75">
      <c r="A18" s="182" t="s">
        <v>311</v>
      </c>
      <c r="B18" s="165"/>
      <c r="C18" s="162"/>
    </row>
    <row r="19" spans="1:3" ht="18.75">
      <c r="A19" s="164"/>
      <c r="C19" s="167"/>
    </row>
    <row r="20" spans="1:3" ht="18.75">
      <c r="A20" s="164"/>
      <c r="C20" s="167"/>
    </row>
    <row r="21" spans="1:3" ht="18.75">
      <c r="A21" s="164"/>
      <c r="C21" s="167"/>
    </row>
    <row r="22" spans="1:3" ht="18.75">
      <c r="A22" s="164"/>
      <c r="C22" s="167"/>
    </row>
    <row r="23" spans="1:3" ht="18.75">
      <c r="A23" s="164"/>
      <c r="C23" s="167"/>
    </row>
    <row r="24" spans="1:3" ht="18.75">
      <c r="A24" s="164"/>
      <c r="C24" s="167"/>
    </row>
    <row r="25" spans="1:3" ht="18.75">
      <c r="A25" s="164"/>
      <c r="C25" s="167"/>
    </row>
    <row r="26" spans="1:3" ht="18.75">
      <c r="A26" s="164"/>
      <c r="C26" s="167"/>
    </row>
    <row r="27" spans="1:3" ht="18.75">
      <c r="A27" s="164"/>
      <c r="C27" s="167"/>
    </row>
    <row r="28" spans="1:3" ht="18.75">
      <c r="A28" s="164"/>
      <c r="C28" s="167"/>
    </row>
    <row r="31" spans="1:3" ht="19.5" thickBot="1">
      <c r="A31" s="156" t="s">
        <v>288</v>
      </c>
      <c r="B31" s="156"/>
      <c r="C31" s="157"/>
    </row>
    <row r="32" spans="1:3" ht="15.75" thickTop="1"/>
    <row r="33" spans="1:3">
      <c r="B33" s="168" t="s">
        <v>96</v>
      </c>
      <c r="C33" s="169" t="s">
        <v>289</v>
      </c>
    </row>
    <row r="34" spans="1:3" ht="45">
      <c r="B34" s="168" t="s">
        <v>97</v>
      </c>
      <c r="C34" s="169" t="s">
        <v>290</v>
      </c>
    </row>
    <row r="37" spans="1:3" ht="19.5" thickBot="1">
      <c r="A37" s="322" t="s">
        <v>291</v>
      </c>
      <c r="B37" s="322"/>
      <c r="C37" s="322"/>
    </row>
    <row r="38" spans="1:3" ht="15.75" thickTop="1">
      <c r="A38" s="170"/>
    </row>
    <row r="39" spans="1:3">
      <c r="B39" s="170" t="s">
        <v>292</v>
      </c>
    </row>
    <row r="40" spans="1:3">
      <c r="B40" s="170" t="s">
        <v>293</v>
      </c>
    </row>
    <row r="41" spans="1:3">
      <c r="B41" s="170" t="s">
        <v>294</v>
      </c>
    </row>
  </sheetData>
  <mergeCells count="9">
    <mergeCell ref="A7:B7"/>
    <mergeCell ref="B8:C8"/>
    <mergeCell ref="B9:C9"/>
    <mergeCell ref="B13:C13"/>
    <mergeCell ref="A37:C37"/>
    <mergeCell ref="B10:C10"/>
    <mergeCell ref="B11:C11"/>
    <mergeCell ref="B12:C12"/>
    <mergeCell ref="A14:B1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22017-1CD7-43CF-BCD5-6C628F15E71D}">
  <sheetPr codeName="Planilha1">
    <tabColor theme="4" tint="-0.499984740745262"/>
    <pageSetUpPr autoPageBreaks="0"/>
  </sheetPr>
  <dimension ref="A1:EW59"/>
  <sheetViews>
    <sheetView showGridLines="0" workbookViewId="0">
      <pane ySplit="8" topLeftCell="A36" activePane="bottomLeft" state="frozen"/>
      <selection pane="bottomLeft" activeCell="B10" sqref="B10"/>
    </sheetView>
  </sheetViews>
  <sheetFormatPr defaultRowHeight="15" outlineLevelCol="1"/>
  <cols>
    <col min="1" max="1" width="0.7109375" style="3" customWidth="1"/>
    <col min="2" max="2" width="40.140625" customWidth="1"/>
    <col min="3" max="14" width="10.140625" hidden="1" customWidth="1" outlineLevel="1"/>
    <col min="15" max="15" width="12.28515625" hidden="1" customWidth="1" collapsed="1"/>
    <col min="16" max="16" width="1" hidden="1" customWidth="1"/>
    <col min="17" max="17" width="10.140625" hidden="1" customWidth="1"/>
    <col min="18" max="29" width="10.140625" hidden="1" customWidth="1" outlineLevel="1"/>
    <col min="30" max="30" width="12.28515625" hidden="1" customWidth="1" collapsed="1"/>
    <col min="31" max="31" width="1" hidden="1" customWidth="1"/>
    <col min="32" max="32" width="10.140625" hidden="1" customWidth="1"/>
    <col min="33" max="44" width="10.140625" hidden="1" customWidth="1" outlineLevel="1"/>
    <col min="45" max="45" width="12.28515625" hidden="1" customWidth="1" collapsed="1"/>
    <col min="46" max="46" width="1" hidden="1" customWidth="1"/>
    <col min="47" max="47" width="11.140625" hidden="1" customWidth="1"/>
    <col min="48" max="59" width="10.140625" hidden="1" customWidth="1" outlineLevel="1"/>
    <col min="60" max="60" width="12.28515625" hidden="1" customWidth="1" collapsed="1"/>
    <col min="61" max="61" width="1" customWidth="1"/>
    <col min="62" max="62" width="10.140625" hidden="1" customWidth="1"/>
    <col min="63" max="74" width="10.140625" hidden="1" customWidth="1" outlineLevel="1"/>
    <col min="75" max="75" width="12.28515625" customWidth="1" collapsed="1"/>
    <col min="76" max="76" width="1" customWidth="1"/>
    <col min="77" max="77" width="11.140625" hidden="1" customWidth="1"/>
    <col min="78" max="89" width="10.140625" hidden="1" customWidth="1" outlineLevel="1"/>
    <col min="90" max="90" width="12.28515625" customWidth="1" collapsed="1"/>
    <col min="91" max="91" width="1" customWidth="1"/>
    <col min="92" max="92" width="11.140625" hidden="1" customWidth="1"/>
    <col min="93" max="104" width="10.140625" hidden="1" customWidth="1" outlineLevel="1"/>
    <col min="105" max="105" width="12.28515625" customWidth="1" collapsed="1"/>
    <col min="106" max="106" width="1" customWidth="1"/>
    <col min="107" max="107" width="11.140625" hidden="1" customWidth="1"/>
    <col min="108" max="119" width="10.140625" hidden="1" customWidth="1" outlineLevel="1"/>
    <col min="120" max="120" width="12.28515625" customWidth="1" collapsed="1"/>
    <col min="121" max="121" width="1" customWidth="1"/>
    <col min="122" max="122" width="7.5703125" hidden="1" customWidth="1"/>
    <col min="123" max="134" width="10.140625" hidden="1" customWidth="1" outlineLevel="1"/>
    <col min="135" max="135" width="12.28515625" customWidth="1" collapsed="1"/>
    <col min="136" max="136" width="1" customWidth="1"/>
    <col min="137" max="137" width="20.140625" bestFit="1" customWidth="1"/>
    <col min="138" max="138" width="9.28515625" customWidth="1"/>
    <col min="139" max="149" width="11.28515625" customWidth="1"/>
    <col min="150" max="150" width="12.28515625" customWidth="1"/>
    <col min="151" max="151" width="1" customWidth="1"/>
    <col min="152" max="152" width="20.140625" bestFit="1" customWidth="1"/>
    <col min="153" max="153" width="6.28515625" bestFit="1" customWidth="1"/>
    <col min="154" max="366" width="4.140625" bestFit="1" customWidth="1"/>
    <col min="367" max="529" width="5.7109375" bestFit="1" customWidth="1"/>
    <col min="530" max="603" width="6.7109375" bestFit="1" customWidth="1"/>
    <col min="604" max="628" width="7.85546875" bestFit="1" customWidth="1"/>
    <col min="629" max="632" width="9.42578125" bestFit="1" customWidth="1"/>
    <col min="633" max="634" width="10.42578125" bestFit="1" customWidth="1"/>
    <col min="635" max="635" width="10" bestFit="1" customWidth="1"/>
    <col min="636" max="638" width="7.42578125" bestFit="1" customWidth="1"/>
    <col min="639" max="641" width="4.85546875" bestFit="1" customWidth="1"/>
    <col min="642" max="643" width="3.85546875" bestFit="1" customWidth="1"/>
    <col min="644" max="644" width="2.7109375" bestFit="1" customWidth="1"/>
    <col min="645" max="674" width="2.140625" bestFit="1" customWidth="1"/>
    <col min="675" max="793" width="3.140625" bestFit="1" customWidth="1"/>
    <col min="794" max="1037" width="4.140625" bestFit="1" customWidth="1"/>
    <col min="1038" max="1202" width="5.7109375" bestFit="1" customWidth="1"/>
    <col min="1203" max="1271" width="6.7109375" bestFit="1" customWidth="1"/>
    <col min="1272" max="1297" width="7.85546875" bestFit="1" customWidth="1"/>
    <col min="1298" max="1303" width="9.42578125" bestFit="1" customWidth="1"/>
    <col min="1304" max="1305" width="10.42578125" bestFit="1" customWidth="1"/>
    <col min="1306" max="1306" width="10" bestFit="1" customWidth="1"/>
    <col min="1307" max="1307" width="7.42578125" bestFit="1" customWidth="1"/>
    <col min="1308" max="1310" width="6.42578125" bestFit="1" customWidth="1"/>
    <col min="1311" max="1312" width="4.85546875" bestFit="1" customWidth="1"/>
    <col min="1313" max="1313" width="3.85546875" bestFit="1" customWidth="1"/>
    <col min="1314" max="1314" width="2.7109375" bestFit="1" customWidth="1"/>
    <col min="1315" max="1326" width="2.140625" bestFit="1" customWidth="1"/>
    <col min="1327" max="1423" width="3.140625" bestFit="1" customWidth="1"/>
    <col min="1424" max="1598" width="4.140625" bestFit="1" customWidth="1"/>
    <col min="1599" max="1743" width="5.7109375" bestFit="1" customWidth="1"/>
    <col min="1744" max="1808" width="6.7109375" bestFit="1" customWidth="1"/>
    <col min="1809" max="1840" width="7.85546875" bestFit="1" customWidth="1"/>
    <col min="1841" max="1847" width="9.42578125" bestFit="1" customWidth="1"/>
    <col min="1848" max="1849" width="10.42578125" bestFit="1" customWidth="1"/>
    <col min="1850" max="1850" width="10" bestFit="1" customWidth="1"/>
    <col min="1851" max="1851" width="7.28515625" bestFit="1" customWidth="1"/>
    <col min="1852" max="1857" width="2.140625" bestFit="1" customWidth="1"/>
    <col min="1858" max="1924" width="3.140625" bestFit="1" customWidth="1"/>
    <col min="1925" max="2080" width="4.140625" bestFit="1" customWidth="1"/>
    <col min="2081" max="2211" width="5.7109375" bestFit="1" customWidth="1"/>
    <col min="2212" max="2275" width="6.7109375" bestFit="1" customWidth="1"/>
    <col min="2276" max="2312" width="7.85546875" bestFit="1" customWidth="1"/>
    <col min="2313" max="2320" width="9.42578125" bestFit="1" customWidth="1"/>
    <col min="2321" max="2322" width="10.42578125" bestFit="1" customWidth="1"/>
    <col min="2323" max="2323" width="10" bestFit="1" customWidth="1"/>
    <col min="2324" max="2324" width="10.7109375" bestFit="1" customWidth="1"/>
  </cols>
  <sheetData>
    <row r="1" spans="1:153" ht="4.5" customHeight="1" thickBot="1">
      <c r="C1" t="s">
        <v>52</v>
      </c>
    </row>
    <row r="2" spans="1:153" s="2" customFormat="1" ht="42" customHeight="1" thickTop="1" thickBot="1">
      <c r="A2" s="20"/>
      <c r="B2" s="1" t="str">
        <f>"Planejamento Financeiro 2026 | "&amp;'ORÇAMENTO 2026'!C1</f>
        <v>Planejamento Financeiro 2026 | ASSIST. TÉCNICA - LOGÍSTICA</v>
      </c>
      <c r="C2" s="1"/>
      <c r="Q2" s="1"/>
      <c r="R2" s="1"/>
      <c r="AE2" s="1"/>
      <c r="AG2" s="1"/>
      <c r="AV2" s="1"/>
      <c r="BK2" s="1"/>
      <c r="BZ2" s="1"/>
      <c r="CO2" s="1"/>
      <c r="DD2" s="1"/>
      <c r="DS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</row>
    <row r="3" spans="1:153" ht="3.75" customHeight="1" thickTop="1"/>
    <row r="4" spans="1:153" ht="7.5" customHeight="1"/>
    <row r="5" spans="1:153" hidden="1">
      <c r="C5" s="11">
        <v>43466</v>
      </c>
      <c r="D5" s="11">
        <v>43497</v>
      </c>
      <c r="E5" s="11">
        <v>43525</v>
      </c>
      <c r="F5" s="11">
        <v>43556</v>
      </c>
      <c r="G5" s="11">
        <v>43586</v>
      </c>
      <c r="H5" s="11">
        <v>43617</v>
      </c>
      <c r="I5" s="11">
        <v>43647</v>
      </c>
      <c r="J5" s="11">
        <v>43678</v>
      </c>
      <c r="K5" s="11">
        <v>43709</v>
      </c>
      <c r="L5" s="11">
        <v>43739</v>
      </c>
      <c r="M5" s="11">
        <v>43770</v>
      </c>
      <c r="N5" s="11">
        <v>43800</v>
      </c>
      <c r="O5" s="11">
        <v>2019</v>
      </c>
      <c r="Q5" s="11">
        <v>43831</v>
      </c>
      <c r="R5" s="11">
        <v>43862</v>
      </c>
      <c r="S5" s="11">
        <v>43891</v>
      </c>
      <c r="T5" s="11">
        <v>43922</v>
      </c>
      <c r="U5" s="11">
        <v>43952</v>
      </c>
      <c r="V5" s="11">
        <v>43983</v>
      </c>
      <c r="W5" s="11">
        <v>44013</v>
      </c>
      <c r="X5" s="11">
        <v>44044</v>
      </c>
      <c r="Y5" s="11">
        <v>44075</v>
      </c>
      <c r="Z5" s="11">
        <v>44105</v>
      </c>
      <c r="AA5" s="11">
        <v>44136</v>
      </c>
      <c r="AB5" s="11">
        <v>44166</v>
      </c>
      <c r="AC5" s="11">
        <v>2020</v>
      </c>
      <c r="AD5" s="11"/>
      <c r="AE5" s="11">
        <v>44197</v>
      </c>
      <c r="AF5" s="11">
        <v>44228</v>
      </c>
      <c r="AG5" s="11">
        <v>44256</v>
      </c>
      <c r="AH5" s="11">
        <v>44287</v>
      </c>
      <c r="AI5" s="11">
        <v>44317</v>
      </c>
      <c r="AJ5" s="11">
        <v>44348</v>
      </c>
      <c r="AK5" s="11">
        <v>44378</v>
      </c>
      <c r="AL5" s="11">
        <v>44409</v>
      </c>
      <c r="AM5" s="11">
        <v>44440</v>
      </c>
      <c r="AN5" s="11">
        <v>44470</v>
      </c>
      <c r="AO5" s="11">
        <v>44501</v>
      </c>
      <c r="AP5" s="11">
        <v>44531</v>
      </c>
      <c r="AQ5" s="11">
        <v>2021</v>
      </c>
      <c r="AR5" s="11"/>
      <c r="AS5" s="11">
        <v>44562</v>
      </c>
      <c r="AT5" s="11">
        <v>44593</v>
      </c>
      <c r="AU5" s="11">
        <v>44621</v>
      </c>
      <c r="AV5" s="11">
        <v>44652</v>
      </c>
      <c r="AW5" s="11">
        <v>44682</v>
      </c>
      <c r="AX5" s="11">
        <v>44713</v>
      </c>
      <c r="AY5" s="11">
        <v>44743</v>
      </c>
      <c r="AZ5" s="11">
        <v>44774</v>
      </c>
      <c r="BA5" s="11">
        <v>44805</v>
      </c>
      <c r="BB5" s="11">
        <v>44835</v>
      </c>
      <c r="BC5" s="11">
        <v>44866</v>
      </c>
      <c r="BD5" s="11">
        <v>44896</v>
      </c>
      <c r="BE5" s="11">
        <v>2022</v>
      </c>
      <c r="BF5" s="11"/>
      <c r="BG5" s="11">
        <v>44927</v>
      </c>
      <c r="BH5" s="11">
        <v>44958</v>
      </c>
      <c r="BI5" s="11">
        <v>44986</v>
      </c>
      <c r="BJ5" s="11">
        <v>45017</v>
      </c>
      <c r="BK5" s="11">
        <v>45047</v>
      </c>
      <c r="BL5" s="11">
        <v>45078</v>
      </c>
      <c r="BM5" s="11">
        <v>45108</v>
      </c>
      <c r="BN5" s="11">
        <v>45139</v>
      </c>
      <c r="BO5" s="11">
        <v>45170</v>
      </c>
      <c r="BP5" s="11">
        <v>45200</v>
      </c>
      <c r="BQ5" s="11">
        <v>45231</v>
      </c>
      <c r="BR5" s="11">
        <v>45261</v>
      </c>
      <c r="BS5" s="11">
        <v>2023</v>
      </c>
      <c r="BT5" s="11"/>
      <c r="BU5" s="11">
        <v>45292</v>
      </c>
      <c r="BV5" s="11">
        <v>45323</v>
      </c>
      <c r="BW5" s="11">
        <v>45352</v>
      </c>
      <c r="BX5" s="11">
        <v>45383</v>
      </c>
      <c r="BY5" s="11">
        <v>45413</v>
      </c>
      <c r="BZ5" s="11">
        <v>45444</v>
      </c>
      <c r="CA5" s="11">
        <v>45474</v>
      </c>
      <c r="CB5" s="11">
        <v>45505</v>
      </c>
      <c r="CC5" s="11">
        <v>45536</v>
      </c>
      <c r="CD5" s="11">
        <v>45566</v>
      </c>
      <c r="CE5" s="11">
        <v>45597</v>
      </c>
      <c r="CF5" s="11">
        <v>45627</v>
      </c>
      <c r="CG5" s="11">
        <v>2024</v>
      </c>
      <c r="CH5" s="11"/>
      <c r="CI5" s="11">
        <v>45658</v>
      </c>
      <c r="CJ5" s="11">
        <v>45689</v>
      </c>
      <c r="CK5" s="11">
        <v>45717</v>
      </c>
      <c r="CL5" s="11">
        <v>45748</v>
      </c>
      <c r="CM5" s="11">
        <v>45778</v>
      </c>
      <c r="CN5" s="11">
        <v>45809</v>
      </c>
      <c r="CO5" s="11">
        <v>45839</v>
      </c>
      <c r="CP5" s="11">
        <v>45870</v>
      </c>
      <c r="CQ5" s="11">
        <v>45901</v>
      </c>
      <c r="CR5" s="11">
        <v>45931</v>
      </c>
      <c r="CS5" s="11">
        <v>45962</v>
      </c>
      <c r="CT5" s="11">
        <v>45992</v>
      </c>
      <c r="CU5" s="11">
        <v>2025</v>
      </c>
      <c r="CV5" s="11"/>
      <c r="CW5" s="11">
        <v>45658</v>
      </c>
      <c r="CX5" s="11">
        <v>45689</v>
      </c>
      <c r="CY5" s="11">
        <v>45717</v>
      </c>
      <c r="CZ5" s="11">
        <v>45748</v>
      </c>
      <c r="DA5" s="11">
        <v>45778</v>
      </c>
      <c r="DB5" s="11">
        <v>45809</v>
      </c>
      <c r="DC5" s="11">
        <v>45839</v>
      </c>
      <c r="DD5" s="11">
        <v>45870</v>
      </c>
      <c r="DE5" s="11">
        <v>45901</v>
      </c>
      <c r="DF5" s="11">
        <v>45931</v>
      </c>
      <c r="DG5" s="11">
        <v>45962</v>
      </c>
      <c r="DH5" s="11">
        <v>45992</v>
      </c>
      <c r="DI5" s="11" t="s">
        <v>91</v>
      </c>
      <c r="DJ5" s="11"/>
      <c r="DK5" s="11"/>
      <c r="DL5" s="11"/>
      <c r="DM5" s="11"/>
      <c r="DN5" s="11"/>
      <c r="DO5" s="11"/>
      <c r="DP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</row>
    <row r="6" spans="1:153" s="150" customFormat="1">
      <c r="A6" s="46"/>
      <c r="B6" s="305"/>
      <c r="C6" s="305" t="s">
        <v>55</v>
      </c>
      <c r="D6" s="305"/>
      <c r="E6" s="305"/>
      <c r="F6" s="305"/>
      <c r="G6" s="305"/>
      <c r="H6" s="305"/>
      <c r="I6" s="305"/>
      <c r="J6" s="305"/>
      <c r="K6" s="305"/>
      <c r="L6" s="305"/>
      <c r="M6" s="305"/>
      <c r="N6" s="305"/>
      <c r="O6" s="305"/>
      <c r="P6" s="305"/>
      <c r="Q6" s="305"/>
      <c r="R6" s="30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305"/>
      <c r="AH6" s="305"/>
      <c r="AI6" s="305"/>
      <c r="AJ6" s="305"/>
      <c r="AK6" s="305"/>
      <c r="AL6" s="305"/>
      <c r="AM6" s="305"/>
      <c r="AN6" s="305"/>
      <c r="AO6" s="305"/>
      <c r="AP6" s="305"/>
      <c r="AQ6" s="305"/>
      <c r="AR6" s="305"/>
      <c r="AS6" s="305"/>
      <c r="AT6" s="305"/>
      <c r="AU6" s="305"/>
      <c r="AV6" s="305"/>
      <c r="AW6" s="305"/>
      <c r="AX6" s="305"/>
      <c r="AY6" s="305"/>
      <c r="AZ6" s="305"/>
      <c r="BA6" s="305"/>
      <c r="BB6" s="305"/>
      <c r="BC6" s="305"/>
      <c r="BD6" s="305"/>
      <c r="BE6" s="305"/>
      <c r="BF6" s="305"/>
      <c r="BG6" s="305"/>
      <c r="BH6" s="305"/>
      <c r="BI6" s="305"/>
      <c r="BJ6" s="305"/>
      <c r="BK6" s="305"/>
      <c r="BL6" s="305"/>
      <c r="BM6" s="305"/>
      <c r="BN6" s="305"/>
      <c r="BO6" s="305"/>
      <c r="BP6" s="305"/>
      <c r="BQ6" s="305"/>
      <c r="BR6" s="305"/>
      <c r="BS6" s="305"/>
      <c r="BT6" s="305"/>
      <c r="BU6" s="305"/>
      <c r="BV6" s="305"/>
      <c r="BW6" s="305"/>
      <c r="BX6" s="305"/>
      <c r="BY6" s="305"/>
      <c r="BZ6" s="305"/>
      <c r="CA6" s="305"/>
      <c r="CB6" s="305"/>
      <c r="CC6" s="305"/>
      <c r="CD6" s="305"/>
      <c r="CE6" s="305"/>
      <c r="CF6" s="305"/>
      <c r="CG6" s="305"/>
      <c r="CH6" s="306"/>
      <c r="CI6" s="305"/>
      <c r="CJ6" s="305"/>
      <c r="CK6" s="305"/>
      <c r="CL6" s="305"/>
      <c r="CM6" s="305"/>
      <c r="CN6" s="305"/>
      <c r="CO6" s="305"/>
      <c r="CP6" s="305"/>
      <c r="CQ6" s="305"/>
      <c r="CR6" s="305"/>
      <c r="CS6" s="305"/>
      <c r="CT6" s="305"/>
      <c r="CU6" s="305"/>
      <c r="CV6" s="305"/>
      <c r="CW6" s="305"/>
      <c r="CX6" s="305"/>
      <c r="CY6" s="305"/>
      <c r="CZ6" s="305"/>
      <c r="DA6" s="305"/>
      <c r="DB6" s="305"/>
      <c r="DC6" s="305"/>
      <c r="DD6" s="305"/>
      <c r="DE6" s="305"/>
      <c r="DF6" s="305"/>
      <c r="DG6" s="305"/>
      <c r="DH6" s="305"/>
      <c r="DI6" s="305"/>
      <c r="DJ6" s="305"/>
      <c r="DK6" s="305"/>
      <c r="DL6" s="305"/>
      <c r="DM6" s="305"/>
      <c r="DN6" s="305"/>
      <c r="DO6" s="305"/>
      <c r="DP6" s="305"/>
      <c r="DQ6" s="305"/>
      <c r="DR6" s="305"/>
      <c r="DS6" s="305"/>
      <c r="DT6" s="305"/>
      <c r="DU6" s="305"/>
      <c r="DV6" s="305"/>
      <c r="DW6" s="305"/>
      <c r="DX6" s="305"/>
      <c r="DY6" s="305"/>
      <c r="DZ6" s="305"/>
      <c r="EA6" s="305"/>
      <c r="EB6" s="305"/>
      <c r="EC6" s="305"/>
      <c r="ED6" s="305"/>
      <c r="EE6" s="305"/>
      <c r="EF6" s="305"/>
      <c r="EG6" s="305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</row>
    <row r="7" spans="1:153" s="151" customFormat="1">
      <c r="A7" s="29"/>
      <c r="B7" s="279"/>
      <c r="C7" s="281">
        <v>2018</v>
      </c>
      <c r="D7" s="281">
        <v>2018</v>
      </c>
      <c r="E7" s="281">
        <v>2018</v>
      </c>
      <c r="F7" s="281">
        <v>2018</v>
      </c>
      <c r="G7" s="281">
        <v>2018</v>
      </c>
      <c r="H7" s="281">
        <v>2018</v>
      </c>
      <c r="I7" s="281">
        <v>2018</v>
      </c>
      <c r="J7" s="281">
        <v>2018</v>
      </c>
      <c r="K7" s="281">
        <v>2018</v>
      </c>
      <c r="L7" s="281">
        <v>2018</v>
      </c>
      <c r="M7" s="281">
        <v>2018</v>
      </c>
      <c r="N7" s="281">
        <v>2018</v>
      </c>
      <c r="O7" s="281">
        <v>2018</v>
      </c>
      <c r="P7" s="289">
        <v>2018</v>
      </c>
      <c r="Q7" s="289">
        <v>2018</v>
      </c>
      <c r="R7" s="281">
        <v>2019</v>
      </c>
      <c r="S7" s="281">
        <v>2019</v>
      </c>
      <c r="T7" s="281">
        <v>2019</v>
      </c>
      <c r="U7" s="281">
        <v>2019</v>
      </c>
      <c r="V7" s="281">
        <v>2019</v>
      </c>
      <c r="W7" s="281">
        <v>2019</v>
      </c>
      <c r="X7" s="281">
        <v>2019</v>
      </c>
      <c r="Y7" s="281">
        <v>2019</v>
      </c>
      <c r="Z7" s="281">
        <v>2019</v>
      </c>
      <c r="AA7" s="281">
        <v>2019</v>
      </c>
      <c r="AB7" s="281">
        <v>2019</v>
      </c>
      <c r="AC7" s="281">
        <v>2019</v>
      </c>
      <c r="AD7" s="281">
        <v>2019</v>
      </c>
      <c r="AE7" s="289">
        <v>2019</v>
      </c>
      <c r="AF7" s="289">
        <v>2019</v>
      </c>
      <c r="AG7" s="281">
        <v>2020</v>
      </c>
      <c r="AH7" s="281">
        <v>2020</v>
      </c>
      <c r="AI7" s="281">
        <v>2020</v>
      </c>
      <c r="AJ7" s="281">
        <v>2020</v>
      </c>
      <c r="AK7" s="281">
        <v>2020</v>
      </c>
      <c r="AL7" s="281">
        <v>2020</v>
      </c>
      <c r="AM7" s="281">
        <v>2020</v>
      </c>
      <c r="AN7" s="281">
        <v>2020</v>
      </c>
      <c r="AO7" s="281">
        <v>2020</v>
      </c>
      <c r="AP7" s="281">
        <v>2020</v>
      </c>
      <c r="AQ7" s="281">
        <v>2020</v>
      </c>
      <c r="AR7" s="281">
        <v>2020</v>
      </c>
      <c r="AS7" s="281">
        <v>2020</v>
      </c>
      <c r="AT7" s="289">
        <v>2020</v>
      </c>
      <c r="AU7" s="289">
        <v>2020</v>
      </c>
      <c r="AV7" s="281">
        <v>2021</v>
      </c>
      <c r="AW7" s="281">
        <v>2021</v>
      </c>
      <c r="AX7" s="281">
        <v>2021</v>
      </c>
      <c r="AY7" s="281">
        <v>2021</v>
      </c>
      <c r="AZ7" s="281">
        <v>2021</v>
      </c>
      <c r="BA7" s="281">
        <v>2021</v>
      </c>
      <c r="BB7" s="281">
        <v>2021</v>
      </c>
      <c r="BC7" s="281">
        <v>2021</v>
      </c>
      <c r="BD7" s="281">
        <v>2021</v>
      </c>
      <c r="BE7" s="281">
        <v>2021</v>
      </c>
      <c r="BF7" s="281">
        <v>2021</v>
      </c>
      <c r="BG7" s="281">
        <v>2021</v>
      </c>
      <c r="BH7" s="281">
        <v>2021</v>
      </c>
      <c r="BI7" s="289">
        <v>2021</v>
      </c>
      <c r="BJ7" s="289">
        <v>2021</v>
      </c>
      <c r="BK7" s="281">
        <v>2022</v>
      </c>
      <c r="BL7" s="281">
        <v>2022</v>
      </c>
      <c r="BM7" s="281">
        <v>2022</v>
      </c>
      <c r="BN7" s="281">
        <v>2022</v>
      </c>
      <c r="BO7" s="281">
        <v>2022</v>
      </c>
      <c r="BP7" s="281">
        <v>2022</v>
      </c>
      <c r="BQ7" s="281">
        <v>2022</v>
      </c>
      <c r="BR7" s="281">
        <v>2022</v>
      </c>
      <c r="BS7" s="281">
        <v>2022</v>
      </c>
      <c r="BT7" s="281">
        <v>2022</v>
      </c>
      <c r="BU7" s="281">
        <v>2022</v>
      </c>
      <c r="BV7" s="281">
        <v>2022</v>
      </c>
      <c r="BW7" s="281">
        <v>2022</v>
      </c>
      <c r="BX7" s="289">
        <v>2022</v>
      </c>
      <c r="BY7" s="292">
        <v>2022</v>
      </c>
      <c r="BZ7" s="281">
        <v>2023</v>
      </c>
      <c r="CA7" s="281">
        <v>2023</v>
      </c>
      <c r="CB7" s="281">
        <v>2023</v>
      </c>
      <c r="CC7" s="281">
        <v>2023</v>
      </c>
      <c r="CD7" s="281">
        <v>2023</v>
      </c>
      <c r="CE7" s="281">
        <v>2023</v>
      </c>
      <c r="CF7" s="281">
        <v>2023</v>
      </c>
      <c r="CG7" s="281">
        <v>2023</v>
      </c>
      <c r="CH7" s="281">
        <v>2023</v>
      </c>
      <c r="CI7" s="281">
        <v>2023</v>
      </c>
      <c r="CJ7" s="281">
        <v>2023</v>
      </c>
      <c r="CK7" s="281">
        <v>2023</v>
      </c>
      <c r="CL7" s="281">
        <v>2023</v>
      </c>
      <c r="CM7" s="289">
        <v>2023</v>
      </c>
      <c r="CN7" s="307">
        <v>2023</v>
      </c>
      <c r="CO7" s="290">
        <v>2024</v>
      </c>
      <c r="CP7" s="290">
        <v>2024</v>
      </c>
      <c r="CQ7" s="290">
        <v>2024</v>
      </c>
      <c r="CR7" s="290">
        <v>2024</v>
      </c>
      <c r="CS7" s="290">
        <v>2024</v>
      </c>
      <c r="CT7" s="290">
        <v>2024</v>
      </c>
      <c r="CU7" s="290">
        <v>2024</v>
      </c>
      <c r="CV7" s="290">
        <v>2024</v>
      </c>
      <c r="CW7" s="290">
        <v>2024</v>
      </c>
      <c r="CX7" s="290">
        <v>2024</v>
      </c>
      <c r="CY7" s="290">
        <v>2024</v>
      </c>
      <c r="CZ7" s="290">
        <v>2024</v>
      </c>
      <c r="DA7" s="290">
        <v>2024</v>
      </c>
      <c r="DB7" s="300">
        <v>2024</v>
      </c>
      <c r="DC7" s="300">
        <v>2024</v>
      </c>
      <c r="DD7" s="281">
        <v>2025</v>
      </c>
      <c r="DE7" s="281">
        <v>2025</v>
      </c>
      <c r="DF7" s="281">
        <v>2025</v>
      </c>
      <c r="DG7" s="281">
        <v>2025</v>
      </c>
      <c r="DH7" s="281">
        <v>2025</v>
      </c>
      <c r="DI7" s="281">
        <v>2025</v>
      </c>
      <c r="DJ7" s="281">
        <v>2025</v>
      </c>
      <c r="DK7" s="281">
        <v>2025</v>
      </c>
      <c r="DL7" s="281">
        <v>2025</v>
      </c>
      <c r="DM7" s="281">
        <v>2025</v>
      </c>
      <c r="DN7" s="281">
        <v>2025</v>
      </c>
      <c r="DO7" s="281">
        <v>2025</v>
      </c>
      <c r="DP7" s="281">
        <v>2025</v>
      </c>
      <c r="DQ7" s="289">
        <v>2025</v>
      </c>
      <c r="DR7" s="289">
        <v>2025</v>
      </c>
      <c r="DS7" s="308" t="s">
        <v>103</v>
      </c>
      <c r="DT7" s="308" t="s">
        <v>103</v>
      </c>
      <c r="DU7" s="308" t="s">
        <v>103</v>
      </c>
      <c r="DV7" s="308" t="s">
        <v>103</v>
      </c>
      <c r="DW7" s="308" t="s">
        <v>103</v>
      </c>
      <c r="DX7" s="308" t="s">
        <v>103</v>
      </c>
      <c r="DY7" s="308" t="s">
        <v>103</v>
      </c>
      <c r="DZ7" s="308" t="s">
        <v>103</v>
      </c>
      <c r="EA7" s="308" t="s">
        <v>103</v>
      </c>
      <c r="EB7" s="308" t="s">
        <v>103</v>
      </c>
      <c r="EC7" s="308" t="s">
        <v>103</v>
      </c>
      <c r="ED7" s="308" t="s">
        <v>103</v>
      </c>
      <c r="EE7" s="308" t="s">
        <v>103</v>
      </c>
      <c r="EF7" s="309" t="s">
        <v>103</v>
      </c>
      <c r="EG7" s="309" t="s">
        <v>103</v>
      </c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</row>
    <row r="8" spans="1:153" s="151" customFormat="1">
      <c r="A8" s="29"/>
      <c r="B8" s="301" t="s">
        <v>72</v>
      </c>
      <c r="C8" s="279" t="s">
        <v>56</v>
      </c>
      <c r="D8" s="279" t="s">
        <v>57</v>
      </c>
      <c r="E8" s="279" t="s">
        <v>58</v>
      </c>
      <c r="F8" s="279" t="s">
        <v>59</v>
      </c>
      <c r="G8" s="279" t="s">
        <v>60</v>
      </c>
      <c r="H8" s="279" t="s">
        <v>61</v>
      </c>
      <c r="I8" s="279" t="s">
        <v>62</v>
      </c>
      <c r="J8" s="279" t="s">
        <v>63</v>
      </c>
      <c r="K8" s="279" t="s">
        <v>64</v>
      </c>
      <c r="L8" s="279" t="s">
        <v>65</v>
      </c>
      <c r="M8" s="279" t="s">
        <v>66</v>
      </c>
      <c r="N8" s="279" t="s">
        <v>67</v>
      </c>
      <c r="O8" s="282" t="s">
        <v>68</v>
      </c>
      <c r="P8" s="291" t="s">
        <v>52</v>
      </c>
      <c r="Q8" s="279" t="s">
        <v>313</v>
      </c>
      <c r="R8" s="290" t="s">
        <v>56</v>
      </c>
      <c r="S8" s="290" t="s">
        <v>57</v>
      </c>
      <c r="T8" s="290" t="s">
        <v>58</v>
      </c>
      <c r="U8" s="290" t="s">
        <v>59</v>
      </c>
      <c r="V8" s="290" t="s">
        <v>60</v>
      </c>
      <c r="W8" s="290" t="s">
        <v>61</v>
      </c>
      <c r="X8" s="290" t="s">
        <v>62</v>
      </c>
      <c r="Y8" s="290" t="s">
        <v>63</v>
      </c>
      <c r="Z8" s="290" t="s">
        <v>64</v>
      </c>
      <c r="AA8" s="290" t="s">
        <v>65</v>
      </c>
      <c r="AB8" s="290" t="s">
        <v>66</v>
      </c>
      <c r="AC8" s="290" t="s">
        <v>67</v>
      </c>
      <c r="AD8" s="294" t="s">
        <v>68</v>
      </c>
      <c r="AE8" s="293" t="s">
        <v>52</v>
      </c>
      <c r="AF8" s="279" t="s">
        <v>313</v>
      </c>
      <c r="AG8" s="290" t="s">
        <v>56</v>
      </c>
      <c r="AH8" s="290" t="s">
        <v>57</v>
      </c>
      <c r="AI8" s="290" t="s">
        <v>58</v>
      </c>
      <c r="AJ8" s="290" t="s">
        <v>59</v>
      </c>
      <c r="AK8" s="290" t="s">
        <v>60</v>
      </c>
      <c r="AL8" s="290" t="s">
        <v>61</v>
      </c>
      <c r="AM8" s="290" t="s">
        <v>62</v>
      </c>
      <c r="AN8" s="290" t="s">
        <v>63</v>
      </c>
      <c r="AO8" s="290" t="s">
        <v>64</v>
      </c>
      <c r="AP8" s="290" t="s">
        <v>65</v>
      </c>
      <c r="AQ8" s="290" t="s">
        <v>66</v>
      </c>
      <c r="AR8" s="290" t="s">
        <v>67</v>
      </c>
      <c r="AS8" s="294" t="s">
        <v>68</v>
      </c>
      <c r="AT8" s="293" t="s">
        <v>52</v>
      </c>
      <c r="AU8" s="279" t="s">
        <v>313</v>
      </c>
      <c r="AV8" s="290" t="s">
        <v>56</v>
      </c>
      <c r="AW8" s="290" t="s">
        <v>57</v>
      </c>
      <c r="AX8" s="290" t="s">
        <v>58</v>
      </c>
      <c r="AY8" s="290" t="s">
        <v>59</v>
      </c>
      <c r="AZ8" s="290" t="s">
        <v>60</v>
      </c>
      <c r="BA8" s="290" t="s">
        <v>61</v>
      </c>
      <c r="BB8" s="290" t="s">
        <v>62</v>
      </c>
      <c r="BC8" s="290" t="s">
        <v>63</v>
      </c>
      <c r="BD8" s="290" t="s">
        <v>64</v>
      </c>
      <c r="BE8" s="290" t="s">
        <v>65</v>
      </c>
      <c r="BF8" s="290" t="s">
        <v>66</v>
      </c>
      <c r="BG8" s="290" t="s">
        <v>67</v>
      </c>
      <c r="BH8" s="294" t="s">
        <v>68</v>
      </c>
      <c r="BI8" s="293" t="s">
        <v>52</v>
      </c>
      <c r="BJ8" s="279" t="s">
        <v>313</v>
      </c>
      <c r="BK8" s="290" t="s">
        <v>56</v>
      </c>
      <c r="BL8" s="290" t="s">
        <v>57</v>
      </c>
      <c r="BM8" s="290" t="s">
        <v>58</v>
      </c>
      <c r="BN8" s="290" t="s">
        <v>59</v>
      </c>
      <c r="BO8" s="290" t="s">
        <v>60</v>
      </c>
      <c r="BP8" s="290" t="s">
        <v>61</v>
      </c>
      <c r="BQ8" s="290" t="s">
        <v>62</v>
      </c>
      <c r="BR8" s="290" t="s">
        <v>63</v>
      </c>
      <c r="BS8" s="290" t="s">
        <v>64</v>
      </c>
      <c r="BT8" s="290" t="s">
        <v>65</v>
      </c>
      <c r="BU8" s="290" t="s">
        <v>66</v>
      </c>
      <c r="BV8" s="290" t="s">
        <v>67</v>
      </c>
      <c r="BW8" s="294" t="s">
        <v>68</v>
      </c>
      <c r="BX8" s="293" t="s">
        <v>52</v>
      </c>
      <c r="BY8" s="279" t="s">
        <v>313</v>
      </c>
      <c r="BZ8" s="295" t="s">
        <v>56</v>
      </c>
      <c r="CA8" s="295" t="s">
        <v>57</v>
      </c>
      <c r="CB8" s="295" t="s">
        <v>58</v>
      </c>
      <c r="CC8" s="295" t="s">
        <v>59</v>
      </c>
      <c r="CD8" s="295" t="s">
        <v>60</v>
      </c>
      <c r="CE8" s="295" t="s">
        <v>61</v>
      </c>
      <c r="CF8" s="295" t="s">
        <v>62</v>
      </c>
      <c r="CG8" s="295" t="s">
        <v>63</v>
      </c>
      <c r="CH8" s="295" t="s">
        <v>64</v>
      </c>
      <c r="CI8" s="295" t="s">
        <v>65</v>
      </c>
      <c r="CJ8" s="295" t="s">
        <v>66</v>
      </c>
      <c r="CK8" s="295" t="s">
        <v>67</v>
      </c>
      <c r="CL8" s="296" t="s">
        <v>68</v>
      </c>
      <c r="CM8" s="302" t="s">
        <v>52</v>
      </c>
      <c r="CN8" s="279" t="s">
        <v>313</v>
      </c>
      <c r="CO8" s="303" t="s">
        <v>56</v>
      </c>
      <c r="CP8" s="303" t="s">
        <v>57</v>
      </c>
      <c r="CQ8" s="303" t="s">
        <v>58</v>
      </c>
      <c r="CR8" s="303" t="s">
        <v>59</v>
      </c>
      <c r="CS8" s="303" t="s">
        <v>60</v>
      </c>
      <c r="CT8" s="303" t="s">
        <v>61</v>
      </c>
      <c r="CU8" s="303" t="s">
        <v>62</v>
      </c>
      <c r="CV8" s="303" t="s">
        <v>63</v>
      </c>
      <c r="CW8" s="303" t="s">
        <v>64</v>
      </c>
      <c r="CX8" s="303" t="s">
        <v>65</v>
      </c>
      <c r="CY8" s="303" t="s">
        <v>66</v>
      </c>
      <c r="CZ8" s="303" t="s">
        <v>67</v>
      </c>
      <c r="DA8" s="304" t="s">
        <v>68</v>
      </c>
      <c r="DB8" s="302" t="s">
        <v>52</v>
      </c>
      <c r="DC8" s="279" t="s">
        <v>313</v>
      </c>
      <c r="DD8" s="279" t="s">
        <v>56</v>
      </c>
      <c r="DE8" s="279" t="s">
        <v>57</v>
      </c>
      <c r="DF8" s="279" t="s">
        <v>58</v>
      </c>
      <c r="DG8" s="279" t="s">
        <v>59</v>
      </c>
      <c r="DH8" s="279" t="s">
        <v>60</v>
      </c>
      <c r="DI8" s="279" t="s">
        <v>61</v>
      </c>
      <c r="DJ8" s="279" t="s">
        <v>62</v>
      </c>
      <c r="DK8" s="279" t="s">
        <v>63</v>
      </c>
      <c r="DL8" s="279" t="s">
        <v>64</v>
      </c>
      <c r="DM8" s="279" t="s">
        <v>65</v>
      </c>
      <c r="DN8" s="279" t="s">
        <v>66</v>
      </c>
      <c r="DO8" s="279" t="s">
        <v>67</v>
      </c>
      <c r="DP8" s="282" t="s">
        <v>68</v>
      </c>
      <c r="DQ8" s="291" t="s">
        <v>52</v>
      </c>
      <c r="DR8" s="279" t="s">
        <v>313</v>
      </c>
      <c r="DS8" s="279" t="s">
        <v>56</v>
      </c>
      <c r="DT8" s="279" t="s">
        <v>57</v>
      </c>
      <c r="DU8" s="279" t="s">
        <v>58</v>
      </c>
      <c r="DV8" s="279" t="s">
        <v>59</v>
      </c>
      <c r="DW8" s="279" t="s">
        <v>60</v>
      </c>
      <c r="DX8" s="279" t="s">
        <v>61</v>
      </c>
      <c r="DY8" s="279" t="s">
        <v>62</v>
      </c>
      <c r="DZ8" s="279" t="s">
        <v>63</v>
      </c>
      <c r="EA8" s="279" t="s">
        <v>64</v>
      </c>
      <c r="EB8" s="279" t="s">
        <v>65</v>
      </c>
      <c r="EC8" s="279" t="s">
        <v>66</v>
      </c>
      <c r="ED8" s="279" t="s">
        <v>67</v>
      </c>
      <c r="EE8" s="282" t="s">
        <v>68</v>
      </c>
      <c r="EF8" s="291" t="s">
        <v>52</v>
      </c>
      <c r="EG8" s="279" t="s">
        <v>313</v>
      </c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</row>
    <row r="9" spans="1:153" s="152" customFormat="1">
      <c r="A9" s="3"/>
      <c r="B9" s="297" t="s">
        <v>1</v>
      </c>
      <c r="C9" s="298">
        <v>-172709.37000000002</v>
      </c>
      <c r="D9" s="298">
        <v>328986.87000000011</v>
      </c>
      <c r="E9" s="298">
        <v>445259.00999999995</v>
      </c>
      <c r="F9" s="298">
        <v>465769.72000000015</v>
      </c>
      <c r="G9" s="298">
        <v>459303.72999999992</v>
      </c>
      <c r="H9" s="298">
        <v>502720.15</v>
      </c>
      <c r="I9" s="298">
        <v>597911.16999999993</v>
      </c>
      <c r="J9" s="298">
        <v>437942.76000000013</v>
      </c>
      <c r="K9" s="298">
        <v>1349477.1499999992</v>
      </c>
      <c r="L9" s="298">
        <v>-391153.61000000022</v>
      </c>
      <c r="M9" s="298">
        <v>520917.05999999988</v>
      </c>
      <c r="N9" s="298">
        <v>483339.54999999981</v>
      </c>
      <c r="O9" s="299">
        <v>5027764.1899999995</v>
      </c>
      <c r="P9" s="291">
        <v>0</v>
      </c>
      <c r="Q9" s="298">
        <v>1277922.9101962531</v>
      </c>
      <c r="R9" s="298">
        <v>353778.92000000004</v>
      </c>
      <c r="S9" s="298">
        <v>617737.95000000019</v>
      </c>
      <c r="T9" s="298">
        <v>700682.66</v>
      </c>
      <c r="U9" s="298">
        <v>647173.56999999995</v>
      </c>
      <c r="V9" s="298">
        <v>769794.47000000032</v>
      </c>
      <c r="W9" s="298">
        <v>735600.9</v>
      </c>
      <c r="X9" s="298">
        <v>1344289.4200000004</v>
      </c>
      <c r="Y9" s="298">
        <v>741516.81</v>
      </c>
      <c r="Z9" s="298">
        <v>363169.73000000056</v>
      </c>
      <c r="AA9" s="298">
        <v>940781.89</v>
      </c>
      <c r="AB9" s="298">
        <v>824238.04000000015</v>
      </c>
      <c r="AC9" s="298">
        <v>1024472.1099999998</v>
      </c>
      <c r="AD9" s="299">
        <v>9063236.4700000007</v>
      </c>
      <c r="AE9" s="291">
        <v>0</v>
      </c>
      <c r="AF9" s="298">
        <v>1273164.290196253</v>
      </c>
      <c r="AG9" s="298">
        <v>54873.26000000006</v>
      </c>
      <c r="AH9" s="298">
        <v>572007.09999999974</v>
      </c>
      <c r="AI9" s="298">
        <v>644682.91999999923</v>
      </c>
      <c r="AJ9" s="298">
        <v>464091.05999999971</v>
      </c>
      <c r="AK9" s="298">
        <v>439219.01000000024</v>
      </c>
      <c r="AL9" s="298">
        <v>489749.00000000012</v>
      </c>
      <c r="AM9" s="298">
        <v>710859.65999999957</v>
      </c>
      <c r="AN9" s="298">
        <v>738038.01</v>
      </c>
      <c r="AO9" s="298">
        <v>691410.45000000019</v>
      </c>
      <c r="AP9" s="298">
        <v>787081.43999999983</v>
      </c>
      <c r="AQ9" s="298">
        <v>790296.05999999982</v>
      </c>
      <c r="AR9" s="298">
        <v>611314.88</v>
      </c>
      <c r="AS9" s="299">
        <v>6993622.8499999978</v>
      </c>
      <c r="AT9" s="291">
        <v>0</v>
      </c>
      <c r="AU9" s="298">
        <v>1134243.510196253</v>
      </c>
      <c r="AV9" s="298">
        <v>785715.06000000017</v>
      </c>
      <c r="AW9" s="298">
        <v>691434.94999999984</v>
      </c>
      <c r="AX9" s="298">
        <v>830625.90000000026</v>
      </c>
      <c r="AY9" s="298">
        <v>950577.60999999952</v>
      </c>
      <c r="AZ9" s="298">
        <v>980059.21999999986</v>
      </c>
      <c r="BA9" s="298">
        <v>719365.72000000032</v>
      </c>
      <c r="BB9" s="298">
        <v>832356.4</v>
      </c>
      <c r="BC9" s="298">
        <v>1016010.1099999996</v>
      </c>
      <c r="BD9" s="298">
        <v>885374.73999999964</v>
      </c>
      <c r="BE9" s="298">
        <v>939528.72000000032</v>
      </c>
      <c r="BF9" s="298">
        <v>1067742.27</v>
      </c>
      <c r="BG9" s="298">
        <v>1476275.8099999994</v>
      </c>
      <c r="BH9" s="299">
        <v>11175066.509999998</v>
      </c>
      <c r="BI9" s="291">
        <v>0</v>
      </c>
      <c r="BJ9" s="298">
        <v>1272849.050196253</v>
      </c>
      <c r="BK9" s="298">
        <v>891374.36999999953</v>
      </c>
      <c r="BL9" s="298">
        <v>22993.019999999789</v>
      </c>
      <c r="BM9" s="298">
        <v>1032389.9600000001</v>
      </c>
      <c r="BN9" s="298">
        <v>884894.69000000041</v>
      </c>
      <c r="BO9" s="298">
        <v>978961.78999999957</v>
      </c>
      <c r="BP9" s="298">
        <v>1048815.6599999999</v>
      </c>
      <c r="BQ9" s="298">
        <v>823023.54999999958</v>
      </c>
      <c r="BR9" s="298">
        <v>1377270</v>
      </c>
      <c r="BS9" s="298">
        <v>529551.99999999953</v>
      </c>
      <c r="BT9" s="298">
        <v>1361824.0100000002</v>
      </c>
      <c r="BU9" s="298">
        <v>924637.65999999922</v>
      </c>
      <c r="BV9" s="298">
        <v>734976.91000000411</v>
      </c>
      <c r="BW9" s="299">
        <v>10610713.620000005</v>
      </c>
      <c r="BX9" s="291">
        <v>0</v>
      </c>
      <c r="BY9" s="298">
        <v>1255777.7401962499</v>
      </c>
      <c r="BZ9" s="298">
        <v>1276427.6699999992</v>
      </c>
      <c r="CA9" s="298">
        <v>1034403</v>
      </c>
      <c r="CB9" s="298">
        <v>1201783.48</v>
      </c>
      <c r="CC9" s="298">
        <v>1062943.0500000003</v>
      </c>
      <c r="CD9" s="298">
        <v>1248131.6600000006</v>
      </c>
      <c r="CE9" s="298">
        <v>1478304.2199999993</v>
      </c>
      <c r="CF9" s="298">
        <v>1443757.8799999997</v>
      </c>
      <c r="CG9" s="298">
        <v>1284599.8299999998</v>
      </c>
      <c r="CH9" s="298">
        <v>887154.27000000014</v>
      </c>
      <c r="CI9" s="298">
        <v>1121263.93</v>
      </c>
      <c r="CJ9" s="298">
        <v>1112251.9099999995</v>
      </c>
      <c r="CK9" s="298">
        <v>1363564.1000000003</v>
      </c>
      <c r="CL9" s="299">
        <v>14514585</v>
      </c>
      <c r="CM9" s="291">
        <v>0</v>
      </c>
      <c r="CN9" s="298">
        <v>1253586.7301962469</v>
      </c>
      <c r="CO9" s="298">
        <v>640047.34999999986</v>
      </c>
      <c r="CP9" s="298">
        <v>1303100.3799999994</v>
      </c>
      <c r="CQ9" s="298">
        <v>924332.91999999864</v>
      </c>
      <c r="CR9" s="298">
        <v>1404865.4299999997</v>
      </c>
      <c r="CS9" s="298">
        <v>1151889.9500000004</v>
      </c>
      <c r="CT9" s="298">
        <v>721217.27000000048</v>
      </c>
      <c r="CU9" s="298">
        <v>871206.1800000004</v>
      </c>
      <c r="CV9" s="298">
        <v>10487429.42999997</v>
      </c>
      <c r="CW9" s="298">
        <v>12683477.98000001</v>
      </c>
      <c r="CX9" s="298">
        <v>5153673</v>
      </c>
      <c r="CY9" s="298">
        <v>3659580.6699999934</v>
      </c>
      <c r="CZ9" s="298">
        <v>3126082.8799999971</v>
      </c>
      <c r="DA9" s="299">
        <v>42126903.439999975</v>
      </c>
      <c r="DB9" s="291">
        <v>0</v>
      </c>
      <c r="DC9" s="298">
        <v>1272600.7901962532</v>
      </c>
      <c r="DD9" s="298">
        <v>1102977.3500000015</v>
      </c>
      <c r="DE9" s="298">
        <v>1220274.2899999998</v>
      </c>
      <c r="DF9" s="298">
        <v>1193740.6000000003</v>
      </c>
      <c r="DG9" s="298">
        <v>909120.85999999859</v>
      </c>
      <c r="DH9" s="298">
        <v>789163.22999999858</v>
      </c>
      <c r="DI9" s="298">
        <v>1629978.9399999995</v>
      </c>
      <c r="DJ9" s="298">
        <v>799250.65999999968</v>
      </c>
      <c r="DK9" s="298">
        <v>2039484.5799999998</v>
      </c>
      <c r="DL9" s="298">
        <v>1149431.1057368137</v>
      </c>
      <c r="DM9" s="298">
        <v>1217077.1197173651</v>
      </c>
      <c r="DN9" s="298">
        <v>1151329.8466726898</v>
      </c>
      <c r="DO9" s="298">
        <v>1052802.5394476885</v>
      </c>
      <c r="DP9" s="299">
        <v>14254631.121574556</v>
      </c>
      <c r="DQ9" s="291">
        <v>0</v>
      </c>
      <c r="DR9" s="298">
        <v>1304761.0001962532</v>
      </c>
      <c r="DS9" s="298">
        <v>1391486.2158812359</v>
      </c>
      <c r="DT9" s="298">
        <v>1214366.8256843744</v>
      </c>
      <c r="DU9" s="298">
        <v>1176863.5102453576</v>
      </c>
      <c r="DV9" s="298">
        <v>1208285.9696424259</v>
      </c>
      <c r="DW9" s="298">
        <v>1232931.2402469679</v>
      </c>
      <c r="DX9" s="298">
        <v>1300929.8715530783</v>
      </c>
      <c r="DY9" s="298">
        <v>1380739.8581025172</v>
      </c>
      <c r="DZ9" s="298">
        <v>1277134.4457772321</v>
      </c>
      <c r="EA9" s="298">
        <v>1420900.760824855</v>
      </c>
      <c r="EB9" s="298">
        <v>1476312.9112237461</v>
      </c>
      <c r="EC9" s="298">
        <v>1339451.7397948401</v>
      </c>
      <c r="ED9" s="298">
        <v>1150786.4311894176</v>
      </c>
      <c r="EE9" s="299">
        <v>15570189.780166049</v>
      </c>
      <c r="EF9" s="291">
        <v>0</v>
      </c>
      <c r="EG9" s="310">
        <v>1315558.6585914912</v>
      </c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</row>
    <row r="10" spans="1:153" s="153" customFormat="1">
      <c r="A10" s="3"/>
      <c r="B10" s="286" t="s">
        <v>719</v>
      </c>
      <c r="C10" s="284">
        <v>-172709.37000000002</v>
      </c>
      <c r="D10" s="284">
        <v>328986.87000000011</v>
      </c>
      <c r="E10" s="284">
        <v>445259.00999999995</v>
      </c>
      <c r="F10" s="284">
        <v>465769.72000000015</v>
      </c>
      <c r="G10" s="284">
        <v>459303.72999999992</v>
      </c>
      <c r="H10" s="284">
        <v>502720.15</v>
      </c>
      <c r="I10" s="284">
        <v>597911.16999999993</v>
      </c>
      <c r="J10" s="284">
        <v>437942.76000000013</v>
      </c>
      <c r="K10" s="284">
        <v>1349477.1499999992</v>
      </c>
      <c r="L10" s="284">
        <v>-391153.61000000022</v>
      </c>
      <c r="M10" s="284">
        <v>520917.05999999988</v>
      </c>
      <c r="N10" s="284">
        <v>483339.54999999981</v>
      </c>
      <c r="O10" s="285">
        <v>5027764.1899999995</v>
      </c>
      <c r="P10" s="291">
        <v>0</v>
      </c>
      <c r="Q10" s="284">
        <v>1277922.9101962531</v>
      </c>
      <c r="R10" s="284">
        <v>353778.92000000004</v>
      </c>
      <c r="S10" s="284">
        <v>617737.95000000019</v>
      </c>
      <c r="T10" s="284">
        <v>700682.66</v>
      </c>
      <c r="U10" s="284">
        <v>647173.56999999995</v>
      </c>
      <c r="V10" s="284">
        <v>769794.47000000032</v>
      </c>
      <c r="W10" s="284">
        <v>735600.9</v>
      </c>
      <c r="X10" s="284">
        <v>1344289.4200000004</v>
      </c>
      <c r="Y10" s="284">
        <v>741516.81</v>
      </c>
      <c r="Z10" s="284">
        <v>363169.73000000056</v>
      </c>
      <c r="AA10" s="284">
        <v>940781.89</v>
      </c>
      <c r="AB10" s="284">
        <v>824238.04000000015</v>
      </c>
      <c r="AC10" s="284">
        <v>1024472.1099999998</v>
      </c>
      <c r="AD10" s="285">
        <v>9063236.4700000007</v>
      </c>
      <c r="AE10" s="291">
        <v>0</v>
      </c>
      <c r="AF10" s="284">
        <v>1273164.290196253</v>
      </c>
      <c r="AG10" s="284">
        <v>54873.26000000006</v>
      </c>
      <c r="AH10" s="284">
        <v>572007.09999999974</v>
      </c>
      <c r="AI10" s="284">
        <v>644682.91999999923</v>
      </c>
      <c r="AJ10" s="284">
        <v>464091.05999999971</v>
      </c>
      <c r="AK10" s="284">
        <v>439219.01000000024</v>
      </c>
      <c r="AL10" s="284">
        <v>489749.00000000012</v>
      </c>
      <c r="AM10" s="284">
        <v>710859.65999999957</v>
      </c>
      <c r="AN10" s="284">
        <v>738038.01</v>
      </c>
      <c r="AO10" s="284">
        <v>691410.45000000019</v>
      </c>
      <c r="AP10" s="284">
        <v>787081.43999999983</v>
      </c>
      <c r="AQ10" s="284">
        <v>790296.05999999982</v>
      </c>
      <c r="AR10" s="284">
        <v>611314.88</v>
      </c>
      <c r="AS10" s="285">
        <v>6993622.8499999978</v>
      </c>
      <c r="AT10" s="291">
        <v>0</v>
      </c>
      <c r="AU10" s="284">
        <v>1134243.510196253</v>
      </c>
      <c r="AV10" s="284">
        <v>785715.06000000017</v>
      </c>
      <c r="AW10" s="284">
        <v>691434.94999999984</v>
      </c>
      <c r="AX10" s="284">
        <v>830625.90000000026</v>
      </c>
      <c r="AY10" s="284">
        <v>950577.60999999952</v>
      </c>
      <c r="AZ10" s="284">
        <v>980059.21999999986</v>
      </c>
      <c r="BA10" s="284">
        <v>719365.72000000032</v>
      </c>
      <c r="BB10" s="284">
        <v>832356.4</v>
      </c>
      <c r="BC10" s="284">
        <v>1016010.1099999996</v>
      </c>
      <c r="BD10" s="284">
        <v>885374.73999999964</v>
      </c>
      <c r="BE10" s="284">
        <v>939528.72000000032</v>
      </c>
      <c r="BF10" s="284">
        <v>1067742.27</v>
      </c>
      <c r="BG10" s="284">
        <v>1476275.8099999994</v>
      </c>
      <c r="BH10" s="285">
        <v>11175066.509999998</v>
      </c>
      <c r="BI10" s="291">
        <v>0</v>
      </c>
      <c r="BJ10" s="284">
        <v>1272849.050196253</v>
      </c>
      <c r="BK10" s="284">
        <v>891374.36999999953</v>
      </c>
      <c r="BL10" s="284">
        <v>22993.019999999789</v>
      </c>
      <c r="BM10" s="284">
        <v>1032389.9600000001</v>
      </c>
      <c r="BN10" s="284">
        <v>884894.69000000041</v>
      </c>
      <c r="BO10" s="284">
        <v>978961.78999999957</v>
      </c>
      <c r="BP10" s="284">
        <v>1048815.6599999999</v>
      </c>
      <c r="BQ10" s="284">
        <v>823023.54999999958</v>
      </c>
      <c r="BR10" s="284">
        <v>1377270</v>
      </c>
      <c r="BS10" s="284">
        <v>529551.99999999953</v>
      </c>
      <c r="BT10" s="284">
        <v>1361824.0100000002</v>
      </c>
      <c r="BU10" s="284">
        <v>924637.65999999922</v>
      </c>
      <c r="BV10" s="284">
        <v>734976.91000000411</v>
      </c>
      <c r="BW10" s="285">
        <v>10610713.620000005</v>
      </c>
      <c r="BX10" s="291">
        <v>0</v>
      </c>
      <c r="BY10" s="284">
        <v>1255777.7401962499</v>
      </c>
      <c r="BZ10" s="284">
        <v>1276427.6699999992</v>
      </c>
      <c r="CA10" s="284">
        <v>1034403</v>
      </c>
      <c r="CB10" s="284">
        <v>1201783.48</v>
      </c>
      <c r="CC10" s="284">
        <v>1062943.0500000003</v>
      </c>
      <c r="CD10" s="284">
        <v>1248131.6600000006</v>
      </c>
      <c r="CE10" s="284">
        <v>1478304.2199999993</v>
      </c>
      <c r="CF10" s="284">
        <v>1443757.8799999997</v>
      </c>
      <c r="CG10" s="284">
        <v>1284599.8299999998</v>
      </c>
      <c r="CH10" s="284">
        <v>887154.27000000014</v>
      </c>
      <c r="CI10" s="284">
        <v>1121263.93</v>
      </c>
      <c r="CJ10" s="284">
        <v>1112251.9099999995</v>
      </c>
      <c r="CK10" s="284">
        <v>1363564.1000000003</v>
      </c>
      <c r="CL10" s="285">
        <v>14514585</v>
      </c>
      <c r="CM10" s="291">
        <v>0</v>
      </c>
      <c r="CN10" s="284">
        <v>1253586.7301962469</v>
      </c>
      <c r="CO10" s="284">
        <v>640047.34999999986</v>
      </c>
      <c r="CP10" s="284">
        <v>1303100.3799999994</v>
      </c>
      <c r="CQ10" s="284">
        <v>924332.91999999864</v>
      </c>
      <c r="CR10" s="284">
        <v>1404865.4299999997</v>
      </c>
      <c r="CS10" s="284">
        <v>1151889.9500000004</v>
      </c>
      <c r="CT10" s="284">
        <v>721217.27000000048</v>
      </c>
      <c r="CU10" s="284">
        <v>871206.1800000004</v>
      </c>
      <c r="CV10" s="284">
        <v>10487429.42999997</v>
      </c>
      <c r="CW10" s="284">
        <v>12683477.98000001</v>
      </c>
      <c r="CX10" s="284">
        <v>5153673</v>
      </c>
      <c r="CY10" s="284">
        <v>3659580.6699999934</v>
      </c>
      <c r="CZ10" s="284">
        <v>3126082.8799999971</v>
      </c>
      <c r="DA10" s="285">
        <v>42126903.439999975</v>
      </c>
      <c r="DB10" s="291">
        <v>0</v>
      </c>
      <c r="DC10" s="284">
        <v>1272600.7901962532</v>
      </c>
      <c r="DD10" s="284">
        <v>1102977.3500000015</v>
      </c>
      <c r="DE10" s="284">
        <v>1220274.2899999998</v>
      </c>
      <c r="DF10" s="284">
        <v>1193740.6000000003</v>
      </c>
      <c r="DG10" s="284">
        <v>909120.85999999859</v>
      </c>
      <c r="DH10" s="284">
        <v>789163.22999999858</v>
      </c>
      <c r="DI10" s="284">
        <v>1629978.9399999995</v>
      </c>
      <c r="DJ10" s="284">
        <v>799250.65999999968</v>
      </c>
      <c r="DK10" s="284">
        <v>2039484.5799999998</v>
      </c>
      <c r="DL10" s="284">
        <v>1149431.1057368137</v>
      </c>
      <c r="DM10" s="284">
        <v>1217077.1197173651</v>
      </c>
      <c r="DN10" s="284">
        <v>1151329.8466726898</v>
      </c>
      <c r="DO10" s="284">
        <v>1052802.5394476885</v>
      </c>
      <c r="DP10" s="285">
        <v>14254631.121574556</v>
      </c>
      <c r="DQ10" s="291">
        <v>0</v>
      </c>
      <c r="DR10" s="284">
        <v>1304761.0001962532</v>
      </c>
      <c r="DS10" s="284">
        <v>1391486.2158812359</v>
      </c>
      <c r="DT10" s="284">
        <v>1214366.8256843744</v>
      </c>
      <c r="DU10" s="284">
        <v>1176863.5102453576</v>
      </c>
      <c r="DV10" s="284">
        <v>1208285.9696424259</v>
      </c>
      <c r="DW10" s="284">
        <v>1232931.2402469679</v>
      </c>
      <c r="DX10" s="284">
        <v>1300929.8715530783</v>
      </c>
      <c r="DY10" s="284">
        <v>1380739.8581025172</v>
      </c>
      <c r="DZ10" s="284">
        <v>1277134.4457772321</v>
      </c>
      <c r="EA10" s="284">
        <v>1420900.760824855</v>
      </c>
      <c r="EB10" s="284">
        <v>1476312.9112237461</v>
      </c>
      <c r="EC10" s="284">
        <v>1339451.7397948401</v>
      </c>
      <c r="ED10" s="284">
        <v>1150786.4311894176</v>
      </c>
      <c r="EE10" s="285">
        <v>15570189.780166049</v>
      </c>
      <c r="EF10" s="291">
        <v>0</v>
      </c>
      <c r="EG10" s="311">
        <v>1315558.6585914912</v>
      </c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</row>
    <row r="11" spans="1:153">
      <c r="B11" s="287" t="s">
        <v>22</v>
      </c>
      <c r="C11" s="284">
        <v>2769.1800000000003</v>
      </c>
      <c r="D11" s="284">
        <v>2901.17</v>
      </c>
      <c r="E11" s="284">
        <v>3082.48</v>
      </c>
      <c r="F11" s="284">
        <v>3288.88</v>
      </c>
      <c r="G11" s="284">
        <v>4724.3200000000006</v>
      </c>
      <c r="H11" s="284">
        <v>1561.75</v>
      </c>
      <c r="I11" s="284">
        <v>3616.4100000000003</v>
      </c>
      <c r="J11" s="284">
        <v>1044.8899999999999</v>
      </c>
      <c r="K11" s="284">
        <v>2224.37</v>
      </c>
      <c r="L11" s="284">
        <v>3564.32</v>
      </c>
      <c r="M11" s="284">
        <v>3979.84</v>
      </c>
      <c r="N11" s="284">
        <v>4288.2999999999993</v>
      </c>
      <c r="O11" s="285">
        <v>37045.910000000003</v>
      </c>
      <c r="P11" s="291">
        <v>0</v>
      </c>
      <c r="Q11" s="284">
        <v>6975.059999999994</v>
      </c>
      <c r="R11" s="284">
        <v>1610.14</v>
      </c>
      <c r="S11" s="284">
        <v>5942.92</v>
      </c>
      <c r="T11" s="284">
        <v>3047.23</v>
      </c>
      <c r="U11" s="284">
        <v>2371.33</v>
      </c>
      <c r="V11" s="284">
        <v>3031.79</v>
      </c>
      <c r="W11" s="284">
        <v>1400.54</v>
      </c>
      <c r="X11" s="284">
        <v>4300.92</v>
      </c>
      <c r="Y11" s="284">
        <v>2279.35</v>
      </c>
      <c r="Z11" s="284">
        <v>2009.86</v>
      </c>
      <c r="AA11" s="284">
        <v>1721.4900000000002</v>
      </c>
      <c r="AB11" s="284">
        <v>4232.8</v>
      </c>
      <c r="AC11" s="284">
        <v>2190.88</v>
      </c>
      <c r="AD11" s="285">
        <v>34139.250000000007</v>
      </c>
      <c r="AE11" s="291">
        <v>0</v>
      </c>
      <c r="AF11" s="284">
        <v>6975.059999999994</v>
      </c>
      <c r="AG11" s="284">
        <v>2689.86</v>
      </c>
      <c r="AH11" s="284">
        <v>2754.17</v>
      </c>
      <c r="AI11" s="284">
        <v>1640.1100000000001</v>
      </c>
      <c r="AJ11" s="284">
        <v>1744.1100000000001</v>
      </c>
      <c r="AK11" s="284">
        <v>2133.41</v>
      </c>
      <c r="AL11" s="284">
        <v>3395.1400000000003</v>
      </c>
      <c r="AM11" s="284">
        <v>3133.37</v>
      </c>
      <c r="AN11" s="284">
        <v>1232.3599999999999</v>
      </c>
      <c r="AO11" s="284">
        <v>2783.01</v>
      </c>
      <c r="AP11" s="284">
        <v>1113.96</v>
      </c>
      <c r="AQ11" s="284">
        <v>4108.29</v>
      </c>
      <c r="AR11" s="284">
        <v>1633.9</v>
      </c>
      <c r="AS11" s="285">
        <v>28361.69</v>
      </c>
      <c r="AT11" s="291">
        <v>0</v>
      </c>
      <c r="AU11" s="284">
        <v>9947.8399999999947</v>
      </c>
      <c r="AV11" s="284">
        <v>1531.94</v>
      </c>
      <c r="AW11" s="284">
        <v>2465.0000000000005</v>
      </c>
      <c r="AX11" s="284">
        <v>3495.24</v>
      </c>
      <c r="AY11" s="284">
        <v>4378.33</v>
      </c>
      <c r="AZ11" s="284">
        <v>4004.9</v>
      </c>
      <c r="BA11" s="284">
        <v>8806.73</v>
      </c>
      <c r="BB11" s="284">
        <v>4751.0700000000006</v>
      </c>
      <c r="BC11" s="284">
        <v>3680.32</v>
      </c>
      <c r="BD11" s="284">
        <v>4943.4799999999996</v>
      </c>
      <c r="BE11" s="284">
        <v>2633.2400000000002</v>
      </c>
      <c r="BF11" s="284">
        <v>4676.87</v>
      </c>
      <c r="BG11" s="284">
        <v>5724.58</v>
      </c>
      <c r="BH11" s="285">
        <v>51091.700000000004</v>
      </c>
      <c r="BI11" s="291">
        <v>0</v>
      </c>
      <c r="BJ11" s="284">
        <v>6975.059999999994</v>
      </c>
      <c r="BK11" s="284">
        <v>3453.4300000000003</v>
      </c>
      <c r="BL11" s="284">
        <v>2934.3900000000003</v>
      </c>
      <c r="BM11" s="284">
        <v>2876.59</v>
      </c>
      <c r="BN11" s="284">
        <v>4911.62</v>
      </c>
      <c r="BO11" s="284">
        <v>3482.46</v>
      </c>
      <c r="BP11" s="284">
        <v>5813.2199999999993</v>
      </c>
      <c r="BQ11" s="284">
        <v>5973.94</v>
      </c>
      <c r="BR11" s="284">
        <v>4764</v>
      </c>
      <c r="BS11" s="284">
        <v>2834.6800000000003</v>
      </c>
      <c r="BT11" s="284">
        <v>6018.52</v>
      </c>
      <c r="BU11" s="284">
        <v>5375.1100000000006</v>
      </c>
      <c r="BV11" s="284">
        <v>2342.9299999999998</v>
      </c>
      <c r="BW11" s="285">
        <v>50780.89</v>
      </c>
      <c r="BX11" s="291">
        <v>0</v>
      </c>
      <c r="BY11" s="284">
        <v>9947.8399999999947</v>
      </c>
      <c r="BZ11" s="284">
        <v>5838.5299999999988</v>
      </c>
      <c r="CA11" s="284">
        <v>1191</v>
      </c>
      <c r="CB11" s="284">
        <v>2508.31</v>
      </c>
      <c r="CC11" s="284">
        <v>1876.0899999999997</v>
      </c>
      <c r="CD11" s="284">
        <v>184.09999999999997</v>
      </c>
      <c r="CE11" s="284">
        <v>1980.55</v>
      </c>
      <c r="CF11" s="284">
        <v>2181.0300000000002</v>
      </c>
      <c r="CG11" s="284">
        <v>146.5</v>
      </c>
      <c r="CH11" s="284">
        <v>15</v>
      </c>
      <c r="CI11" s="284">
        <v>5636.3900000000012</v>
      </c>
      <c r="CJ11" s="284">
        <v>1326.2099999999996</v>
      </c>
      <c r="CK11" s="284">
        <v>880.94999999999993</v>
      </c>
      <c r="CL11" s="285">
        <v>23764.66</v>
      </c>
      <c r="CM11" s="291">
        <v>0</v>
      </c>
      <c r="CN11" s="284">
        <v>6975.059999999994</v>
      </c>
      <c r="CO11" s="284">
        <v>498.39</v>
      </c>
      <c r="CP11" s="284">
        <v>2494.3199999999997</v>
      </c>
      <c r="CQ11" s="284">
        <v>1493.29</v>
      </c>
      <c r="CR11" s="284">
        <v>1021.99</v>
      </c>
      <c r="CS11" s="284">
        <v>1805.58</v>
      </c>
      <c r="CT11" s="284">
        <v>5932.23</v>
      </c>
      <c r="CU11" s="284">
        <v>2594.5300000000002</v>
      </c>
      <c r="CV11" s="284">
        <v>1301.4600000000003</v>
      </c>
      <c r="CW11" s="284">
        <v>1885.25</v>
      </c>
      <c r="CX11" s="284">
        <v>5855</v>
      </c>
      <c r="CY11" s="284">
        <v>7555.39</v>
      </c>
      <c r="CZ11" s="284">
        <v>1372.9100000000003</v>
      </c>
      <c r="DA11" s="285">
        <v>33810.340000000004</v>
      </c>
      <c r="DB11" s="291">
        <v>0</v>
      </c>
      <c r="DC11" s="284">
        <v>1652.9399999999964</v>
      </c>
      <c r="DD11" s="284">
        <v>1400.0199999999998</v>
      </c>
      <c r="DE11" s="284">
        <v>2993.92</v>
      </c>
      <c r="DF11" s="284">
        <v>3063.3599999999997</v>
      </c>
      <c r="DG11" s="284">
        <v>11702.74</v>
      </c>
      <c r="DH11" s="284">
        <v>10038.210000000001</v>
      </c>
      <c r="DI11" s="284">
        <v>2478.9700000000003</v>
      </c>
      <c r="DJ11" s="284">
        <v>3157.6699999999992</v>
      </c>
      <c r="DK11" s="284">
        <v>4097.18</v>
      </c>
      <c r="DL11" s="284">
        <v>2391.98</v>
      </c>
      <c r="DM11" s="284">
        <v>2044.98</v>
      </c>
      <c r="DN11" s="284">
        <v>1614.98</v>
      </c>
      <c r="DO11" s="284">
        <v>1745.98</v>
      </c>
      <c r="DP11" s="285">
        <v>46729.990000000005</v>
      </c>
      <c r="DQ11" s="291">
        <v>0</v>
      </c>
      <c r="DR11" s="284">
        <v>6975.059999999994</v>
      </c>
      <c r="DS11" s="284">
        <v>3998.2000000000003</v>
      </c>
      <c r="DT11" s="284">
        <v>7555.73</v>
      </c>
      <c r="DU11" s="284">
        <v>4628.2</v>
      </c>
      <c r="DV11" s="284">
        <v>4150.7300000000005</v>
      </c>
      <c r="DW11" s="284">
        <v>4033.2000000000003</v>
      </c>
      <c r="DX11" s="284">
        <v>3652.7300000000005</v>
      </c>
      <c r="DY11" s="284">
        <v>4628.2</v>
      </c>
      <c r="DZ11" s="284">
        <v>4212.7299999999996</v>
      </c>
      <c r="EA11" s="284">
        <v>4531.2</v>
      </c>
      <c r="EB11" s="284">
        <v>4247.7300000000005</v>
      </c>
      <c r="EC11" s="284">
        <v>4033.2000000000003</v>
      </c>
      <c r="ED11" s="284">
        <v>4033.2000000000003</v>
      </c>
      <c r="EE11" s="285">
        <v>53705.05</v>
      </c>
      <c r="EF11" s="291">
        <v>0</v>
      </c>
      <c r="EG11" s="311">
        <v>6975.059999999994</v>
      </c>
    </row>
    <row r="12" spans="1:153">
      <c r="B12" s="288" t="s">
        <v>28</v>
      </c>
      <c r="C12" s="284">
        <v>1360.34</v>
      </c>
      <c r="D12" s="284">
        <v>1842.0900000000001</v>
      </c>
      <c r="E12" s="284">
        <v>1848.7899999999997</v>
      </c>
      <c r="F12" s="284">
        <v>1443.44</v>
      </c>
      <c r="G12" s="284">
        <v>2437.4300000000003</v>
      </c>
      <c r="H12" s="284">
        <v>698.68999999999994</v>
      </c>
      <c r="I12" s="284">
        <v>1496.8500000000001</v>
      </c>
      <c r="J12" s="284">
        <v>700</v>
      </c>
      <c r="K12" s="284">
        <v>956.81999999999994</v>
      </c>
      <c r="L12" s="284">
        <v>1547.24</v>
      </c>
      <c r="M12" s="284">
        <v>1993.1700000000003</v>
      </c>
      <c r="N12" s="284">
        <v>2329.5899999999997</v>
      </c>
      <c r="O12" s="285">
        <v>18654.45</v>
      </c>
      <c r="P12" s="291">
        <v>0</v>
      </c>
      <c r="Q12" s="284">
        <v>4919.5899999999965</v>
      </c>
      <c r="R12" s="284">
        <v>0</v>
      </c>
      <c r="S12" s="284">
        <v>3007.0900000000006</v>
      </c>
      <c r="T12" s="284">
        <v>683.15</v>
      </c>
      <c r="U12" s="284">
        <v>1080.47</v>
      </c>
      <c r="V12" s="284">
        <v>1503.06</v>
      </c>
      <c r="W12" s="284">
        <v>0</v>
      </c>
      <c r="X12" s="284">
        <v>2979.59</v>
      </c>
      <c r="Y12" s="284">
        <v>0</v>
      </c>
      <c r="Z12" s="284">
        <v>1149.5999999999999</v>
      </c>
      <c r="AA12" s="284">
        <v>314.08000000000004</v>
      </c>
      <c r="AB12" s="284">
        <v>2982.29</v>
      </c>
      <c r="AC12" s="284">
        <v>1151.9600000000003</v>
      </c>
      <c r="AD12" s="285">
        <v>14851.290000000003</v>
      </c>
      <c r="AE12" s="291">
        <v>0</v>
      </c>
      <c r="AF12" s="284">
        <v>4919.5899999999965</v>
      </c>
      <c r="AG12" s="284">
        <v>974.45999999999981</v>
      </c>
      <c r="AH12" s="284">
        <v>1125.0600000000002</v>
      </c>
      <c r="AI12" s="284">
        <v>0</v>
      </c>
      <c r="AJ12" s="284">
        <v>0</v>
      </c>
      <c r="AK12" s="284">
        <v>1802.1</v>
      </c>
      <c r="AL12" s="284">
        <v>1926.56</v>
      </c>
      <c r="AM12" s="284">
        <v>1601.25</v>
      </c>
      <c r="AN12" s="284">
        <v>506.51</v>
      </c>
      <c r="AO12" s="284">
        <v>1858.43</v>
      </c>
      <c r="AP12" s="284">
        <v>126.48</v>
      </c>
      <c r="AQ12" s="284">
        <v>0</v>
      </c>
      <c r="AR12" s="284">
        <v>0</v>
      </c>
      <c r="AS12" s="285">
        <v>9920.85</v>
      </c>
      <c r="AT12" s="291">
        <v>0</v>
      </c>
      <c r="AU12" s="284">
        <v>4919.5899999999965</v>
      </c>
      <c r="AV12" s="284">
        <v>0</v>
      </c>
      <c r="AW12" s="284">
        <v>1130.9000000000003</v>
      </c>
      <c r="AX12" s="284">
        <v>58.5</v>
      </c>
      <c r="AY12" s="284">
        <v>1515.4</v>
      </c>
      <c r="AZ12" s="284">
        <v>1582.91</v>
      </c>
      <c r="BA12" s="284">
        <v>1240.5400000000002</v>
      </c>
      <c r="BB12" s="284">
        <v>1304.3900000000003</v>
      </c>
      <c r="BC12" s="284">
        <v>0</v>
      </c>
      <c r="BD12" s="284">
        <v>71</v>
      </c>
      <c r="BE12" s="284">
        <v>50</v>
      </c>
      <c r="BF12" s="284">
        <v>2248.29</v>
      </c>
      <c r="BG12" s="284">
        <v>1048.6999999999998</v>
      </c>
      <c r="BH12" s="285">
        <v>10250.630000000001</v>
      </c>
      <c r="BI12" s="291">
        <v>0</v>
      </c>
      <c r="BJ12" s="284">
        <v>4919.5899999999965</v>
      </c>
      <c r="BK12" s="284">
        <v>825.12</v>
      </c>
      <c r="BL12" s="284">
        <v>1074.06</v>
      </c>
      <c r="BM12" s="284">
        <v>653.44999999999993</v>
      </c>
      <c r="BN12" s="284">
        <v>925.56999999999994</v>
      </c>
      <c r="BO12" s="284">
        <v>133.57999999999998</v>
      </c>
      <c r="BP12" s="284">
        <v>1334.43</v>
      </c>
      <c r="BQ12" s="284">
        <v>2131.54</v>
      </c>
      <c r="BR12" s="284">
        <v>1770</v>
      </c>
      <c r="BS12" s="284">
        <v>784.06</v>
      </c>
      <c r="BT12" s="284">
        <v>1206.2900000000002</v>
      </c>
      <c r="BU12" s="284">
        <v>355.8</v>
      </c>
      <c r="BV12" s="284">
        <v>578.29999999999995</v>
      </c>
      <c r="BW12" s="285">
        <v>11772.199999999999</v>
      </c>
      <c r="BX12" s="291">
        <v>0</v>
      </c>
      <c r="BY12" s="284">
        <v>4919.5899999999965</v>
      </c>
      <c r="BZ12" s="284">
        <v>745.90999999999985</v>
      </c>
      <c r="CA12" s="284">
        <v>943</v>
      </c>
      <c r="CB12" s="284">
        <v>2212.06</v>
      </c>
      <c r="CC12" s="284">
        <v>1886.0899999999997</v>
      </c>
      <c r="CD12" s="284">
        <v>194.09999999999997</v>
      </c>
      <c r="CE12" s="284">
        <v>882.7</v>
      </c>
      <c r="CF12" s="284">
        <v>2181.0300000000002</v>
      </c>
      <c r="CG12" s="284">
        <v>176.5</v>
      </c>
      <c r="CH12" s="284">
        <v>25</v>
      </c>
      <c r="CI12" s="284">
        <v>4474.4900000000007</v>
      </c>
      <c r="CJ12" s="284">
        <v>1287.2299999999996</v>
      </c>
      <c r="CK12" s="284">
        <v>0</v>
      </c>
      <c r="CL12" s="285">
        <v>15008.11</v>
      </c>
      <c r="CM12" s="291">
        <v>0</v>
      </c>
      <c r="CN12" s="284">
        <v>4919.5899999999965</v>
      </c>
      <c r="CO12" s="284">
        <v>399</v>
      </c>
      <c r="CP12" s="284">
        <v>2494.3199999999997</v>
      </c>
      <c r="CQ12" s="284">
        <v>1182.02</v>
      </c>
      <c r="CR12" s="284">
        <v>1031.99</v>
      </c>
      <c r="CS12" s="284">
        <v>1287.58</v>
      </c>
      <c r="CT12" s="284">
        <v>2441.5500000000002</v>
      </c>
      <c r="CU12" s="284">
        <v>1627.1399999999999</v>
      </c>
      <c r="CV12" s="284">
        <v>1301.4600000000003</v>
      </c>
      <c r="CW12" s="284">
        <v>1424.71</v>
      </c>
      <c r="CX12" s="284">
        <v>1284</v>
      </c>
      <c r="CY12" s="284">
        <v>6629.8300000000008</v>
      </c>
      <c r="CZ12" s="284">
        <v>693.33</v>
      </c>
      <c r="DA12" s="285">
        <v>21796.930000000004</v>
      </c>
      <c r="DB12" s="291">
        <v>0</v>
      </c>
      <c r="DC12" s="284">
        <v>4919.5899999999965</v>
      </c>
      <c r="DD12" s="284">
        <v>1288.6599999999999</v>
      </c>
      <c r="DE12" s="284">
        <v>2518.73</v>
      </c>
      <c r="DF12" s="284">
        <v>3063.3599999999997</v>
      </c>
      <c r="DG12" s="284">
        <v>10547.01</v>
      </c>
      <c r="DH12" s="284">
        <v>4173.7</v>
      </c>
      <c r="DI12" s="284">
        <v>2227.5100000000002</v>
      </c>
      <c r="DJ12" s="284">
        <v>2261.8399999999992</v>
      </c>
      <c r="DK12" s="284">
        <v>3801.28</v>
      </c>
      <c r="DL12" s="284">
        <v>2153.98</v>
      </c>
      <c r="DM12" s="284">
        <v>1358.98</v>
      </c>
      <c r="DN12" s="284">
        <v>1421.98</v>
      </c>
      <c r="DO12" s="284">
        <v>1592.98</v>
      </c>
      <c r="DP12" s="285">
        <v>36410.010000000009</v>
      </c>
      <c r="DQ12" s="291">
        <v>0</v>
      </c>
      <c r="DR12" s="284">
        <v>4919.5899999999965</v>
      </c>
      <c r="DS12" s="284">
        <v>2865.3</v>
      </c>
      <c r="DT12" s="284">
        <v>3460.3</v>
      </c>
      <c r="DU12" s="284">
        <v>4055.3</v>
      </c>
      <c r="DV12" s="284">
        <v>3363.3</v>
      </c>
      <c r="DW12" s="284">
        <v>3460.3</v>
      </c>
      <c r="DX12" s="284">
        <v>2865.3</v>
      </c>
      <c r="DY12" s="284">
        <v>4055.3</v>
      </c>
      <c r="DZ12" s="284">
        <v>2865.3</v>
      </c>
      <c r="EA12" s="284">
        <v>3958.3</v>
      </c>
      <c r="EB12" s="284">
        <v>3460.3</v>
      </c>
      <c r="EC12" s="284">
        <v>3460.3</v>
      </c>
      <c r="ED12" s="284">
        <v>3460.3</v>
      </c>
      <c r="EE12" s="285">
        <v>41329.600000000006</v>
      </c>
      <c r="EF12" s="291">
        <v>0</v>
      </c>
      <c r="EG12" s="311">
        <v>4919.5899999999965</v>
      </c>
      <c r="EW12" s="144"/>
    </row>
    <row r="13" spans="1:153">
      <c r="B13" s="288" t="s">
        <v>25</v>
      </c>
      <c r="C13" s="284">
        <v>518.68000000000006</v>
      </c>
      <c r="D13" s="284">
        <v>319.24</v>
      </c>
      <c r="E13" s="284">
        <v>664.7</v>
      </c>
      <c r="F13" s="284">
        <v>370.61</v>
      </c>
      <c r="G13" s="284">
        <v>1148.7899999999997</v>
      </c>
      <c r="H13" s="284">
        <v>199.19000000000003</v>
      </c>
      <c r="I13" s="284">
        <v>1194.6199999999999</v>
      </c>
      <c r="J13" s="284">
        <v>57.269999999999996</v>
      </c>
      <c r="K13" s="284">
        <v>75.34</v>
      </c>
      <c r="L13" s="284">
        <v>768.6400000000001</v>
      </c>
      <c r="M13" s="284">
        <v>740.22</v>
      </c>
      <c r="N13" s="284">
        <v>719.4</v>
      </c>
      <c r="O13" s="285">
        <v>6776.7000000000007</v>
      </c>
      <c r="P13" s="291">
        <v>0</v>
      </c>
      <c r="Q13" s="284">
        <v>-293.86999999999989</v>
      </c>
      <c r="R13" s="284">
        <v>656.05000000000007</v>
      </c>
      <c r="S13" s="284">
        <v>871.56</v>
      </c>
      <c r="T13" s="284">
        <v>186.83</v>
      </c>
      <c r="U13" s="284">
        <v>824.67</v>
      </c>
      <c r="V13" s="284">
        <v>407.91</v>
      </c>
      <c r="W13" s="284">
        <v>479.01</v>
      </c>
      <c r="X13" s="284">
        <v>538.4899999999999</v>
      </c>
      <c r="Y13" s="284">
        <v>1440.0499999999997</v>
      </c>
      <c r="Z13" s="284">
        <v>0</v>
      </c>
      <c r="AA13" s="284">
        <v>577.95000000000005</v>
      </c>
      <c r="AB13" s="284">
        <v>446.13000000000005</v>
      </c>
      <c r="AC13" s="284">
        <v>621.31999999999994</v>
      </c>
      <c r="AD13" s="285">
        <v>7049.9699999999993</v>
      </c>
      <c r="AE13" s="291">
        <v>0</v>
      </c>
      <c r="AF13" s="284">
        <v>-293.86999999999989</v>
      </c>
      <c r="AG13" s="284">
        <v>635.85000000000014</v>
      </c>
      <c r="AH13" s="284">
        <v>666.56</v>
      </c>
      <c r="AI13" s="284">
        <v>975.11000000000024</v>
      </c>
      <c r="AJ13" s="284">
        <v>742.19</v>
      </c>
      <c r="AK13" s="284">
        <v>325.01</v>
      </c>
      <c r="AL13" s="284">
        <v>820.0100000000001</v>
      </c>
      <c r="AM13" s="284">
        <v>992.36</v>
      </c>
      <c r="AN13" s="284">
        <v>483.05999999999995</v>
      </c>
      <c r="AO13" s="284">
        <v>928.74</v>
      </c>
      <c r="AP13" s="284">
        <v>71.38</v>
      </c>
      <c r="AQ13" s="284">
        <v>729.24</v>
      </c>
      <c r="AR13" s="284">
        <v>339.81</v>
      </c>
      <c r="AS13" s="285">
        <v>7709.32</v>
      </c>
      <c r="AT13" s="291">
        <v>0</v>
      </c>
      <c r="AU13" s="284">
        <v>-293.86999999999989</v>
      </c>
      <c r="AV13" s="284">
        <v>665.43999999999994</v>
      </c>
      <c r="AW13" s="284">
        <v>989.03000000000009</v>
      </c>
      <c r="AX13" s="284">
        <v>2285.4799999999996</v>
      </c>
      <c r="AY13" s="284">
        <v>1385.33</v>
      </c>
      <c r="AZ13" s="284">
        <v>1317.4300000000003</v>
      </c>
      <c r="BA13" s="284">
        <v>1065.8700000000001</v>
      </c>
      <c r="BB13" s="284">
        <v>1202.5600000000002</v>
      </c>
      <c r="BC13" s="284">
        <v>608.72</v>
      </c>
      <c r="BD13" s="284">
        <v>1016.3900000000001</v>
      </c>
      <c r="BE13" s="284">
        <v>764.73</v>
      </c>
      <c r="BF13" s="284">
        <v>1017.6100000000001</v>
      </c>
      <c r="BG13" s="284">
        <v>998.13999999999987</v>
      </c>
      <c r="BH13" s="285">
        <v>13316.729999999998</v>
      </c>
      <c r="BI13" s="291">
        <v>0</v>
      </c>
      <c r="BJ13" s="284">
        <v>-293.86999999999989</v>
      </c>
      <c r="BK13" s="284">
        <v>1167.5900000000004</v>
      </c>
      <c r="BL13" s="284">
        <v>665.55000000000007</v>
      </c>
      <c r="BM13" s="284">
        <v>985.16999999999985</v>
      </c>
      <c r="BN13" s="284">
        <v>985.16999999999985</v>
      </c>
      <c r="BO13" s="284">
        <v>137.43</v>
      </c>
      <c r="BP13" s="284">
        <v>1210.56</v>
      </c>
      <c r="BQ13" s="284">
        <v>2042.3999999999999</v>
      </c>
      <c r="BR13" s="284">
        <v>1245</v>
      </c>
      <c r="BS13" s="284">
        <v>1549.6200000000001</v>
      </c>
      <c r="BT13" s="284">
        <v>1257.6500000000001</v>
      </c>
      <c r="BU13" s="284">
        <v>1006.2199999999999</v>
      </c>
      <c r="BV13" s="284">
        <v>78.139999999999986</v>
      </c>
      <c r="BW13" s="285">
        <v>12330.499999999998</v>
      </c>
      <c r="BX13" s="291">
        <v>0</v>
      </c>
      <c r="BY13" s="284">
        <v>-293.86999999999989</v>
      </c>
      <c r="BZ13" s="284">
        <v>2108.64</v>
      </c>
      <c r="CA13" s="284">
        <v>246</v>
      </c>
      <c r="CB13" s="284">
        <v>0</v>
      </c>
      <c r="CC13" s="284">
        <v>0</v>
      </c>
      <c r="CD13" s="284">
        <v>0</v>
      </c>
      <c r="CE13" s="284">
        <v>1117.8499999999999</v>
      </c>
      <c r="CF13" s="284">
        <v>0</v>
      </c>
      <c r="CG13" s="284">
        <v>0</v>
      </c>
      <c r="CH13" s="284">
        <v>0</v>
      </c>
      <c r="CI13" s="284">
        <v>1171.9000000000001</v>
      </c>
      <c r="CJ13" s="284">
        <v>0</v>
      </c>
      <c r="CK13" s="284">
        <v>572.06999999999994</v>
      </c>
      <c r="CL13" s="285">
        <v>5216.4599999999991</v>
      </c>
      <c r="CM13" s="291">
        <v>0</v>
      </c>
      <c r="CN13" s="284">
        <v>-293.86999999999989</v>
      </c>
      <c r="CO13" s="284">
        <v>0</v>
      </c>
      <c r="CP13" s="284">
        <v>0</v>
      </c>
      <c r="CQ13" s="284">
        <v>311.27</v>
      </c>
      <c r="CR13" s="284">
        <v>0</v>
      </c>
      <c r="CS13" s="284">
        <v>218</v>
      </c>
      <c r="CT13" s="284">
        <v>269.39999999999998</v>
      </c>
      <c r="CU13" s="284">
        <v>886.53</v>
      </c>
      <c r="CV13" s="284">
        <v>0</v>
      </c>
      <c r="CW13" s="284">
        <v>10.029999999999999</v>
      </c>
      <c r="CX13" s="284">
        <v>0</v>
      </c>
      <c r="CY13" s="284">
        <v>464.45</v>
      </c>
      <c r="CZ13" s="284">
        <v>679.58000000000015</v>
      </c>
      <c r="DA13" s="285">
        <v>2839.26</v>
      </c>
      <c r="DB13" s="291">
        <v>0</v>
      </c>
      <c r="DC13" s="284">
        <v>-293.86999999999989</v>
      </c>
      <c r="DD13" s="284">
        <v>68.3</v>
      </c>
      <c r="DE13" s="284">
        <v>475.19</v>
      </c>
      <c r="DF13" s="284">
        <v>0</v>
      </c>
      <c r="DG13" s="284">
        <v>34</v>
      </c>
      <c r="DH13" s="284">
        <v>1465.15</v>
      </c>
      <c r="DI13" s="284">
        <v>0</v>
      </c>
      <c r="DJ13" s="284">
        <v>0</v>
      </c>
      <c r="DK13" s="284">
        <v>43.88</v>
      </c>
      <c r="DL13" s="284">
        <v>85</v>
      </c>
      <c r="DM13" s="284">
        <v>275</v>
      </c>
      <c r="DN13" s="284">
        <v>40</v>
      </c>
      <c r="DO13" s="284">
        <v>0</v>
      </c>
      <c r="DP13" s="285">
        <v>2486.52</v>
      </c>
      <c r="DQ13" s="291">
        <v>0</v>
      </c>
      <c r="DR13" s="284">
        <v>-293.86999999999989</v>
      </c>
      <c r="DS13" s="284">
        <v>560</v>
      </c>
      <c r="DT13" s="284">
        <v>214.53</v>
      </c>
      <c r="DU13" s="284">
        <v>0</v>
      </c>
      <c r="DV13" s="284">
        <v>214.53</v>
      </c>
      <c r="DW13" s="284">
        <v>0</v>
      </c>
      <c r="DX13" s="284">
        <v>214.53</v>
      </c>
      <c r="DY13" s="284">
        <v>0</v>
      </c>
      <c r="DZ13" s="284">
        <v>774.53</v>
      </c>
      <c r="EA13" s="284">
        <v>0</v>
      </c>
      <c r="EB13" s="284">
        <v>214.53</v>
      </c>
      <c r="EC13" s="284">
        <v>0</v>
      </c>
      <c r="ED13" s="284">
        <v>0</v>
      </c>
      <c r="EE13" s="285">
        <v>2192.65</v>
      </c>
      <c r="EF13" s="291">
        <v>0</v>
      </c>
      <c r="EG13" s="311">
        <v>-293.86999999999989</v>
      </c>
    </row>
    <row r="14" spans="1:153">
      <c r="B14" s="288" t="s">
        <v>24</v>
      </c>
      <c r="C14" s="284">
        <v>-7</v>
      </c>
      <c r="D14" s="284">
        <v>0</v>
      </c>
      <c r="E14" s="284">
        <v>0</v>
      </c>
      <c r="F14" s="284">
        <v>0</v>
      </c>
      <c r="G14" s="284">
        <v>-14</v>
      </c>
      <c r="H14" s="284">
        <v>0</v>
      </c>
      <c r="I14" s="284">
        <v>-42</v>
      </c>
      <c r="J14" s="284">
        <v>-7</v>
      </c>
      <c r="K14" s="284">
        <v>0</v>
      </c>
      <c r="L14" s="284">
        <v>0</v>
      </c>
      <c r="M14" s="284">
        <v>0</v>
      </c>
      <c r="N14" s="284">
        <v>-14</v>
      </c>
      <c r="O14" s="285">
        <v>-84</v>
      </c>
      <c r="P14" s="291">
        <v>0</v>
      </c>
      <c r="Q14" s="284">
        <v>0</v>
      </c>
      <c r="R14" s="284">
        <v>0</v>
      </c>
      <c r="S14" s="284">
        <v>-7</v>
      </c>
      <c r="T14" s="284">
        <v>0</v>
      </c>
      <c r="U14" s="284">
        <v>-7</v>
      </c>
      <c r="V14" s="284">
        <v>0</v>
      </c>
      <c r="W14" s="284">
        <v>0</v>
      </c>
      <c r="X14" s="284">
        <v>0</v>
      </c>
      <c r="Y14" s="284">
        <v>0</v>
      </c>
      <c r="Z14" s="284">
        <v>0</v>
      </c>
      <c r="AA14" s="284">
        <v>0</v>
      </c>
      <c r="AB14" s="284">
        <v>0</v>
      </c>
      <c r="AC14" s="284">
        <v>0</v>
      </c>
      <c r="AD14" s="285">
        <v>-14</v>
      </c>
      <c r="AE14" s="291">
        <v>0</v>
      </c>
      <c r="AF14" s="284">
        <v>0</v>
      </c>
      <c r="AG14" s="284">
        <v>0</v>
      </c>
      <c r="AH14" s="284">
        <v>0</v>
      </c>
      <c r="AI14" s="284">
        <v>0</v>
      </c>
      <c r="AJ14" s="284">
        <v>0</v>
      </c>
      <c r="AK14" s="284">
        <v>0</v>
      </c>
      <c r="AL14" s="284">
        <v>0</v>
      </c>
      <c r="AM14" s="284">
        <v>0</v>
      </c>
      <c r="AN14" s="284">
        <v>-28</v>
      </c>
      <c r="AO14" s="284">
        <v>-14</v>
      </c>
      <c r="AP14" s="284">
        <v>-7</v>
      </c>
      <c r="AQ14" s="284">
        <v>0</v>
      </c>
      <c r="AR14" s="284">
        <v>-14</v>
      </c>
      <c r="AS14" s="285">
        <v>-63</v>
      </c>
      <c r="AT14" s="291">
        <v>0</v>
      </c>
      <c r="AU14" s="284">
        <v>0</v>
      </c>
      <c r="AV14" s="284">
        <v>0</v>
      </c>
      <c r="AW14" s="284">
        <v>0</v>
      </c>
      <c r="AX14" s="284">
        <v>0</v>
      </c>
      <c r="AY14" s="284">
        <v>-14</v>
      </c>
      <c r="AZ14" s="284">
        <v>217</v>
      </c>
      <c r="BA14" s="284">
        <v>5227.6000000000004</v>
      </c>
      <c r="BB14" s="284">
        <v>912.28</v>
      </c>
      <c r="BC14" s="284">
        <v>2451.5400000000004</v>
      </c>
      <c r="BD14" s="284">
        <v>2641.28</v>
      </c>
      <c r="BE14" s="284">
        <v>1141.44</v>
      </c>
      <c r="BF14" s="284">
        <v>-21</v>
      </c>
      <c r="BG14" s="284">
        <v>1673</v>
      </c>
      <c r="BH14" s="285">
        <v>14229.140000000001</v>
      </c>
      <c r="BI14" s="291">
        <v>0</v>
      </c>
      <c r="BJ14" s="284">
        <v>0</v>
      </c>
      <c r="BK14" s="284">
        <v>-21</v>
      </c>
      <c r="BL14" s="284">
        <v>-7</v>
      </c>
      <c r="BM14" s="284">
        <v>-21</v>
      </c>
      <c r="BN14" s="284">
        <v>539</v>
      </c>
      <c r="BO14" s="284">
        <v>-14</v>
      </c>
      <c r="BP14" s="284">
        <v>633.5</v>
      </c>
      <c r="BQ14" s="284">
        <v>169</v>
      </c>
      <c r="BR14" s="284">
        <v>0</v>
      </c>
      <c r="BS14" s="284">
        <v>-10</v>
      </c>
      <c r="BT14" s="284">
        <v>530.79999999999995</v>
      </c>
      <c r="BU14" s="284">
        <v>-30</v>
      </c>
      <c r="BV14" s="284">
        <v>0</v>
      </c>
      <c r="BW14" s="285">
        <v>1769.3</v>
      </c>
      <c r="BX14" s="291">
        <v>0</v>
      </c>
      <c r="BY14" s="284">
        <v>0</v>
      </c>
      <c r="BZ14" s="284">
        <v>1451</v>
      </c>
      <c r="CA14" s="284">
        <v>0</v>
      </c>
      <c r="CB14" s="284">
        <v>-10</v>
      </c>
      <c r="CC14" s="284">
        <v>-10</v>
      </c>
      <c r="CD14" s="284">
        <v>-10</v>
      </c>
      <c r="CE14" s="284">
        <v>-20</v>
      </c>
      <c r="CF14" s="284">
        <v>0</v>
      </c>
      <c r="CG14" s="284">
        <v>-30</v>
      </c>
      <c r="CH14" s="284">
        <v>-10</v>
      </c>
      <c r="CI14" s="284">
        <v>-10</v>
      </c>
      <c r="CJ14" s="284">
        <v>0</v>
      </c>
      <c r="CK14" s="284">
        <v>0</v>
      </c>
      <c r="CL14" s="285">
        <v>1351</v>
      </c>
      <c r="CM14" s="291">
        <v>0</v>
      </c>
      <c r="CN14" s="284">
        <v>0</v>
      </c>
      <c r="CO14" s="284">
        <v>0</v>
      </c>
      <c r="CP14" s="284">
        <v>0</v>
      </c>
      <c r="CQ14" s="284">
        <v>0</v>
      </c>
      <c r="CR14" s="284">
        <v>-10</v>
      </c>
      <c r="CS14" s="284">
        <v>0</v>
      </c>
      <c r="CT14" s="284">
        <v>3030.0499999999997</v>
      </c>
      <c r="CU14" s="284">
        <v>80.86</v>
      </c>
      <c r="CV14" s="284">
        <v>0</v>
      </c>
      <c r="CW14" s="284">
        <v>151.10999999999999</v>
      </c>
      <c r="CX14" s="284">
        <v>-10</v>
      </c>
      <c r="CY14" s="284">
        <v>0</v>
      </c>
      <c r="CZ14" s="284">
        <v>0</v>
      </c>
      <c r="DA14" s="285">
        <v>3242.02</v>
      </c>
      <c r="DB14" s="291">
        <v>0</v>
      </c>
      <c r="DC14" s="284">
        <v>0</v>
      </c>
      <c r="DD14" s="284">
        <v>0</v>
      </c>
      <c r="DE14" s="284">
        <v>0</v>
      </c>
      <c r="DF14" s="284">
        <v>0</v>
      </c>
      <c r="DG14" s="284">
        <v>0</v>
      </c>
      <c r="DH14" s="284">
        <v>3488</v>
      </c>
      <c r="DI14" s="284">
        <v>0</v>
      </c>
      <c r="DJ14" s="284">
        <v>0</v>
      </c>
      <c r="DK14" s="284">
        <v>-180</v>
      </c>
      <c r="DL14" s="284">
        <v>0</v>
      </c>
      <c r="DM14" s="284">
        <v>0</v>
      </c>
      <c r="DN14" s="284">
        <v>0</v>
      </c>
      <c r="DO14" s="284">
        <v>0</v>
      </c>
      <c r="DP14" s="285">
        <v>3308</v>
      </c>
      <c r="DQ14" s="291">
        <v>0</v>
      </c>
      <c r="DR14" s="284">
        <v>0</v>
      </c>
      <c r="DS14" s="284">
        <v>0</v>
      </c>
      <c r="DT14" s="284">
        <v>3308</v>
      </c>
      <c r="DU14" s="284">
        <v>0</v>
      </c>
      <c r="DV14" s="284">
        <v>0</v>
      </c>
      <c r="DW14" s="284">
        <v>0</v>
      </c>
      <c r="DX14" s="284">
        <v>0</v>
      </c>
      <c r="DY14" s="284">
        <v>0</v>
      </c>
      <c r="DZ14" s="284">
        <v>0</v>
      </c>
      <c r="EA14" s="284">
        <v>0</v>
      </c>
      <c r="EB14" s="284">
        <v>0</v>
      </c>
      <c r="EC14" s="284">
        <v>0</v>
      </c>
      <c r="ED14" s="284">
        <v>0</v>
      </c>
      <c r="EE14" s="285">
        <v>3308</v>
      </c>
      <c r="EF14" s="291">
        <v>0</v>
      </c>
      <c r="EG14" s="311">
        <v>0</v>
      </c>
    </row>
    <row r="15" spans="1:153">
      <c r="B15" s="288" t="s">
        <v>23</v>
      </c>
      <c r="C15" s="284">
        <v>897.16000000000008</v>
      </c>
      <c r="D15" s="284">
        <v>739.83999999999992</v>
      </c>
      <c r="E15" s="284">
        <v>568.99000000000012</v>
      </c>
      <c r="F15" s="284">
        <v>804.82999999999993</v>
      </c>
      <c r="G15" s="284">
        <v>1152.1000000000001</v>
      </c>
      <c r="H15" s="284">
        <v>663.87</v>
      </c>
      <c r="I15" s="284">
        <v>966.93999999999994</v>
      </c>
      <c r="J15" s="284">
        <v>294.62</v>
      </c>
      <c r="K15" s="284">
        <v>931.34</v>
      </c>
      <c r="L15" s="284">
        <v>1248.44</v>
      </c>
      <c r="M15" s="284">
        <v>1246.45</v>
      </c>
      <c r="N15" s="284">
        <v>1253.31</v>
      </c>
      <c r="O15" s="285">
        <v>10767.89</v>
      </c>
      <c r="P15" s="291">
        <v>0</v>
      </c>
      <c r="Q15" s="284">
        <v>5322.1199999999981</v>
      </c>
      <c r="R15" s="284">
        <v>954.09</v>
      </c>
      <c r="S15" s="284">
        <v>1984.3700000000001</v>
      </c>
      <c r="T15" s="284">
        <v>2177.25</v>
      </c>
      <c r="U15" s="284">
        <v>473.19000000000005</v>
      </c>
      <c r="V15" s="284">
        <v>1120.8200000000002</v>
      </c>
      <c r="W15" s="284">
        <v>921.53</v>
      </c>
      <c r="X15" s="284">
        <v>782.83999999999992</v>
      </c>
      <c r="Y15" s="284">
        <v>839.30000000000007</v>
      </c>
      <c r="Z15" s="284">
        <v>860.26</v>
      </c>
      <c r="AA15" s="284">
        <v>829.46</v>
      </c>
      <c r="AB15" s="284">
        <v>804.38000000000011</v>
      </c>
      <c r="AC15" s="284">
        <v>417.6</v>
      </c>
      <c r="AD15" s="285">
        <v>12165.090000000002</v>
      </c>
      <c r="AE15" s="291">
        <v>0</v>
      </c>
      <c r="AF15" s="284">
        <v>5322.1199999999981</v>
      </c>
      <c r="AG15" s="284">
        <v>1079.5500000000002</v>
      </c>
      <c r="AH15" s="284">
        <v>962.55</v>
      </c>
      <c r="AI15" s="284">
        <v>0</v>
      </c>
      <c r="AJ15" s="284">
        <v>1001.9200000000002</v>
      </c>
      <c r="AK15" s="284">
        <v>6.3</v>
      </c>
      <c r="AL15" s="284">
        <v>648.56999999999994</v>
      </c>
      <c r="AM15" s="284">
        <v>539.76</v>
      </c>
      <c r="AN15" s="284">
        <v>270.79000000000002</v>
      </c>
      <c r="AO15" s="284">
        <v>9.84</v>
      </c>
      <c r="AP15" s="284">
        <v>923.1</v>
      </c>
      <c r="AQ15" s="284">
        <v>3379.05</v>
      </c>
      <c r="AR15" s="284">
        <v>1308.0900000000001</v>
      </c>
      <c r="AS15" s="285">
        <v>10129.52</v>
      </c>
      <c r="AT15" s="291">
        <v>0</v>
      </c>
      <c r="AU15" s="284">
        <v>5322.1199999999981</v>
      </c>
      <c r="AV15" s="284">
        <v>866.5</v>
      </c>
      <c r="AW15" s="284">
        <v>345.07</v>
      </c>
      <c r="AX15" s="284">
        <v>1151.2600000000002</v>
      </c>
      <c r="AY15" s="284">
        <v>1491.6000000000001</v>
      </c>
      <c r="AZ15" s="284">
        <v>887.56</v>
      </c>
      <c r="BA15" s="284">
        <v>1272.72</v>
      </c>
      <c r="BB15" s="284">
        <v>1331.84</v>
      </c>
      <c r="BC15" s="284">
        <v>620.05999999999995</v>
      </c>
      <c r="BD15" s="284">
        <v>990.31999999999994</v>
      </c>
      <c r="BE15" s="284">
        <v>677.07</v>
      </c>
      <c r="BF15" s="284">
        <v>970.17000000000007</v>
      </c>
      <c r="BG15" s="284">
        <v>2004.7400000000005</v>
      </c>
      <c r="BH15" s="285">
        <v>12608.91</v>
      </c>
      <c r="BI15" s="291">
        <v>0</v>
      </c>
      <c r="BJ15" s="284">
        <v>5322.1199999999981</v>
      </c>
      <c r="BK15" s="284">
        <v>1481.72</v>
      </c>
      <c r="BL15" s="284">
        <v>1201.78</v>
      </c>
      <c r="BM15" s="284">
        <v>1258.97</v>
      </c>
      <c r="BN15" s="284">
        <v>2461.88</v>
      </c>
      <c r="BO15" s="284">
        <v>3225.45</v>
      </c>
      <c r="BP15" s="284">
        <v>2634.73</v>
      </c>
      <c r="BQ15" s="284">
        <v>1631</v>
      </c>
      <c r="BR15" s="284">
        <v>1749</v>
      </c>
      <c r="BS15" s="284">
        <v>511</v>
      </c>
      <c r="BT15" s="284">
        <v>3023.7799999999997</v>
      </c>
      <c r="BU15" s="284">
        <v>4043.09</v>
      </c>
      <c r="BV15" s="284">
        <v>1686.4899999999998</v>
      </c>
      <c r="BW15" s="285">
        <v>24908.89</v>
      </c>
      <c r="BX15" s="291">
        <v>0</v>
      </c>
      <c r="BY15" s="284">
        <v>5322.1199999999981</v>
      </c>
      <c r="BZ15" s="284">
        <v>1532.98</v>
      </c>
      <c r="CA15" s="284">
        <v>2</v>
      </c>
      <c r="CB15" s="284">
        <v>0</v>
      </c>
      <c r="CC15" s="284">
        <v>0</v>
      </c>
      <c r="CD15" s="284">
        <v>0</v>
      </c>
      <c r="CE15" s="284">
        <v>0</v>
      </c>
      <c r="CF15" s="284">
        <v>0</v>
      </c>
      <c r="CG15" s="284">
        <v>0</v>
      </c>
      <c r="CH15" s="284">
        <v>0</v>
      </c>
      <c r="CI15" s="284">
        <v>0</v>
      </c>
      <c r="CJ15" s="284">
        <v>0</v>
      </c>
      <c r="CK15" s="284">
        <v>0</v>
      </c>
      <c r="CL15" s="285">
        <v>1534.98</v>
      </c>
      <c r="CM15" s="291">
        <v>0</v>
      </c>
      <c r="CN15" s="284">
        <v>5322.1199999999981</v>
      </c>
      <c r="CO15" s="284">
        <v>0</v>
      </c>
      <c r="CP15" s="284">
        <v>0</v>
      </c>
      <c r="CQ15" s="284">
        <v>0</v>
      </c>
      <c r="CR15" s="284">
        <v>0</v>
      </c>
      <c r="CS15" s="284">
        <v>0</v>
      </c>
      <c r="CT15" s="284">
        <v>0</v>
      </c>
      <c r="CU15" s="284">
        <v>0</v>
      </c>
      <c r="CV15" s="284">
        <v>0</v>
      </c>
      <c r="CW15" s="284">
        <v>0</v>
      </c>
      <c r="CX15" s="284">
        <v>0</v>
      </c>
      <c r="CY15" s="284">
        <v>0</v>
      </c>
      <c r="CZ15" s="284">
        <v>0</v>
      </c>
      <c r="DA15" s="285">
        <v>0</v>
      </c>
      <c r="DB15" s="291">
        <v>0</v>
      </c>
      <c r="DC15" s="284">
        <v>0</v>
      </c>
      <c r="DD15" s="284">
        <v>43.06</v>
      </c>
      <c r="DE15" s="284">
        <v>0</v>
      </c>
      <c r="DF15" s="284">
        <v>0</v>
      </c>
      <c r="DG15" s="284">
        <v>0</v>
      </c>
      <c r="DH15" s="284">
        <v>260.18</v>
      </c>
      <c r="DI15" s="284">
        <v>251.46</v>
      </c>
      <c r="DJ15" s="284">
        <v>245.28</v>
      </c>
      <c r="DK15" s="284">
        <v>140.69999999999999</v>
      </c>
      <c r="DL15" s="284">
        <v>153</v>
      </c>
      <c r="DM15" s="284">
        <v>153</v>
      </c>
      <c r="DN15" s="284">
        <v>153</v>
      </c>
      <c r="DO15" s="284">
        <v>153</v>
      </c>
      <c r="DP15" s="285">
        <v>1552.68</v>
      </c>
      <c r="DQ15" s="291">
        <v>0</v>
      </c>
      <c r="DR15" s="284">
        <v>5322.1199999999981</v>
      </c>
      <c r="DS15" s="284">
        <v>572.9</v>
      </c>
      <c r="DT15" s="284">
        <v>572.9</v>
      </c>
      <c r="DU15" s="284">
        <v>572.9</v>
      </c>
      <c r="DV15" s="284">
        <v>572.9</v>
      </c>
      <c r="DW15" s="284">
        <v>572.9</v>
      </c>
      <c r="DX15" s="284">
        <v>572.9</v>
      </c>
      <c r="DY15" s="284">
        <v>572.9</v>
      </c>
      <c r="DZ15" s="284">
        <v>572.9</v>
      </c>
      <c r="EA15" s="284">
        <v>572.9</v>
      </c>
      <c r="EB15" s="284">
        <v>572.9</v>
      </c>
      <c r="EC15" s="284">
        <v>572.9</v>
      </c>
      <c r="ED15" s="284">
        <v>572.9</v>
      </c>
      <c r="EE15" s="285">
        <v>6874.7999999999984</v>
      </c>
      <c r="EF15" s="291">
        <v>0</v>
      </c>
      <c r="EG15" s="311">
        <v>5322.1199999999981</v>
      </c>
    </row>
    <row r="16" spans="1:153">
      <c r="B16" s="288" t="s">
        <v>32</v>
      </c>
      <c r="C16" s="284">
        <v>0</v>
      </c>
      <c r="D16" s="284">
        <v>0</v>
      </c>
      <c r="E16" s="284">
        <v>0</v>
      </c>
      <c r="F16" s="284">
        <v>0</v>
      </c>
      <c r="G16" s="284">
        <v>0</v>
      </c>
      <c r="H16" s="284">
        <v>0</v>
      </c>
      <c r="I16" s="284">
        <v>0</v>
      </c>
      <c r="J16" s="284">
        <v>0</v>
      </c>
      <c r="K16" s="284">
        <v>0</v>
      </c>
      <c r="L16" s="284">
        <v>0</v>
      </c>
      <c r="M16" s="284">
        <v>0</v>
      </c>
      <c r="N16" s="284">
        <v>0</v>
      </c>
      <c r="O16" s="285">
        <v>0</v>
      </c>
      <c r="P16" s="291">
        <v>0</v>
      </c>
      <c r="Q16" s="284">
        <v>0</v>
      </c>
      <c r="R16" s="284">
        <v>0</v>
      </c>
      <c r="S16" s="284">
        <v>0</v>
      </c>
      <c r="T16" s="284">
        <v>0</v>
      </c>
      <c r="U16" s="284">
        <v>0</v>
      </c>
      <c r="V16" s="284">
        <v>0</v>
      </c>
      <c r="W16" s="284">
        <v>0</v>
      </c>
      <c r="X16" s="284">
        <v>0</v>
      </c>
      <c r="Y16" s="284">
        <v>0</v>
      </c>
      <c r="Z16" s="284">
        <v>0</v>
      </c>
      <c r="AA16" s="284">
        <v>0</v>
      </c>
      <c r="AB16" s="284">
        <v>0</v>
      </c>
      <c r="AC16" s="284">
        <v>0</v>
      </c>
      <c r="AD16" s="285">
        <v>0</v>
      </c>
      <c r="AE16" s="291">
        <v>0</v>
      </c>
      <c r="AF16" s="284">
        <v>0</v>
      </c>
      <c r="AG16" s="284">
        <v>0</v>
      </c>
      <c r="AH16" s="284">
        <v>0</v>
      </c>
      <c r="AI16" s="284">
        <v>0</v>
      </c>
      <c r="AJ16" s="284">
        <v>0</v>
      </c>
      <c r="AK16" s="284">
        <v>0</v>
      </c>
      <c r="AL16" s="284">
        <v>0</v>
      </c>
      <c r="AM16" s="284">
        <v>0</v>
      </c>
      <c r="AN16" s="284">
        <v>0</v>
      </c>
      <c r="AO16" s="284">
        <v>0</v>
      </c>
      <c r="AP16" s="284">
        <v>0</v>
      </c>
      <c r="AQ16" s="284">
        <v>0</v>
      </c>
      <c r="AR16" s="284">
        <v>0</v>
      </c>
      <c r="AS16" s="285">
        <v>0</v>
      </c>
      <c r="AT16" s="291">
        <v>0</v>
      </c>
      <c r="AU16" s="284">
        <v>0</v>
      </c>
      <c r="AV16" s="284">
        <v>0</v>
      </c>
      <c r="AW16" s="284">
        <v>0</v>
      </c>
      <c r="AX16" s="284">
        <v>0</v>
      </c>
      <c r="AY16" s="284">
        <v>0</v>
      </c>
      <c r="AZ16" s="284">
        <v>0</v>
      </c>
      <c r="BA16" s="284">
        <v>0</v>
      </c>
      <c r="BB16" s="284">
        <v>0</v>
      </c>
      <c r="BC16" s="284">
        <v>0</v>
      </c>
      <c r="BD16" s="284">
        <v>224.49</v>
      </c>
      <c r="BE16" s="284">
        <v>0</v>
      </c>
      <c r="BF16" s="284">
        <v>0</v>
      </c>
      <c r="BG16" s="284">
        <v>0</v>
      </c>
      <c r="BH16" s="285">
        <v>224.49</v>
      </c>
      <c r="BI16" s="291">
        <v>0</v>
      </c>
      <c r="BJ16" s="284">
        <v>0</v>
      </c>
      <c r="BK16" s="284">
        <v>0</v>
      </c>
      <c r="BL16" s="284">
        <v>0</v>
      </c>
      <c r="BM16" s="284">
        <v>0</v>
      </c>
      <c r="BN16" s="284">
        <v>0</v>
      </c>
      <c r="BO16" s="284">
        <v>0</v>
      </c>
      <c r="BP16" s="284">
        <v>0</v>
      </c>
      <c r="BQ16" s="284">
        <v>0</v>
      </c>
      <c r="BR16" s="284">
        <v>0</v>
      </c>
      <c r="BS16" s="284">
        <v>0</v>
      </c>
      <c r="BT16" s="284">
        <v>0</v>
      </c>
      <c r="BU16" s="284">
        <v>0</v>
      </c>
      <c r="BV16" s="284">
        <v>0</v>
      </c>
      <c r="BW16" s="285">
        <v>0</v>
      </c>
      <c r="BX16" s="291">
        <v>0</v>
      </c>
      <c r="BY16" s="284">
        <v>0</v>
      </c>
      <c r="BZ16" s="284">
        <v>0</v>
      </c>
      <c r="CA16" s="284">
        <v>0</v>
      </c>
      <c r="CB16" s="284">
        <v>0</v>
      </c>
      <c r="CC16" s="284">
        <v>0</v>
      </c>
      <c r="CD16" s="284">
        <v>0</v>
      </c>
      <c r="CE16" s="284">
        <v>0</v>
      </c>
      <c r="CF16" s="284">
        <v>0</v>
      </c>
      <c r="CG16" s="284">
        <v>0</v>
      </c>
      <c r="CH16" s="284">
        <v>0</v>
      </c>
      <c r="CI16" s="284">
        <v>0</v>
      </c>
      <c r="CJ16" s="284">
        <v>0</v>
      </c>
      <c r="CK16" s="284">
        <v>0</v>
      </c>
      <c r="CL16" s="285">
        <v>0</v>
      </c>
      <c r="CM16" s="291">
        <v>0</v>
      </c>
      <c r="CN16" s="284">
        <v>0</v>
      </c>
      <c r="CO16" s="284">
        <v>0</v>
      </c>
      <c r="CP16" s="284">
        <v>0</v>
      </c>
      <c r="CQ16" s="284">
        <v>0</v>
      </c>
      <c r="CR16" s="284">
        <v>0</v>
      </c>
      <c r="CS16" s="284">
        <v>0</v>
      </c>
      <c r="CT16" s="284">
        <v>0</v>
      </c>
      <c r="CU16" s="284">
        <v>0</v>
      </c>
      <c r="CV16" s="284">
        <v>0</v>
      </c>
      <c r="CW16" s="284">
        <v>0</v>
      </c>
      <c r="CX16" s="284">
        <v>4067.9999999999995</v>
      </c>
      <c r="CY16" s="284">
        <v>0</v>
      </c>
      <c r="CZ16" s="284">
        <v>0</v>
      </c>
      <c r="DA16" s="285">
        <v>4067.9999999999995</v>
      </c>
      <c r="DB16" s="291">
        <v>0</v>
      </c>
      <c r="DC16" s="284">
        <v>0</v>
      </c>
      <c r="DD16" s="284">
        <v>0</v>
      </c>
      <c r="DE16" s="284">
        <v>0</v>
      </c>
      <c r="DF16" s="284">
        <v>0</v>
      </c>
      <c r="DG16" s="284">
        <v>0</v>
      </c>
      <c r="DH16" s="284">
        <v>0</v>
      </c>
      <c r="DI16" s="284">
        <v>0</v>
      </c>
      <c r="DJ16" s="284">
        <v>0</v>
      </c>
      <c r="DK16" s="284">
        <v>0</v>
      </c>
      <c r="DL16" s="284">
        <v>0</v>
      </c>
      <c r="DM16" s="284">
        <v>0</v>
      </c>
      <c r="DN16" s="284">
        <v>0</v>
      </c>
      <c r="DO16" s="284">
        <v>0</v>
      </c>
      <c r="DP16" s="285">
        <v>0</v>
      </c>
      <c r="DQ16" s="291">
        <v>0</v>
      </c>
      <c r="DR16" s="284">
        <v>0</v>
      </c>
      <c r="DS16" s="284">
        <v>0</v>
      </c>
      <c r="DT16" s="284">
        <v>0</v>
      </c>
      <c r="DU16" s="284">
        <v>0</v>
      </c>
      <c r="DV16" s="284">
        <v>0</v>
      </c>
      <c r="DW16" s="284">
        <v>0</v>
      </c>
      <c r="DX16" s="284">
        <v>0</v>
      </c>
      <c r="DY16" s="284">
        <v>0</v>
      </c>
      <c r="DZ16" s="284">
        <v>0</v>
      </c>
      <c r="EA16" s="284">
        <v>0</v>
      </c>
      <c r="EB16" s="284">
        <v>0</v>
      </c>
      <c r="EC16" s="284">
        <v>0</v>
      </c>
      <c r="ED16" s="284">
        <v>0</v>
      </c>
      <c r="EE16" s="285">
        <v>0</v>
      </c>
      <c r="EF16" s="291">
        <v>0</v>
      </c>
      <c r="EG16" s="311">
        <v>0</v>
      </c>
    </row>
    <row r="17" spans="2:137">
      <c r="B17" s="288" t="s">
        <v>21</v>
      </c>
      <c r="C17" s="284">
        <v>0</v>
      </c>
      <c r="D17" s="284">
        <v>0</v>
      </c>
      <c r="E17" s="284">
        <v>0</v>
      </c>
      <c r="F17" s="284">
        <v>670</v>
      </c>
      <c r="G17" s="284">
        <v>0</v>
      </c>
      <c r="H17" s="284">
        <v>0</v>
      </c>
      <c r="I17" s="284">
        <v>0</v>
      </c>
      <c r="J17" s="284">
        <v>0</v>
      </c>
      <c r="K17" s="284">
        <v>0</v>
      </c>
      <c r="L17" s="284">
        <v>0</v>
      </c>
      <c r="M17" s="284">
        <v>0</v>
      </c>
      <c r="N17" s="284">
        <v>0</v>
      </c>
      <c r="O17" s="285">
        <v>670</v>
      </c>
      <c r="P17" s="291">
        <v>0</v>
      </c>
      <c r="Q17" s="284">
        <v>-2972.78</v>
      </c>
      <c r="R17" s="284">
        <v>0</v>
      </c>
      <c r="S17" s="284">
        <v>86.9</v>
      </c>
      <c r="T17" s="284">
        <v>0</v>
      </c>
      <c r="U17" s="284">
        <v>0</v>
      </c>
      <c r="V17" s="284">
        <v>0</v>
      </c>
      <c r="W17" s="284">
        <v>0</v>
      </c>
      <c r="X17" s="284">
        <v>0</v>
      </c>
      <c r="Y17" s="284">
        <v>0</v>
      </c>
      <c r="Z17" s="284">
        <v>0</v>
      </c>
      <c r="AA17" s="284">
        <v>0</v>
      </c>
      <c r="AB17" s="284">
        <v>0</v>
      </c>
      <c r="AC17" s="284">
        <v>0</v>
      </c>
      <c r="AD17" s="285">
        <v>86.9</v>
      </c>
      <c r="AE17" s="291">
        <v>0</v>
      </c>
      <c r="AF17" s="284">
        <v>-2972.78</v>
      </c>
      <c r="AG17" s="284">
        <v>0</v>
      </c>
      <c r="AH17" s="284">
        <v>0</v>
      </c>
      <c r="AI17" s="284">
        <v>0</v>
      </c>
      <c r="AJ17" s="284">
        <v>0</v>
      </c>
      <c r="AK17" s="284">
        <v>0</v>
      </c>
      <c r="AL17" s="284">
        <v>0</v>
      </c>
      <c r="AM17" s="284">
        <v>0</v>
      </c>
      <c r="AN17" s="284">
        <v>0</v>
      </c>
      <c r="AO17" s="284">
        <v>0</v>
      </c>
      <c r="AP17" s="284">
        <v>0</v>
      </c>
      <c r="AQ17" s="284">
        <v>0</v>
      </c>
      <c r="AR17" s="284">
        <v>0</v>
      </c>
      <c r="AS17" s="285">
        <v>0</v>
      </c>
      <c r="AT17" s="291">
        <v>0</v>
      </c>
      <c r="AU17" s="284">
        <v>0</v>
      </c>
      <c r="AV17" s="284">
        <v>0</v>
      </c>
      <c r="AW17" s="284">
        <v>0</v>
      </c>
      <c r="AX17" s="284">
        <v>0</v>
      </c>
      <c r="AY17" s="284">
        <v>0</v>
      </c>
      <c r="AZ17" s="284">
        <v>0</v>
      </c>
      <c r="BA17" s="284">
        <v>0</v>
      </c>
      <c r="BB17" s="284">
        <v>0</v>
      </c>
      <c r="BC17" s="284">
        <v>0</v>
      </c>
      <c r="BD17" s="284">
        <v>0</v>
      </c>
      <c r="BE17" s="284">
        <v>0</v>
      </c>
      <c r="BF17" s="284">
        <v>461.8</v>
      </c>
      <c r="BG17" s="284">
        <v>0</v>
      </c>
      <c r="BH17" s="285">
        <v>461.8</v>
      </c>
      <c r="BI17" s="291">
        <v>0</v>
      </c>
      <c r="BJ17" s="284">
        <v>-2972.78</v>
      </c>
      <c r="BK17" s="284">
        <v>0</v>
      </c>
      <c r="BL17" s="284">
        <v>0</v>
      </c>
      <c r="BM17" s="284">
        <v>0</v>
      </c>
      <c r="BN17" s="284">
        <v>0</v>
      </c>
      <c r="BO17" s="284">
        <v>0</v>
      </c>
      <c r="BP17" s="284">
        <v>0</v>
      </c>
      <c r="BQ17" s="284">
        <v>0</v>
      </c>
      <c r="BR17" s="284">
        <v>0</v>
      </c>
      <c r="BS17" s="284">
        <v>0</v>
      </c>
      <c r="BT17" s="284">
        <v>0</v>
      </c>
      <c r="BU17" s="284">
        <v>0</v>
      </c>
      <c r="BV17" s="284">
        <v>0</v>
      </c>
      <c r="BW17" s="285">
        <v>0</v>
      </c>
      <c r="BX17" s="291">
        <v>0</v>
      </c>
      <c r="BY17" s="284">
        <v>0</v>
      </c>
      <c r="BZ17" s="284">
        <v>0</v>
      </c>
      <c r="CA17" s="284">
        <v>0</v>
      </c>
      <c r="CB17" s="284">
        <v>306.25</v>
      </c>
      <c r="CC17" s="284">
        <v>0</v>
      </c>
      <c r="CD17" s="284">
        <v>0</v>
      </c>
      <c r="CE17" s="284">
        <v>0</v>
      </c>
      <c r="CF17" s="284">
        <v>0</v>
      </c>
      <c r="CG17" s="284">
        <v>0</v>
      </c>
      <c r="CH17" s="284">
        <v>0</v>
      </c>
      <c r="CI17" s="284">
        <v>0</v>
      </c>
      <c r="CJ17" s="284">
        <v>38.979999999999997</v>
      </c>
      <c r="CK17" s="284">
        <v>308.88</v>
      </c>
      <c r="CL17" s="285">
        <v>654.11</v>
      </c>
      <c r="CM17" s="291">
        <v>0</v>
      </c>
      <c r="CN17" s="284">
        <v>-2972.78</v>
      </c>
      <c r="CO17" s="284">
        <v>99.39</v>
      </c>
      <c r="CP17" s="284">
        <v>0</v>
      </c>
      <c r="CQ17" s="284">
        <v>0</v>
      </c>
      <c r="CR17" s="284">
        <v>0</v>
      </c>
      <c r="CS17" s="284">
        <v>0</v>
      </c>
      <c r="CT17" s="284">
        <v>191.23</v>
      </c>
      <c r="CU17" s="284">
        <v>0</v>
      </c>
      <c r="CV17" s="284">
        <v>0</v>
      </c>
      <c r="CW17" s="284">
        <v>299.39999999999998</v>
      </c>
      <c r="CX17" s="284">
        <v>513</v>
      </c>
      <c r="CY17" s="284">
        <v>461.11</v>
      </c>
      <c r="CZ17" s="284">
        <v>0</v>
      </c>
      <c r="DA17" s="285">
        <v>1564.13</v>
      </c>
      <c r="DB17" s="291">
        <v>0</v>
      </c>
      <c r="DC17" s="284">
        <v>-2972.78</v>
      </c>
      <c r="DD17" s="284">
        <v>0</v>
      </c>
      <c r="DE17" s="284">
        <v>0</v>
      </c>
      <c r="DF17" s="284">
        <v>0</v>
      </c>
      <c r="DG17" s="284">
        <v>1121.73</v>
      </c>
      <c r="DH17" s="284">
        <v>651.17999999999995</v>
      </c>
      <c r="DI17" s="284">
        <v>0</v>
      </c>
      <c r="DJ17" s="284">
        <v>650.54999999999995</v>
      </c>
      <c r="DK17" s="284">
        <v>291.32</v>
      </c>
      <c r="DL17" s="284">
        <v>0</v>
      </c>
      <c r="DM17" s="284">
        <v>258</v>
      </c>
      <c r="DN17" s="284">
        <v>0</v>
      </c>
      <c r="DO17" s="284">
        <v>0</v>
      </c>
      <c r="DP17" s="285">
        <v>2972.78</v>
      </c>
      <c r="DQ17" s="291">
        <v>0</v>
      </c>
      <c r="DR17" s="284">
        <v>-2972.78</v>
      </c>
      <c r="DS17" s="284">
        <v>0</v>
      </c>
      <c r="DT17" s="284">
        <v>0</v>
      </c>
      <c r="DU17" s="284">
        <v>0</v>
      </c>
      <c r="DV17" s="284">
        <v>0</v>
      </c>
      <c r="DW17" s="284">
        <v>0</v>
      </c>
      <c r="DX17" s="284">
        <v>0</v>
      </c>
      <c r="DY17" s="284">
        <v>0</v>
      </c>
      <c r="DZ17" s="284">
        <v>0</v>
      </c>
      <c r="EA17" s="284">
        <v>0</v>
      </c>
      <c r="EB17" s="284">
        <v>0</v>
      </c>
      <c r="EC17" s="284">
        <v>0</v>
      </c>
      <c r="ED17" s="284">
        <v>0</v>
      </c>
      <c r="EE17" s="285">
        <v>0</v>
      </c>
      <c r="EF17" s="291">
        <v>0</v>
      </c>
      <c r="EG17" s="311">
        <v>-2972.78</v>
      </c>
    </row>
    <row r="18" spans="2:137">
      <c r="B18" s="288" t="s">
        <v>27</v>
      </c>
      <c r="C18" s="284">
        <v>0</v>
      </c>
      <c r="D18" s="284">
        <v>0</v>
      </c>
      <c r="E18" s="284">
        <v>0</v>
      </c>
      <c r="F18" s="284">
        <v>0</v>
      </c>
      <c r="G18" s="284">
        <v>0</v>
      </c>
      <c r="H18" s="284">
        <v>0</v>
      </c>
      <c r="I18" s="284">
        <v>0</v>
      </c>
      <c r="J18" s="284">
        <v>0</v>
      </c>
      <c r="K18" s="284">
        <v>260.87</v>
      </c>
      <c r="L18" s="284">
        <v>0</v>
      </c>
      <c r="M18" s="284">
        <v>0</v>
      </c>
      <c r="N18" s="284">
        <v>0</v>
      </c>
      <c r="O18" s="285">
        <v>260.87</v>
      </c>
      <c r="P18" s="291">
        <v>0</v>
      </c>
      <c r="Q18" s="284">
        <v>0</v>
      </c>
      <c r="R18" s="284">
        <v>0</v>
      </c>
      <c r="S18" s="284">
        <v>0</v>
      </c>
      <c r="T18" s="284">
        <v>0</v>
      </c>
      <c r="U18" s="284">
        <v>0</v>
      </c>
      <c r="V18" s="284">
        <v>0</v>
      </c>
      <c r="W18" s="284">
        <v>0</v>
      </c>
      <c r="X18" s="284">
        <v>0</v>
      </c>
      <c r="Y18" s="284">
        <v>0</v>
      </c>
      <c r="Z18" s="284">
        <v>0</v>
      </c>
      <c r="AA18" s="284">
        <v>0</v>
      </c>
      <c r="AB18" s="284">
        <v>0</v>
      </c>
      <c r="AC18" s="284">
        <v>0</v>
      </c>
      <c r="AD18" s="285">
        <v>0</v>
      </c>
      <c r="AE18" s="291">
        <v>0</v>
      </c>
      <c r="AF18" s="284">
        <v>0</v>
      </c>
      <c r="AG18" s="284">
        <v>0</v>
      </c>
      <c r="AH18" s="284">
        <v>0</v>
      </c>
      <c r="AI18" s="284">
        <v>665</v>
      </c>
      <c r="AJ18" s="284">
        <v>0</v>
      </c>
      <c r="AK18" s="284">
        <v>0</v>
      </c>
      <c r="AL18" s="284">
        <v>0</v>
      </c>
      <c r="AM18" s="284">
        <v>0</v>
      </c>
      <c r="AN18" s="284">
        <v>0</v>
      </c>
      <c r="AO18" s="284">
        <v>0</v>
      </c>
      <c r="AP18" s="284">
        <v>0</v>
      </c>
      <c r="AQ18" s="284">
        <v>0</v>
      </c>
      <c r="AR18" s="284">
        <v>0</v>
      </c>
      <c r="AS18" s="285">
        <v>665</v>
      </c>
      <c r="AT18" s="291">
        <v>0</v>
      </c>
      <c r="AU18" s="284">
        <v>0</v>
      </c>
      <c r="AV18" s="284">
        <v>0</v>
      </c>
      <c r="AW18" s="284">
        <v>0</v>
      </c>
      <c r="AX18" s="284">
        <v>0</v>
      </c>
      <c r="AY18" s="284">
        <v>0</v>
      </c>
      <c r="AZ18" s="284">
        <v>0</v>
      </c>
      <c r="BA18" s="284">
        <v>0</v>
      </c>
      <c r="BB18" s="284">
        <v>0</v>
      </c>
      <c r="BC18" s="284">
        <v>0</v>
      </c>
      <c r="BD18" s="284">
        <v>0</v>
      </c>
      <c r="BE18" s="284">
        <v>0</v>
      </c>
      <c r="BF18" s="284">
        <v>0</v>
      </c>
      <c r="BG18" s="284">
        <v>0</v>
      </c>
      <c r="BH18" s="285">
        <v>0</v>
      </c>
      <c r="BI18" s="291">
        <v>0</v>
      </c>
      <c r="BJ18" s="284">
        <v>0</v>
      </c>
      <c r="BK18" s="284">
        <v>0</v>
      </c>
      <c r="BL18" s="284">
        <v>0</v>
      </c>
      <c r="BM18" s="284">
        <v>0</v>
      </c>
      <c r="BN18" s="284">
        <v>0</v>
      </c>
      <c r="BO18" s="284">
        <v>0</v>
      </c>
      <c r="BP18" s="284">
        <v>0</v>
      </c>
      <c r="BQ18" s="284">
        <v>0</v>
      </c>
      <c r="BR18" s="284">
        <v>0</v>
      </c>
      <c r="BS18" s="284">
        <v>0</v>
      </c>
      <c r="BT18" s="284">
        <v>0</v>
      </c>
      <c r="BU18" s="284">
        <v>0</v>
      </c>
      <c r="BV18" s="284">
        <v>0</v>
      </c>
      <c r="BW18" s="285">
        <v>0</v>
      </c>
      <c r="BX18" s="291">
        <v>0</v>
      </c>
      <c r="BY18" s="284">
        <v>0</v>
      </c>
      <c r="BZ18" s="284">
        <v>0</v>
      </c>
      <c r="CA18" s="284">
        <v>0</v>
      </c>
      <c r="CB18" s="284">
        <v>0</v>
      </c>
      <c r="CC18" s="284">
        <v>0</v>
      </c>
      <c r="CD18" s="284">
        <v>0</v>
      </c>
      <c r="CE18" s="284">
        <v>0</v>
      </c>
      <c r="CF18" s="284">
        <v>0</v>
      </c>
      <c r="CG18" s="284">
        <v>0</v>
      </c>
      <c r="CH18" s="284">
        <v>0</v>
      </c>
      <c r="CI18" s="284">
        <v>0</v>
      </c>
      <c r="CJ18" s="284">
        <v>0</v>
      </c>
      <c r="CK18" s="284">
        <v>0</v>
      </c>
      <c r="CL18" s="285">
        <v>0</v>
      </c>
      <c r="CM18" s="291">
        <v>0</v>
      </c>
      <c r="CN18" s="284">
        <v>0</v>
      </c>
      <c r="CO18" s="284">
        <v>0</v>
      </c>
      <c r="CP18" s="284">
        <v>0</v>
      </c>
      <c r="CQ18" s="284">
        <v>0</v>
      </c>
      <c r="CR18" s="284">
        <v>0</v>
      </c>
      <c r="CS18" s="284">
        <v>0</v>
      </c>
      <c r="CT18" s="284">
        <v>0</v>
      </c>
      <c r="CU18" s="284">
        <v>0</v>
      </c>
      <c r="CV18" s="284">
        <v>0</v>
      </c>
      <c r="CW18" s="284">
        <v>0</v>
      </c>
      <c r="CX18" s="284">
        <v>0</v>
      </c>
      <c r="CY18" s="284">
        <v>0</v>
      </c>
      <c r="CZ18" s="284">
        <v>0</v>
      </c>
      <c r="DA18" s="285">
        <v>0</v>
      </c>
      <c r="DB18" s="291">
        <v>0</v>
      </c>
      <c r="DC18" s="284">
        <v>0</v>
      </c>
      <c r="DD18" s="284">
        <v>0</v>
      </c>
      <c r="DE18" s="284">
        <v>0</v>
      </c>
      <c r="DF18" s="284">
        <v>0</v>
      </c>
      <c r="DG18" s="284">
        <v>0</v>
      </c>
      <c r="DH18" s="284">
        <v>0</v>
      </c>
      <c r="DI18" s="284">
        <v>0</v>
      </c>
      <c r="DJ18" s="284">
        <v>0</v>
      </c>
      <c r="DK18" s="284">
        <v>0</v>
      </c>
      <c r="DL18" s="284">
        <v>0</v>
      </c>
      <c r="DM18" s="284">
        <v>0</v>
      </c>
      <c r="DN18" s="284">
        <v>0</v>
      </c>
      <c r="DO18" s="284">
        <v>0</v>
      </c>
      <c r="DP18" s="285">
        <v>0</v>
      </c>
      <c r="DQ18" s="291">
        <v>0</v>
      </c>
      <c r="DR18" s="284">
        <v>0</v>
      </c>
      <c r="DS18" s="284">
        <v>0</v>
      </c>
      <c r="DT18" s="284">
        <v>0</v>
      </c>
      <c r="DU18" s="284">
        <v>0</v>
      </c>
      <c r="DV18" s="284">
        <v>0</v>
      </c>
      <c r="DW18" s="284">
        <v>0</v>
      </c>
      <c r="DX18" s="284">
        <v>0</v>
      </c>
      <c r="DY18" s="284">
        <v>0</v>
      </c>
      <c r="DZ18" s="284">
        <v>0</v>
      </c>
      <c r="EA18" s="284">
        <v>0</v>
      </c>
      <c r="EB18" s="284">
        <v>0</v>
      </c>
      <c r="EC18" s="284">
        <v>0</v>
      </c>
      <c r="ED18" s="284">
        <v>0</v>
      </c>
      <c r="EE18" s="285">
        <v>0</v>
      </c>
      <c r="EF18" s="291">
        <v>0</v>
      </c>
      <c r="EG18" s="311">
        <v>0</v>
      </c>
    </row>
    <row r="19" spans="2:137">
      <c r="B19" s="288" t="s">
        <v>26</v>
      </c>
      <c r="C19" s="284">
        <v>0</v>
      </c>
      <c r="D19" s="284">
        <v>0</v>
      </c>
      <c r="E19" s="284">
        <v>0</v>
      </c>
      <c r="F19" s="284">
        <v>0</v>
      </c>
      <c r="G19" s="284">
        <v>0</v>
      </c>
      <c r="H19" s="284">
        <v>0</v>
      </c>
      <c r="I19" s="284">
        <v>0</v>
      </c>
      <c r="J19" s="284">
        <v>0</v>
      </c>
      <c r="K19" s="284">
        <v>0</v>
      </c>
      <c r="L19" s="284">
        <v>0</v>
      </c>
      <c r="M19" s="284">
        <v>0</v>
      </c>
      <c r="N19" s="284">
        <v>0</v>
      </c>
      <c r="O19" s="285">
        <v>0</v>
      </c>
      <c r="P19" s="291">
        <v>0</v>
      </c>
      <c r="Q19" s="284">
        <v>0</v>
      </c>
      <c r="R19" s="284">
        <v>0</v>
      </c>
      <c r="S19" s="284">
        <v>0</v>
      </c>
      <c r="T19" s="284">
        <v>0</v>
      </c>
      <c r="U19" s="284">
        <v>0</v>
      </c>
      <c r="V19" s="284">
        <v>0</v>
      </c>
      <c r="W19" s="284">
        <v>0</v>
      </c>
      <c r="X19" s="284">
        <v>0</v>
      </c>
      <c r="Y19" s="284">
        <v>0</v>
      </c>
      <c r="Z19" s="284">
        <v>0</v>
      </c>
      <c r="AA19" s="284">
        <v>0</v>
      </c>
      <c r="AB19" s="284">
        <v>0</v>
      </c>
      <c r="AC19" s="284">
        <v>0</v>
      </c>
      <c r="AD19" s="285">
        <v>0</v>
      </c>
      <c r="AE19" s="291">
        <v>0</v>
      </c>
      <c r="AF19" s="284">
        <v>0</v>
      </c>
      <c r="AG19" s="284">
        <v>0</v>
      </c>
      <c r="AH19" s="284">
        <v>0</v>
      </c>
      <c r="AI19" s="284">
        <v>0</v>
      </c>
      <c r="AJ19" s="284">
        <v>0</v>
      </c>
      <c r="AK19" s="284">
        <v>0</v>
      </c>
      <c r="AL19" s="284">
        <v>0</v>
      </c>
      <c r="AM19" s="284">
        <v>0</v>
      </c>
      <c r="AN19" s="284">
        <v>0</v>
      </c>
      <c r="AO19" s="284">
        <v>0</v>
      </c>
      <c r="AP19" s="284">
        <v>0</v>
      </c>
      <c r="AQ19" s="284">
        <v>0</v>
      </c>
      <c r="AR19" s="284">
        <v>0</v>
      </c>
      <c r="AS19" s="285">
        <v>0</v>
      </c>
      <c r="AT19" s="291">
        <v>0</v>
      </c>
      <c r="AU19" s="284">
        <v>0</v>
      </c>
      <c r="AV19" s="284">
        <v>0</v>
      </c>
      <c r="AW19" s="284">
        <v>0</v>
      </c>
      <c r="AX19" s="284">
        <v>0</v>
      </c>
      <c r="AY19" s="284">
        <v>0</v>
      </c>
      <c r="AZ19" s="284">
        <v>0</v>
      </c>
      <c r="BA19" s="284">
        <v>0</v>
      </c>
      <c r="BB19" s="284">
        <v>0</v>
      </c>
      <c r="BC19" s="284">
        <v>0</v>
      </c>
      <c r="BD19" s="284">
        <v>0</v>
      </c>
      <c r="BE19" s="284">
        <v>0</v>
      </c>
      <c r="BF19" s="284">
        <v>0</v>
      </c>
      <c r="BG19" s="284">
        <v>0</v>
      </c>
      <c r="BH19" s="285">
        <v>0</v>
      </c>
      <c r="BI19" s="291">
        <v>0</v>
      </c>
      <c r="BJ19" s="284">
        <v>0</v>
      </c>
      <c r="BK19" s="284">
        <v>0</v>
      </c>
      <c r="BL19" s="284">
        <v>0</v>
      </c>
      <c r="BM19" s="284">
        <v>0</v>
      </c>
      <c r="BN19" s="284">
        <v>0</v>
      </c>
      <c r="BO19" s="284">
        <v>0</v>
      </c>
      <c r="BP19" s="284">
        <v>0</v>
      </c>
      <c r="BQ19" s="284">
        <v>0</v>
      </c>
      <c r="BR19" s="284">
        <v>0</v>
      </c>
      <c r="BS19" s="284">
        <v>0</v>
      </c>
      <c r="BT19" s="284">
        <v>0</v>
      </c>
      <c r="BU19" s="284">
        <v>0</v>
      </c>
      <c r="BV19" s="284">
        <v>0</v>
      </c>
      <c r="BW19" s="285">
        <v>0</v>
      </c>
      <c r="BX19" s="291">
        <v>0</v>
      </c>
      <c r="BY19" s="284">
        <v>0</v>
      </c>
      <c r="BZ19" s="284">
        <v>0</v>
      </c>
      <c r="CA19" s="284">
        <v>0</v>
      </c>
      <c r="CB19" s="284">
        <v>0</v>
      </c>
      <c r="CC19" s="284">
        <v>0</v>
      </c>
      <c r="CD19" s="284">
        <v>0</v>
      </c>
      <c r="CE19" s="284">
        <v>0</v>
      </c>
      <c r="CF19" s="284">
        <v>0</v>
      </c>
      <c r="CG19" s="284">
        <v>0</v>
      </c>
      <c r="CH19" s="284">
        <v>0</v>
      </c>
      <c r="CI19" s="284">
        <v>0</v>
      </c>
      <c r="CJ19" s="284">
        <v>0</v>
      </c>
      <c r="CK19" s="284">
        <v>0</v>
      </c>
      <c r="CL19" s="285">
        <v>0</v>
      </c>
      <c r="CM19" s="291">
        <v>0</v>
      </c>
      <c r="CN19" s="284">
        <v>0</v>
      </c>
      <c r="CO19" s="284">
        <v>0</v>
      </c>
      <c r="CP19" s="284">
        <v>0</v>
      </c>
      <c r="CQ19" s="284">
        <v>0</v>
      </c>
      <c r="CR19" s="284">
        <v>0</v>
      </c>
      <c r="CS19" s="284">
        <v>300</v>
      </c>
      <c r="CT19" s="284">
        <v>0</v>
      </c>
      <c r="CU19" s="284">
        <v>0</v>
      </c>
      <c r="CV19" s="284">
        <v>0</v>
      </c>
      <c r="CW19" s="284">
        <v>0</v>
      </c>
      <c r="CX19" s="284">
        <v>0</v>
      </c>
      <c r="CY19" s="284">
        <v>0</v>
      </c>
      <c r="CZ19" s="284">
        <v>0</v>
      </c>
      <c r="DA19" s="285">
        <v>300</v>
      </c>
      <c r="DB19" s="291">
        <v>0</v>
      </c>
      <c r="DC19" s="284">
        <v>0</v>
      </c>
      <c r="DD19" s="284">
        <v>0</v>
      </c>
      <c r="DE19" s="284">
        <v>0</v>
      </c>
      <c r="DF19" s="284">
        <v>0</v>
      </c>
      <c r="DG19" s="284">
        <v>0</v>
      </c>
      <c r="DH19" s="284">
        <v>0</v>
      </c>
      <c r="DI19" s="284">
        <v>0</v>
      </c>
      <c r="DJ19" s="284">
        <v>0</v>
      </c>
      <c r="DK19" s="284">
        <v>0</v>
      </c>
      <c r="DL19" s="284">
        <v>0</v>
      </c>
      <c r="DM19" s="284">
        <v>0</v>
      </c>
      <c r="DN19" s="284">
        <v>0</v>
      </c>
      <c r="DO19" s="284">
        <v>0</v>
      </c>
      <c r="DP19" s="285">
        <v>0</v>
      </c>
      <c r="DQ19" s="291">
        <v>0</v>
      </c>
      <c r="DR19" s="284">
        <v>0</v>
      </c>
      <c r="DS19" s="284">
        <v>0</v>
      </c>
      <c r="DT19" s="284">
        <v>0</v>
      </c>
      <c r="DU19" s="284">
        <v>0</v>
      </c>
      <c r="DV19" s="284">
        <v>0</v>
      </c>
      <c r="DW19" s="284">
        <v>0</v>
      </c>
      <c r="DX19" s="284">
        <v>0</v>
      </c>
      <c r="DY19" s="284">
        <v>0</v>
      </c>
      <c r="DZ19" s="284">
        <v>0</v>
      </c>
      <c r="EA19" s="284">
        <v>0</v>
      </c>
      <c r="EB19" s="284">
        <v>0</v>
      </c>
      <c r="EC19" s="284">
        <v>0</v>
      </c>
      <c r="ED19" s="284">
        <v>0</v>
      </c>
      <c r="EE19" s="285">
        <v>0</v>
      </c>
      <c r="EF19" s="291">
        <v>0</v>
      </c>
      <c r="EG19" s="311">
        <v>0</v>
      </c>
    </row>
    <row r="20" spans="2:137">
      <c r="B20" s="287" t="s">
        <v>19</v>
      </c>
      <c r="C20" s="284">
        <v>0</v>
      </c>
      <c r="D20" s="284">
        <v>0</v>
      </c>
      <c r="E20" s="284">
        <v>0</v>
      </c>
      <c r="F20" s="284">
        <v>0</v>
      </c>
      <c r="G20" s="284">
        <v>0</v>
      </c>
      <c r="H20" s="284">
        <v>0</v>
      </c>
      <c r="I20" s="284">
        <v>0</v>
      </c>
      <c r="J20" s="284">
        <v>0</v>
      </c>
      <c r="K20" s="284">
        <v>0</v>
      </c>
      <c r="L20" s="284">
        <v>0</v>
      </c>
      <c r="M20" s="284">
        <v>0</v>
      </c>
      <c r="N20" s="284">
        <v>0</v>
      </c>
      <c r="O20" s="285">
        <v>0</v>
      </c>
      <c r="P20" s="291">
        <v>0</v>
      </c>
      <c r="Q20" s="284">
        <v>0</v>
      </c>
      <c r="R20" s="284">
        <v>0</v>
      </c>
      <c r="S20" s="284">
        <v>0</v>
      </c>
      <c r="T20" s="284">
        <v>0</v>
      </c>
      <c r="U20" s="284">
        <v>0</v>
      </c>
      <c r="V20" s="284">
        <v>0</v>
      </c>
      <c r="W20" s="284">
        <v>0</v>
      </c>
      <c r="X20" s="284">
        <v>0</v>
      </c>
      <c r="Y20" s="284">
        <v>0</v>
      </c>
      <c r="Z20" s="284">
        <v>0</v>
      </c>
      <c r="AA20" s="284">
        <v>0</v>
      </c>
      <c r="AB20" s="284">
        <v>0</v>
      </c>
      <c r="AC20" s="284">
        <v>0</v>
      </c>
      <c r="AD20" s="285">
        <v>0</v>
      </c>
      <c r="AE20" s="291">
        <v>0</v>
      </c>
      <c r="AF20" s="284">
        <v>0</v>
      </c>
      <c r="AG20" s="284">
        <v>0</v>
      </c>
      <c r="AH20" s="284">
        <v>0</v>
      </c>
      <c r="AI20" s="284">
        <v>0</v>
      </c>
      <c r="AJ20" s="284">
        <v>0</v>
      </c>
      <c r="AK20" s="284">
        <v>0</v>
      </c>
      <c r="AL20" s="284">
        <v>0</v>
      </c>
      <c r="AM20" s="284">
        <v>0</v>
      </c>
      <c r="AN20" s="284">
        <v>0</v>
      </c>
      <c r="AO20" s="284">
        <v>0</v>
      </c>
      <c r="AP20" s="284">
        <v>0</v>
      </c>
      <c r="AQ20" s="284">
        <v>0</v>
      </c>
      <c r="AR20" s="284">
        <v>0</v>
      </c>
      <c r="AS20" s="285">
        <v>0</v>
      </c>
      <c r="AT20" s="291">
        <v>0</v>
      </c>
      <c r="AU20" s="284">
        <v>0</v>
      </c>
      <c r="AV20" s="284">
        <v>0</v>
      </c>
      <c r="AW20" s="284">
        <v>0</v>
      </c>
      <c r="AX20" s="284">
        <v>0</v>
      </c>
      <c r="AY20" s="284">
        <v>0</v>
      </c>
      <c r="AZ20" s="284">
        <v>207.01</v>
      </c>
      <c r="BA20" s="284">
        <v>0</v>
      </c>
      <c r="BB20" s="284">
        <v>0</v>
      </c>
      <c r="BC20" s="284">
        <v>0</v>
      </c>
      <c r="BD20" s="284">
        <v>0</v>
      </c>
      <c r="BE20" s="284">
        <v>0</v>
      </c>
      <c r="BF20" s="284">
        <v>0</v>
      </c>
      <c r="BG20" s="284">
        <v>0</v>
      </c>
      <c r="BH20" s="285">
        <v>207.01</v>
      </c>
      <c r="BI20" s="291">
        <v>0</v>
      </c>
      <c r="BJ20" s="284">
        <v>0</v>
      </c>
      <c r="BK20" s="284">
        <v>0</v>
      </c>
      <c r="BL20" s="284">
        <v>0</v>
      </c>
      <c r="BM20" s="284">
        <v>0</v>
      </c>
      <c r="BN20" s="284">
        <v>0</v>
      </c>
      <c r="BO20" s="284">
        <v>234.49</v>
      </c>
      <c r="BP20" s="284">
        <v>0</v>
      </c>
      <c r="BQ20" s="284">
        <v>0</v>
      </c>
      <c r="BR20" s="284">
        <v>0</v>
      </c>
      <c r="BS20" s="284">
        <v>0</v>
      </c>
      <c r="BT20" s="284">
        <v>0</v>
      </c>
      <c r="BU20" s="284">
        <v>979.6</v>
      </c>
      <c r="BV20" s="284">
        <v>0</v>
      </c>
      <c r="BW20" s="285">
        <v>1214.0900000000001</v>
      </c>
      <c r="BX20" s="291">
        <v>0</v>
      </c>
      <c r="BY20" s="284">
        <v>0</v>
      </c>
      <c r="BZ20" s="284">
        <v>0</v>
      </c>
      <c r="CA20" s="284">
        <v>0</v>
      </c>
      <c r="CB20" s="284">
        <v>0</v>
      </c>
      <c r="CC20" s="284">
        <v>0</v>
      </c>
      <c r="CD20" s="284">
        <v>0</v>
      </c>
      <c r="CE20" s="284">
        <v>0</v>
      </c>
      <c r="CF20" s="284">
        <v>0</v>
      </c>
      <c r="CG20" s="284">
        <v>13923.34</v>
      </c>
      <c r="CH20" s="284">
        <v>-13923.34</v>
      </c>
      <c r="CI20" s="284">
        <v>0</v>
      </c>
      <c r="CJ20" s="284">
        <v>0</v>
      </c>
      <c r="CK20" s="284">
        <v>0</v>
      </c>
      <c r="CL20" s="285">
        <v>0</v>
      </c>
      <c r="CM20" s="291">
        <v>0</v>
      </c>
      <c r="CN20" s="284">
        <v>0</v>
      </c>
      <c r="CO20" s="284">
        <v>0</v>
      </c>
      <c r="CP20" s="284">
        <v>0</v>
      </c>
      <c r="CQ20" s="284">
        <v>0</v>
      </c>
      <c r="CR20" s="284">
        <v>0</v>
      </c>
      <c r="CS20" s="284">
        <v>99.88</v>
      </c>
      <c r="CT20" s="284">
        <v>24.2</v>
      </c>
      <c r="CU20" s="284">
        <v>0</v>
      </c>
      <c r="CV20" s="284">
        <v>0</v>
      </c>
      <c r="CW20" s="284">
        <v>0</v>
      </c>
      <c r="CX20" s="284">
        <v>0</v>
      </c>
      <c r="CY20" s="284">
        <v>0</v>
      </c>
      <c r="CZ20" s="284">
        <v>0</v>
      </c>
      <c r="DA20" s="285">
        <v>124.08</v>
      </c>
      <c r="DB20" s="291">
        <v>0</v>
      </c>
      <c r="DC20" s="284">
        <v>0</v>
      </c>
      <c r="DD20" s="284">
        <v>0</v>
      </c>
      <c r="DE20" s="284">
        <v>1023.26</v>
      </c>
      <c r="DF20" s="284">
        <v>76.98</v>
      </c>
      <c r="DG20" s="284">
        <v>0</v>
      </c>
      <c r="DH20" s="284">
        <v>0</v>
      </c>
      <c r="DI20" s="284">
        <v>0</v>
      </c>
      <c r="DJ20" s="284">
        <v>0</v>
      </c>
      <c r="DK20" s="284">
        <v>0</v>
      </c>
      <c r="DL20" s="284">
        <v>0</v>
      </c>
      <c r="DM20" s="284">
        <v>0</v>
      </c>
      <c r="DN20" s="284">
        <v>0</v>
      </c>
      <c r="DO20" s="284">
        <v>0</v>
      </c>
      <c r="DP20" s="285">
        <v>1100.24</v>
      </c>
      <c r="DQ20" s="291">
        <v>0</v>
      </c>
      <c r="DR20" s="284">
        <v>99.759999999999991</v>
      </c>
      <c r="DS20" s="284">
        <v>100</v>
      </c>
      <c r="DT20" s="284">
        <v>100</v>
      </c>
      <c r="DU20" s="284">
        <v>100</v>
      </c>
      <c r="DV20" s="284">
        <v>100</v>
      </c>
      <c r="DW20" s="284">
        <v>100</v>
      </c>
      <c r="DX20" s="284">
        <v>100</v>
      </c>
      <c r="DY20" s="284">
        <v>100</v>
      </c>
      <c r="DZ20" s="284">
        <v>100</v>
      </c>
      <c r="EA20" s="284">
        <v>100</v>
      </c>
      <c r="EB20" s="284">
        <v>100</v>
      </c>
      <c r="EC20" s="284">
        <v>100</v>
      </c>
      <c r="ED20" s="284">
        <v>100</v>
      </c>
      <c r="EE20" s="285">
        <v>1200</v>
      </c>
      <c r="EF20" s="291">
        <v>0</v>
      </c>
      <c r="EG20" s="311">
        <v>99.759999999999991</v>
      </c>
    </row>
    <row r="21" spans="2:137">
      <c r="B21" s="288" t="s">
        <v>20</v>
      </c>
      <c r="C21" s="284">
        <v>0</v>
      </c>
      <c r="D21" s="284">
        <v>0</v>
      </c>
      <c r="E21" s="284">
        <v>0</v>
      </c>
      <c r="F21" s="284">
        <v>0</v>
      </c>
      <c r="G21" s="284">
        <v>0</v>
      </c>
      <c r="H21" s="284">
        <v>0</v>
      </c>
      <c r="I21" s="284">
        <v>0</v>
      </c>
      <c r="J21" s="284">
        <v>0</v>
      </c>
      <c r="K21" s="284">
        <v>0</v>
      </c>
      <c r="L21" s="284">
        <v>0</v>
      </c>
      <c r="M21" s="284">
        <v>0</v>
      </c>
      <c r="N21" s="284">
        <v>0</v>
      </c>
      <c r="O21" s="285">
        <v>0</v>
      </c>
      <c r="P21" s="291">
        <v>0</v>
      </c>
      <c r="Q21" s="284">
        <v>0</v>
      </c>
      <c r="R21" s="284">
        <v>0</v>
      </c>
      <c r="S21" s="284">
        <v>0</v>
      </c>
      <c r="T21" s="284">
        <v>0</v>
      </c>
      <c r="U21" s="284">
        <v>0</v>
      </c>
      <c r="V21" s="284">
        <v>0</v>
      </c>
      <c r="W21" s="284">
        <v>0</v>
      </c>
      <c r="X21" s="284">
        <v>0</v>
      </c>
      <c r="Y21" s="284">
        <v>0</v>
      </c>
      <c r="Z21" s="284">
        <v>0</v>
      </c>
      <c r="AA21" s="284">
        <v>0</v>
      </c>
      <c r="AB21" s="284">
        <v>0</v>
      </c>
      <c r="AC21" s="284">
        <v>0</v>
      </c>
      <c r="AD21" s="285">
        <v>0</v>
      </c>
      <c r="AE21" s="291">
        <v>0</v>
      </c>
      <c r="AF21" s="284">
        <v>0</v>
      </c>
      <c r="AG21" s="284">
        <v>0</v>
      </c>
      <c r="AH21" s="284">
        <v>0</v>
      </c>
      <c r="AI21" s="284">
        <v>0</v>
      </c>
      <c r="AJ21" s="284">
        <v>0</v>
      </c>
      <c r="AK21" s="284">
        <v>0</v>
      </c>
      <c r="AL21" s="284">
        <v>0</v>
      </c>
      <c r="AM21" s="284">
        <v>0</v>
      </c>
      <c r="AN21" s="284">
        <v>0</v>
      </c>
      <c r="AO21" s="284">
        <v>0</v>
      </c>
      <c r="AP21" s="284">
        <v>0</v>
      </c>
      <c r="AQ21" s="284">
        <v>0</v>
      </c>
      <c r="AR21" s="284">
        <v>0</v>
      </c>
      <c r="AS21" s="285">
        <v>0</v>
      </c>
      <c r="AT21" s="291">
        <v>0</v>
      </c>
      <c r="AU21" s="284">
        <v>0</v>
      </c>
      <c r="AV21" s="284">
        <v>0</v>
      </c>
      <c r="AW21" s="284">
        <v>0</v>
      </c>
      <c r="AX21" s="284">
        <v>0</v>
      </c>
      <c r="AY21" s="284">
        <v>0</v>
      </c>
      <c r="AZ21" s="284">
        <v>207.01</v>
      </c>
      <c r="BA21" s="284">
        <v>0</v>
      </c>
      <c r="BB21" s="284">
        <v>0</v>
      </c>
      <c r="BC21" s="284">
        <v>0</v>
      </c>
      <c r="BD21" s="284">
        <v>0</v>
      </c>
      <c r="BE21" s="284">
        <v>0</v>
      </c>
      <c r="BF21" s="284">
        <v>0</v>
      </c>
      <c r="BG21" s="284">
        <v>0</v>
      </c>
      <c r="BH21" s="285">
        <v>207.01</v>
      </c>
      <c r="BI21" s="291">
        <v>0</v>
      </c>
      <c r="BJ21" s="284">
        <v>0</v>
      </c>
      <c r="BK21" s="284">
        <v>0</v>
      </c>
      <c r="BL21" s="284">
        <v>0</v>
      </c>
      <c r="BM21" s="284">
        <v>0</v>
      </c>
      <c r="BN21" s="284">
        <v>0</v>
      </c>
      <c r="BO21" s="284">
        <v>234.49</v>
      </c>
      <c r="BP21" s="284">
        <v>0</v>
      </c>
      <c r="BQ21" s="284">
        <v>0</v>
      </c>
      <c r="BR21" s="284">
        <v>0</v>
      </c>
      <c r="BS21" s="284">
        <v>0</v>
      </c>
      <c r="BT21" s="284">
        <v>0</v>
      </c>
      <c r="BU21" s="284">
        <v>979.6</v>
      </c>
      <c r="BV21" s="284">
        <v>0</v>
      </c>
      <c r="BW21" s="285">
        <v>1214.0900000000001</v>
      </c>
      <c r="BX21" s="291">
        <v>0</v>
      </c>
      <c r="BY21" s="284">
        <v>0</v>
      </c>
      <c r="BZ21" s="284">
        <v>0</v>
      </c>
      <c r="CA21" s="284">
        <v>0</v>
      </c>
      <c r="CB21" s="284">
        <v>0</v>
      </c>
      <c r="CC21" s="284">
        <v>0</v>
      </c>
      <c r="CD21" s="284">
        <v>0</v>
      </c>
      <c r="CE21" s="284">
        <v>0</v>
      </c>
      <c r="CF21" s="284">
        <v>0</v>
      </c>
      <c r="CG21" s="284">
        <v>13923.34</v>
      </c>
      <c r="CH21" s="284">
        <v>-13923.34</v>
      </c>
      <c r="CI21" s="284">
        <v>0</v>
      </c>
      <c r="CJ21" s="284">
        <v>0</v>
      </c>
      <c r="CK21" s="284">
        <v>0</v>
      </c>
      <c r="CL21" s="285">
        <v>0</v>
      </c>
      <c r="CM21" s="291">
        <v>0</v>
      </c>
      <c r="CN21" s="284">
        <v>0</v>
      </c>
      <c r="CO21" s="284">
        <v>0</v>
      </c>
      <c r="CP21" s="284">
        <v>0</v>
      </c>
      <c r="CQ21" s="284">
        <v>0</v>
      </c>
      <c r="CR21" s="284">
        <v>0</v>
      </c>
      <c r="CS21" s="284">
        <v>99.88</v>
      </c>
      <c r="CT21" s="284">
        <v>24.2</v>
      </c>
      <c r="CU21" s="284">
        <v>0</v>
      </c>
      <c r="CV21" s="284">
        <v>0</v>
      </c>
      <c r="CW21" s="284">
        <v>0</v>
      </c>
      <c r="CX21" s="284">
        <v>0</v>
      </c>
      <c r="CY21" s="284">
        <v>0</v>
      </c>
      <c r="CZ21" s="284">
        <v>0</v>
      </c>
      <c r="DA21" s="285">
        <v>124.08</v>
      </c>
      <c r="DB21" s="291">
        <v>0</v>
      </c>
      <c r="DC21" s="284">
        <v>0</v>
      </c>
      <c r="DD21" s="284">
        <v>0</v>
      </c>
      <c r="DE21" s="284">
        <v>0</v>
      </c>
      <c r="DF21" s="284">
        <v>0</v>
      </c>
      <c r="DG21" s="284">
        <v>0</v>
      </c>
      <c r="DH21" s="284">
        <v>0</v>
      </c>
      <c r="DI21" s="284">
        <v>0</v>
      </c>
      <c r="DJ21" s="284">
        <v>0</v>
      </c>
      <c r="DK21" s="284">
        <v>0</v>
      </c>
      <c r="DL21" s="284">
        <v>0</v>
      </c>
      <c r="DM21" s="284">
        <v>0</v>
      </c>
      <c r="DN21" s="284">
        <v>0</v>
      </c>
      <c r="DO21" s="284">
        <v>0</v>
      </c>
      <c r="DP21" s="285">
        <v>0</v>
      </c>
      <c r="DQ21" s="291">
        <v>0</v>
      </c>
      <c r="DR21" s="284">
        <v>0</v>
      </c>
      <c r="DS21" s="284">
        <v>0</v>
      </c>
      <c r="DT21" s="284">
        <v>0</v>
      </c>
      <c r="DU21" s="284">
        <v>0</v>
      </c>
      <c r="DV21" s="284">
        <v>0</v>
      </c>
      <c r="DW21" s="284">
        <v>0</v>
      </c>
      <c r="DX21" s="284">
        <v>0</v>
      </c>
      <c r="DY21" s="284">
        <v>0</v>
      </c>
      <c r="DZ21" s="284">
        <v>0</v>
      </c>
      <c r="EA21" s="284">
        <v>0</v>
      </c>
      <c r="EB21" s="284">
        <v>0</v>
      </c>
      <c r="EC21" s="284">
        <v>0</v>
      </c>
      <c r="ED21" s="284">
        <v>0</v>
      </c>
      <c r="EE21" s="285">
        <v>0</v>
      </c>
      <c r="EF21" s="291">
        <v>0</v>
      </c>
      <c r="EG21" s="311">
        <v>0</v>
      </c>
    </row>
    <row r="22" spans="2:137">
      <c r="B22" s="288" t="s">
        <v>113</v>
      </c>
      <c r="C22" s="284">
        <v>0</v>
      </c>
      <c r="D22" s="284">
        <v>0</v>
      </c>
      <c r="E22" s="284">
        <v>0</v>
      </c>
      <c r="F22" s="284">
        <v>0</v>
      </c>
      <c r="G22" s="284">
        <v>0</v>
      </c>
      <c r="H22" s="284">
        <v>0</v>
      </c>
      <c r="I22" s="284">
        <v>0</v>
      </c>
      <c r="J22" s="284">
        <v>0</v>
      </c>
      <c r="K22" s="284">
        <v>0</v>
      </c>
      <c r="L22" s="284">
        <v>0</v>
      </c>
      <c r="M22" s="284">
        <v>0</v>
      </c>
      <c r="N22" s="284">
        <v>0</v>
      </c>
      <c r="O22" s="285">
        <v>0</v>
      </c>
      <c r="P22" s="291">
        <v>0</v>
      </c>
      <c r="Q22" s="284">
        <v>0</v>
      </c>
      <c r="R22" s="284">
        <v>0</v>
      </c>
      <c r="S22" s="284">
        <v>0</v>
      </c>
      <c r="T22" s="284">
        <v>0</v>
      </c>
      <c r="U22" s="284">
        <v>0</v>
      </c>
      <c r="V22" s="284">
        <v>0</v>
      </c>
      <c r="W22" s="284">
        <v>0</v>
      </c>
      <c r="X22" s="284">
        <v>0</v>
      </c>
      <c r="Y22" s="284">
        <v>0</v>
      </c>
      <c r="Z22" s="284">
        <v>0</v>
      </c>
      <c r="AA22" s="284">
        <v>0</v>
      </c>
      <c r="AB22" s="284">
        <v>0</v>
      </c>
      <c r="AC22" s="284">
        <v>0</v>
      </c>
      <c r="AD22" s="285">
        <v>0</v>
      </c>
      <c r="AE22" s="291">
        <v>0</v>
      </c>
      <c r="AF22" s="284">
        <v>0</v>
      </c>
      <c r="AG22" s="284">
        <v>0</v>
      </c>
      <c r="AH22" s="284">
        <v>0</v>
      </c>
      <c r="AI22" s="284">
        <v>0</v>
      </c>
      <c r="AJ22" s="284">
        <v>0</v>
      </c>
      <c r="AK22" s="284">
        <v>0</v>
      </c>
      <c r="AL22" s="284">
        <v>0</v>
      </c>
      <c r="AM22" s="284">
        <v>0</v>
      </c>
      <c r="AN22" s="284">
        <v>0</v>
      </c>
      <c r="AO22" s="284">
        <v>0</v>
      </c>
      <c r="AP22" s="284">
        <v>0</v>
      </c>
      <c r="AQ22" s="284">
        <v>0</v>
      </c>
      <c r="AR22" s="284">
        <v>0</v>
      </c>
      <c r="AS22" s="285">
        <v>0</v>
      </c>
      <c r="AT22" s="291">
        <v>0</v>
      </c>
      <c r="AU22" s="284">
        <v>0</v>
      </c>
      <c r="AV22" s="284">
        <v>0</v>
      </c>
      <c r="AW22" s="284">
        <v>0</v>
      </c>
      <c r="AX22" s="284">
        <v>0</v>
      </c>
      <c r="AY22" s="284">
        <v>0</v>
      </c>
      <c r="AZ22" s="284">
        <v>0</v>
      </c>
      <c r="BA22" s="284">
        <v>0</v>
      </c>
      <c r="BB22" s="284">
        <v>0</v>
      </c>
      <c r="BC22" s="284">
        <v>0</v>
      </c>
      <c r="BD22" s="284">
        <v>0</v>
      </c>
      <c r="BE22" s="284">
        <v>0</v>
      </c>
      <c r="BF22" s="284">
        <v>0</v>
      </c>
      <c r="BG22" s="284">
        <v>0</v>
      </c>
      <c r="BH22" s="285">
        <v>0</v>
      </c>
      <c r="BI22" s="291">
        <v>0</v>
      </c>
      <c r="BJ22" s="284">
        <v>0</v>
      </c>
      <c r="BK22" s="284">
        <v>0</v>
      </c>
      <c r="BL22" s="284">
        <v>0</v>
      </c>
      <c r="BM22" s="284">
        <v>0</v>
      </c>
      <c r="BN22" s="284">
        <v>0</v>
      </c>
      <c r="BO22" s="284">
        <v>0</v>
      </c>
      <c r="BP22" s="284">
        <v>0</v>
      </c>
      <c r="BQ22" s="284">
        <v>0</v>
      </c>
      <c r="BR22" s="284">
        <v>0</v>
      </c>
      <c r="BS22" s="284">
        <v>0</v>
      </c>
      <c r="BT22" s="284">
        <v>0</v>
      </c>
      <c r="BU22" s="284">
        <v>0</v>
      </c>
      <c r="BV22" s="284">
        <v>0</v>
      </c>
      <c r="BW22" s="285">
        <v>0</v>
      </c>
      <c r="BX22" s="291">
        <v>0</v>
      </c>
      <c r="BY22" s="284">
        <v>0</v>
      </c>
      <c r="BZ22" s="284">
        <v>0</v>
      </c>
      <c r="CA22" s="284">
        <v>0</v>
      </c>
      <c r="CB22" s="284">
        <v>0</v>
      </c>
      <c r="CC22" s="284">
        <v>0</v>
      </c>
      <c r="CD22" s="284">
        <v>0</v>
      </c>
      <c r="CE22" s="284">
        <v>0</v>
      </c>
      <c r="CF22" s="284">
        <v>0</v>
      </c>
      <c r="CG22" s="284">
        <v>0</v>
      </c>
      <c r="CH22" s="284">
        <v>0</v>
      </c>
      <c r="CI22" s="284">
        <v>0</v>
      </c>
      <c r="CJ22" s="284">
        <v>0</v>
      </c>
      <c r="CK22" s="284">
        <v>0</v>
      </c>
      <c r="CL22" s="285">
        <v>0</v>
      </c>
      <c r="CM22" s="291">
        <v>0</v>
      </c>
      <c r="CN22" s="284">
        <v>0</v>
      </c>
      <c r="CO22" s="284">
        <v>0</v>
      </c>
      <c r="CP22" s="284">
        <v>0</v>
      </c>
      <c r="CQ22" s="284">
        <v>0</v>
      </c>
      <c r="CR22" s="284">
        <v>0</v>
      </c>
      <c r="CS22" s="284">
        <v>0</v>
      </c>
      <c r="CT22" s="284">
        <v>0</v>
      </c>
      <c r="CU22" s="284">
        <v>0</v>
      </c>
      <c r="CV22" s="284">
        <v>0</v>
      </c>
      <c r="CW22" s="284">
        <v>0</v>
      </c>
      <c r="CX22" s="284">
        <v>0</v>
      </c>
      <c r="CY22" s="284">
        <v>0</v>
      </c>
      <c r="CZ22" s="284">
        <v>0</v>
      </c>
      <c r="DA22" s="285">
        <v>0</v>
      </c>
      <c r="DB22" s="291">
        <v>0</v>
      </c>
      <c r="DC22" s="284">
        <v>0</v>
      </c>
      <c r="DD22" s="284">
        <v>0</v>
      </c>
      <c r="DE22" s="284">
        <v>1023.26</v>
      </c>
      <c r="DF22" s="284">
        <v>76.98</v>
      </c>
      <c r="DG22" s="284">
        <v>0</v>
      </c>
      <c r="DH22" s="284">
        <v>0</v>
      </c>
      <c r="DI22" s="284">
        <v>0</v>
      </c>
      <c r="DJ22" s="284">
        <v>0</v>
      </c>
      <c r="DK22" s="284">
        <v>0</v>
      </c>
      <c r="DL22" s="284">
        <v>0</v>
      </c>
      <c r="DM22" s="284">
        <v>0</v>
      </c>
      <c r="DN22" s="284">
        <v>0</v>
      </c>
      <c r="DO22" s="284">
        <v>0</v>
      </c>
      <c r="DP22" s="285">
        <v>1100.24</v>
      </c>
      <c r="DQ22" s="291">
        <v>0</v>
      </c>
      <c r="DR22" s="284">
        <v>99.759999999999991</v>
      </c>
      <c r="DS22" s="284">
        <v>100</v>
      </c>
      <c r="DT22" s="284">
        <v>100</v>
      </c>
      <c r="DU22" s="284">
        <v>100</v>
      </c>
      <c r="DV22" s="284">
        <v>100</v>
      </c>
      <c r="DW22" s="284">
        <v>100</v>
      </c>
      <c r="DX22" s="284">
        <v>100</v>
      </c>
      <c r="DY22" s="284">
        <v>100</v>
      </c>
      <c r="DZ22" s="284">
        <v>100</v>
      </c>
      <c r="EA22" s="284">
        <v>100</v>
      </c>
      <c r="EB22" s="284">
        <v>100</v>
      </c>
      <c r="EC22" s="284">
        <v>100</v>
      </c>
      <c r="ED22" s="284">
        <v>100</v>
      </c>
      <c r="EE22" s="285">
        <v>1200</v>
      </c>
      <c r="EF22" s="291">
        <v>0</v>
      </c>
      <c r="EG22" s="311">
        <v>99.759999999999991</v>
      </c>
    </row>
    <row r="23" spans="2:137">
      <c r="B23" s="287" t="s">
        <v>17</v>
      </c>
      <c r="C23" s="284">
        <v>0</v>
      </c>
      <c r="D23" s="284">
        <v>0</v>
      </c>
      <c r="E23" s="284">
        <v>0</v>
      </c>
      <c r="F23" s="284">
        <v>0</v>
      </c>
      <c r="G23" s="284">
        <v>0</v>
      </c>
      <c r="H23" s="284">
        <v>0</v>
      </c>
      <c r="I23" s="284">
        <v>137.78</v>
      </c>
      <c r="J23" s="284">
        <v>0</v>
      </c>
      <c r="K23" s="284">
        <v>0</v>
      </c>
      <c r="L23" s="284">
        <v>0</v>
      </c>
      <c r="M23" s="284">
        <v>0</v>
      </c>
      <c r="N23" s="284">
        <v>0</v>
      </c>
      <c r="O23" s="285">
        <v>137.78</v>
      </c>
      <c r="P23" s="291">
        <v>0</v>
      </c>
      <c r="Q23" s="284">
        <v>0</v>
      </c>
      <c r="R23" s="284">
        <v>0</v>
      </c>
      <c r="S23" s="284">
        <v>0</v>
      </c>
      <c r="T23" s="284">
        <v>0</v>
      </c>
      <c r="U23" s="284">
        <v>0</v>
      </c>
      <c r="V23" s="284">
        <v>0</v>
      </c>
      <c r="W23" s="284">
        <v>0</v>
      </c>
      <c r="X23" s="284">
        <v>0</v>
      </c>
      <c r="Y23" s="284">
        <v>0</v>
      </c>
      <c r="Z23" s="284">
        <v>0</v>
      </c>
      <c r="AA23" s="284">
        <v>0</v>
      </c>
      <c r="AB23" s="284">
        <v>0</v>
      </c>
      <c r="AC23" s="284">
        <v>0.51</v>
      </c>
      <c r="AD23" s="285">
        <v>0.51</v>
      </c>
      <c r="AE23" s="291">
        <v>0</v>
      </c>
      <c r="AF23" s="284">
        <v>0</v>
      </c>
      <c r="AG23" s="284">
        <v>0.5</v>
      </c>
      <c r="AH23" s="284">
        <v>0</v>
      </c>
      <c r="AI23" s="284">
        <v>0</v>
      </c>
      <c r="AJ23" s="284">
        <v>0</v>
      </c>
      <c r="AK23" s="284">
        <v>0</v>
      </c>
      <c r="AL23" s="284">
        <v>0</v>
      </c>
      <c r="AM23" s="284">
        <v>0</v>
      </c>
      <c r="AN23" s="284">
        <v>0</v>
      </c>
      <c r="AO23" s="284">
        <v>0</v>
      </c>
      <c r="AP23" s="284">
        <v>0</v>
      </c>
      <c r="AQ23" s="284">
        <v>0</v>
      </c>
      <c r="AR23" s="284">
        <v>0</v>
      </c>
      <c r="AS23" s="285">
        <v>0.5</v>
      </c>
      <c r="AT23" s="291">
        <v>0</v>
      </c>
      <c r="AU23" s="284">
        <v>0</v>
      </c>
      <c r="AV23" s="284">
        <v>0</v>
      </c>
      <c r="AW23" s="284">
        <v>0</v>
      </c>
      <c r="AX23" s="284">
        <v>0</v>
      </c>
      <c r="AY23" s="284">
        <v>0</v>
      </c>
      <c r="AZ23" s="284">
        <v>0</v>
      </c>
      <c r="BA23" s="284">
        <v>0</v>
      </c>
      <c r="BB23" s="284">
        <v>0</v>
      </c>
      <c r="BC23" s="284">
        <v>0</v>
      </c>
      <c r="BD23" s="284">
        <v>9.4499999999999993</v>
      </c>
      <c r="BE23" s="284">
        <v>0</v>
      </c>
      <c r="BF23" s="284">
        <v>0</v>
      </c>
      <c r="BG23" s="284">
        <v>0</v>
      </c>
      <c r="BH23" s="285">
        <v>9.4499999999999993</v>
      </c>
      <c r="BI23" s="291">
        <v>0</v>
      </c>
      <c r="BJ23" s="284">
        <v>0</v>
      </c>
      <c r="BK23" s="284">
        <v>0</v>
      </c>
      <c r="BL23" s="284">
        <v>0</v>
      </c>
      <c r="BM23" s="284">
        <v>0</v>
      </c>
      <c r="BN23" s="284">
        <v>0</v>
      </c>
      <c r="BO23" s="284">
        <v>0</v>
      </c>
      <c r="BP23" s="284">
        <v>0</v>
      </c>
      <c r="BQ23" s="284">
        <v>0</v>
      </c>
      <c r="BR23" s="284">
        <v>0</v>
      </c>
      <c r="BS23" s="284">
        <v>0</v>
      </c>
      <c r="BT23" s="284">
        <v>0</v>
      </c>
      <c r="BU23" s="284">
        <v>0</v>
      </c>
      <c r="BV23" s="284">
        <v>0</v>
      </c>
      <c r="BW23" s="285">
        <v>0</v>
      </c>
      <c r="BX23" s="291">
        <v>0</v>
      </c>
      <c r="BY23" s="284">
        <v>0</v>
      </c>
      <c r="BZ23" s="284">
        <v>0</v>
      </c>
      <c r="CA23" s="284">
        <v>0</v>
      </c>
      <c r="CB23" s="284">
        <v>0</v>
      </c>
      <c r="CC23" s="284">
        <v>0</v>
      </c>
      <c r="CD23" s="284">
        <v>0</v>
      </c>
      <c r="CE23" s="284">
        <v>0</v>
      </c>
      <c r="CF23" s="284">
        <v>0</v>
      </c>
      <c r="CG23" s="284">
        <v>0</v>
      </c>
      <c r="CH23" s="284">
        <v>0</v>
      </c>
      <c r="CI23" s="284">
        <v>0</v>
      </c>
      <c r="CJ23" s="284">
        <v>0</v>
      </c>
      <c r="CK23" s="284">
        <v>0</v>
      </c>
      <c r="CL23" s="285">
        <v>0</v>
      </c>
      <c r="CM23" s="291">
        <v>0</v>
      </c>
      <c r="CN23" s="284">
        <v>0</v>
      </c>
      <c r="CO23" s="284">
        <v>0</v>
      </c>
      <c r="CP23" s="284">
        <v>0</v>
      </c>
      <c r="CQ23" s="284">
        <v>0</v>
      </c>
      <c r="CR23" s="284">
        <v>0</v>
      </c>
      <c r="CS23" s="284">
        <v>0</v>
      </c>
      <c r="CT23" s="284">
        <v>0</v>
      </c>
      <c r="CU23" s="284">
        <v>0</v>
      </c>
      <c r="CV23" s="284">
        <v>0</v>
      </c>
      <c r="CW23" s="284">
        <v>0</v>
      </c>
      <c r="CX23" s="284">
        <v>0</v>
      </c>
      <c r="CY23" s="284">
        <v>0</v>
      </c>
      <c r="CZ23" s="284">
        <v>0</v>
      </c>
      <c r="DA23" s="285">
        <v>0</v>
      </c>
      <c r="DB23" s="291">
        <v>0</v>
      </c>
      <c r="DC23" s="284">
        <v>0</v>
      </c>
      <c r="DD23" s="284">
        <v>0</v>
      </c>
      <c r="DE23" s="284">
        <v>0</v>
      </c>
      <c r="DF23" s="284">
        <v>0</v>
      </c>
      <c r="DG23" s="284">
        <v>0</v>
      </c>
      <c r="DH23" s="284">
        <v>0</v>
      </c>
      <c r="DI23" s="284">
        <v>0</v>
      </c>
      <c r="DJ23" s="284">
        <v>0</v>
      </c>
      <c r="DK23" s="284">
        <v>0</v>
      </c>
      <c r="DL23" s="284">
        <v>0</v>
      </c>
      <c r="DM23" s="284">
        <v>0</v>
      </c>
      <c r="DN23" s="284">
        <v>0</v>
      </c>
      <c r="DO23" s="284">
        <v>0</v>
      </c>
      <c r="DP23" s="285">
        <v>0</v>
      </c>
      <c r="DQ23" s="291">
        <v>0</v>
      </c>
      <c r="DR23" s="284">
        <v>0</v>
      </c>
      <c r="DS23" s="284">
        <v>0</v>
      </c>
      <c r="DT23" s="284">
        <v>0</v>
      </c>
      <c r="DU23" s="284">
        <v>0</v>
      </c>
      <c r="DV23" s="284">
        <v>0</v>
      </c>
      <c r="DW23" s="284">
        <v>0</v>
      </c>
      <c r="DX23" s="284">
        <v>0</v>
      </c>
      <c r="DY23" s="284">
        <v>0</v>
      </c>
      <c r="DZ23" s="284">
        <v>0</v>
      </c>
      <c r="EA23" s="284">
        <v>0</v>
      </c>
      <c r="EB23" s="284">
        <v>0</v>
      </c>
      <c r="EC23" s="284">
        <v>0</v>
      </c>
      <c r="ED23" s="284">
        <v>0</v>
      </c>
      <c r="EE23" s="285">
        <v>0</v>
      </c>
      <c r="EF23" s="291">
        <v>0</v>
      </c>
      <c r="EG23" s="311">
        <v>0</v>
      </c>
    </row>
    <row r="24" spans="2:137">
      <c r="B24" s="288" t="s">
        <v>31</v>
      </c>
      <c r="C24" s="284">
        <v>0</v>
      </c>
      <c r="D24" s="284">
        <v>0</v>
      </c>
      <c r="E24" s="284">
        <v>0</v>
      </c>
      <c r="F24" s="284">
        <v>0</v>
      </c>
      <c r="G24" s="284">
        <v>0</v>
      </c>
      <c r="H24" s="284">
        <v>0</v>
      </c>
      <c r="I24" s="284">
        <v>137.78</v>
      </c>
      <c r="J24" s="284">
        <v>0</v>
      </c>
      <c r="K24" s="284">
        <v>0</v>
      </c>
      <c r="L24" s="284">
        <v>0</v>
      </c>
      <c r="M24" s="284">
        <v>0</v>
      </c>
      <c r="N24" s="284">
        <v>0</v>
      </c>
      <c r="O24" s="285">
        <v>137.78</v>
      </c>
      <c r="P24" s="291">
        <v>0</v>
      </c>
      <c r="Q24" s="284">
        <v>0</v>
      </c>
      <c r="R24" s="284">
        <v>0</v>
      </c>
      <c r="S24" s="284">
        <v>0</v>
      </c>
      <c r="T24" s="284">
        <v>0</v>
      </c>
      <c r="U24" s="284">
        <v>0</v>
      </c>
      <c r="V24" s="284">
        <v>0</v>
      </c>
      <c r="W24" s="284">
        <v>0</v>
      </c>
      <c r="X24" s="284">
        <v>0</v>
      </c>
      <c r="Y24" s="284">
        <v>0</v>
      </c>
      <c r="Z24" s="284">
        <v>0</v>
      </c>
      <c r="AA24" s="284">
        <v>0</v>
      </c>
      <c r="AB24" s="284">
        <v>0</v>
      </c>
      <c r="AC24" s="284">
        <v>0</v>
      </c>
      <c r="AD24" s="285">
        <v>0</v>
      </c>
      <c r="AE24" s="291">
        <v>0</v>
      </c>
      <c r="AF24" s="284">
        <v>0</v>
      </c>
      <c r="AG24" s="284">
        <v>0</v>
      </c>
      <c r="AH24" s="284">
        <v>0</v>
      </c>
      <c r="AI24" s="284">
        <v>0</v>
      </c>
      <c r="AJ24" s="284">
        <v>0</v>
      </c>
      <c r="AK24" s="284">
        <v>0</v>
      </c>
      <c r="AL24" s="284">
        <v>0</v>
      </c>
      <c r="AM24" s="284">
        <v>0</v>
      </c>
      <c r="AN24" s="284">
        <v>0</v>
      </c>
      <c r="AO24" s="284">
        <v>0</v>
      </c>
      <c r="AP24" s="284">
        <v>0</v>
      </c>
      <c r="AQ24" s="284">
        <v>0</v>
      </c>
      <c r="AR24" s="284">
        <v>0</v>
      </c>
      <c r="AS24" s="285">
        <v>0</v>
      </c>
      <c r="AT24" s="291">
        <v>0</v>
      </c>
      <c r="AU24" s="284">
        <v>0</v>
      </c>
      <c r="AV24" s="284">
        <v>0</v>
      </c>
      <c r="AW24" s="284">
        <v>0</v>
      </c>
      <c r="AX24" s="284">
        <v>0</v>
      </c>
      <c r="AY24" s="284">
        <v>0</v>
      </c>
      <c r="AZ24" s="284">
        <v>0</v>
      </c>
      <c r="BA24" s="284">
        <v>0</v>
      </c>
      <c r="BB24" s="284">
        <v>0</v>
      </c>
      <c r="BC24" s="284">
        <v>0</v>
      </c>
      <c r="BD24" s="284">
        <v>0</v>
      </c>
      <c r="BE24" s="284">
        <v>0</v>
      </c>
      <c r="BF24" s="284">
        <v>0</v>
      </c>
      <c r="BG24" s="284">
        <v>0</v>
      </c>
      <c r="BH24" s="285">
        <v>0</v>
      </c>
      <c r="BI24" s="291">
        <v>0</v>
      </c>
      <c r="BJ24" s="284">
        <v>0</v>
      </c>
      <c r="BK24" s="284">
        <v>0</v>
      </c>
      <c r="BL24" s="284">
        <v>0</v>
      </c>
      <c r="BM24" s="284">
        <v>0</v>
      </c>
      <c r="BN24" s="284">
        <v>0</v>
      </c>
      <c r="BO24" s="284">
        <v>0</v>
      </c>
      <c r="BP24" s="284">
        <v>0</v>
      </c>
      <c r="BQ24" s="284">
        <v>0</v>
      </c>
      <c r="BR24" s="284">
        <v>0</v>
      </c>
      <c r="BS24" s="284">
        <v>0</v>
      </c>
      <c r="BT24" s="284">
        <v>0</v>
      </c>
      <c r="BU24" s="284">
        <v>0</v>
      </c>
      <c r="BV24" s="284">
        <v>0</v>
      </c>
      <c r="BW24" s="285">
        <v>0</v>
      </c>
      <c r="BX24" s="291">
        <v>0</v>
      </c>
      <c r="BY24" s="284">
        <v>0</v>
      </c>
      <c r="BZ24" s="284">
        <v>0</v>
      </c>
      <c r="CA24" s="284">
        <v>0</v>
      </c>
      <c r="CB24" s="284">
        <v>0</v>
      </c>
      <c r="CC24" s="284">
        <v>0</v>
      </c>
      <c r="CD24" s="284">
        <v>0</v>
      </c>
      <c r="CE24" s="284">
        <v>0</v>
      </c>
      <c r="CF24" s="284">
        <v>0</v>
      </c>
      <c r="CG24" s="284">
        <v>0</v>
      </c>
      <c r="CH24" s="284">
        <v>0</v>
      </c>
      <c r="CI24" s="284">
        <v>0</v>
      </c>
      <c r="CJ24" s="284">
        <v>0</v>
      </c>
      <c r="CK24" s="284">
        <v>0</v>
      </c>
      <c r="CL24" s="285">
        <v>0</v>
      </c>
      <c r="CM24" s="291">
        <v>0</v>
      </c>
      <c r="CN24" s="284">
        <v>0</v>
      </c>
      <c r="CO24" s="284">
        <v>0</v>
      </c>
      <c r="CP24" s="284">
        <v>0</v>
      </c>
      <c r="CQ24" s="284">
        <v>0</v>
      </c>
      <c r="CR24" s="284">
        <v>0</v>
      </c>
      <c r="CS24" s="284">
        <v>0</v>
      </c>
      <c r="CT24" s="284">
        <v>0</v>
      </c>
      <c r="CU24" s="284">
        <v>0</v>
      </c>
      <c r="CV24" s="284">
        <v>0</v>
      </c>
      <c r="CW24" s="284">
        <v>0</v>
      </c>
      <c r="CX24" s="284">
        <v>0</v>
      </c>
      <c r="CY24" s="284">
        <v>0</v>
      </c>
      <c r="CZ24" s="284">
        <v>0</v>
      </c>
      <c r="DA24" s="285">
        <v>0</v>
      </c>
      <c r="DB24" s="291">
        <v>0</v>
      </c>
      <c r="DC24" s="284">
        <v>0</v>
      </c>
      <c r="DD24" s="284">
        <v>0</v>
      </c>
      <c r="DE24" s="284">
        <v>0</v>
      </c>
      <c r="DF24" s="284">
        <v>0</v>
      </c>
      <c r="DG24" s="284">
        <v>0</v>
      </c>
      <c r="DH24" s="284">
        <v>0</v>
      </c>
      <c r="DI24" s="284">
        <v>0</v>
      </c>
      <c r="DJ24" s="284">
        <v>0</v>
      </c>
      <c r="DK24" s="284">
        <v>0</v>
      </c>
      <c r="DL24" s="284">
        <v>0</v>
      </c>
      <c r="DM24" s="284">
        <v>0</v>
      </c>
      <c r="DN24" s="284">
        <v>0</v>
      </c>
      <c r="DO24" s="284">
        <v>0</v>
      </c>
      <c r="DP24" s="285">
        <v>0</v>
      </c>
      <c r="DQ24" s="291">
        <v>0</v>
      </c>
      <c r="DR24" s="284">
        <v>0</v>
      </c>
      <c r="DS24" s="284">
        <v>0</v>
      </c>
      <c r="DT24" s="284">
        <v>0</v>
      </c>
      <c r="DU24" s="284">
        <v>0</v>
      </c>
      <c r="DV24" s="284">
        <v>0</v>
      </c>
      <c r="DW24" s="284">
        <v>0</v>
      </c>
      <c r="DX24" s="284">
        <v>0</v>
      </c>
      <c r="DY24" s="284">
        <v>0</v>
      </c>
      <c r="DZ24" s="284">
        <v>0</v>
      </c>
      <c r="EA24" s="284">
        <v>0</v>
      </c>
      <c r="EB24" s="284">
        <v>0</v>
      </c>
      <c r="EC24" s="284">
        <v>0</v>
      </c>
      <c r="ED24" s="284">
        <v>0</v>
      </c>
      <c r="EE24" s="285">
        <v>0</v>
      </c>
      <c r="EF24" s="291">
        <v>0</v>
      </c>
      <c r="EG24" s="311">
        <v>0</v>
      </c>
    </row>
    <row r="25" spans="2:137">
      <c r="B25" s="288" t="s">
        <v>18</v>
      </c>
      <c r="C25" s="284">
        <v>0</v>
      </c>
      <c r="D25" s="284">
        <v>0</v>
      </c>
      <c r="E25" s="284">
        <v>0</v>
      </c>
      <c r="F25" s="284">
        <v>0</v>
      </c>
      <c r="G25" s="284">
        <v>0</v>
      </c>
      <c r="H25" s="284">
        <v>0</v>
      </c>
      <c r="I25" s="284">
        <v>0</v>
      </c>
      <c r="J25" s="284">
        <v>0</v>
      </c>
      <c r="K25" s="284">
        <v>0</v>
      </c>
      <c r="L25" s="284">
        <v>0</v>
      </c>
      <c r="M25" s="284">
        <v>0</v>
      </c>
      <c r="N25" s="284">
        <v>0</v>
      </c>
      <c r="O25" s="285">
        <v>0</v>
      </c>
      <c r="P25" s="291">
        <v>0</v>
      </c>
      <c r="Q25" s="284">
        <v>0</v>
      </c>
      <c r="R25" s="284">
        <v>0</v>
      </c>
      <c r="S25" s="284">
        <v>0</v>
      </c>
      <c r="T25" s="284">
        <v>0</v>
      </c>
      <c r="U25" s="284">
        <v>0</v>
      </c>
      <c r="V25" s="284">
        <v>0</v>
      </c>
      <c r="W25" s="284">
        <v>0</v>
      </c>
      <c r="X25" s="284">
        <v>0</v>
      </c>
      <c r="Y25" s="284">
        <v>0</v>
      </c>
      <c r="Z25" s="284">
        <v>0</v>
      </c>
      <c r="AA25" s="284">
        <v>0</v>
      </c>
      <c r="AB25" s="284">
        <v>0</v>
      </c>
      <c r="AC25" s="284">
        <v>0.51</v>
      </c>
      <c r="AD25" s="285">
        <v>0.51</v>
      </c>
      <c r="AE25" s="291">
        <v>0</v>
      </c>
      <c r="AF25" s="284">
        <v>0</v>
      </c>
      <c r="AG25" s="284">
        <v>0.5</v>
      </c>
      <c r="AH25" s="284">
        <v>0</v>
      </c>
      <c r="AI25" s="284">
        <v>0</v>
      </c>
      <c r="AJ25" s="284">
        <v>0</v>
      </c>
      <c r="AK25" s="284">
        <v>0</v>
      </c>
      <c r="AL25" s="284">
        <v>0</v>
      </c>
      <c r="AM25" s="284">
        <v>0</v>
      </c>
      <c r="AN25" s="284">
        <v>0</v>
      </c>
      <c r="AO25" s="284">
        <v>0</v>
      </c>
      <c r="AP25" s="284">
        <v>0</v>
      </c>
      <c r="AQ25" s="284">
        <v>0</v>
      </c>
      <c r="AR25" s="284">
        <v>0</v>
      </c>
      <c r="AS25" s="285">
        <v>0.5</v>
      </c>
      <c r="AT25" s="291">
        <v>0</v>
      </c>
      <c r="AU25" s="284">
        <v>0</v>
      </c>
      <c r="AV25" s="284">
        <v>0</v>
      </c>
      <c r="AW25" s="284">
        <v>0</v>
      </c>
      <c r="AX25" s="284">
        <v>0</v>
      </c>
      <c r="AY25" s="284">
        <v>0</v>
      </c>
      <c r="AZ25" s="284">
        <v>0</v>
      </c>
      <c r="BA25" s="284">
        <v>0</v>
      </c>
      <c r="BB25" s="284">
        <v>0</v>
      </c>
      <c r="BC25" s="284">
        <v>0</v>
      </c>
      <c r="BD25" s="284">
        <v>0</v>
      </c>
      <c r="BE25" s="284">
        <v>0</v>
      </c>
      <c r="BF25" s="284">
        <v>0</v>
      </c>
      <c r="BG25" s="284">
        <v>0</v>
      </c>
      <c r="BH25" s="285">
        <v>0</v>
      </c>
      <c r="BI25" s="291">
        <v>0</v>
      </c>
      <c r="BJ25" s="284">
        <v>0</v>
      </c>
      <c r="BK25" s="284">
        <v>0</v>
      </c>
      <c r="BL25" s="284">
        <v>0</v>
      </c>
      <c r="BM25" s="284">
        <v>0</v>
      </c>
      <c r="BN25" s="284">
        <v>0</v>
      </c>
      <c r="BO25" s="284">
        <v>0</v>
      </c>
      <c r="BP25" s="284">
        <v>0</v>
      </c>
      <c r="BQ25" s="284">
        <v>0</v>
      </c>
      <c r="BR25" s="284">
        <v>0</v>
      </c>
      <c r="BS25" s="284">
        <v>0</v>
      </c>
      <c r="BT25" s="284">
        <v>0</v>
      </c>
      <c r="BU25" s="284">
        <v>0</v>
      </c>
      <c r="BV25" s="284">
        <v>0</v>
      </c>
      <c r="BW25" s="285">
        <v>0</v>
      </c>
      <c r="BX25" s="291">
        <v>0</v>
      </c>
      <c r="BY25" s="284">
        <v>0</v>
      </c>
      <c r="BZ25" s="284">
        <v>0</v>
      </c>
      <c r="CA25" s="284">
        <v>0</v>
      </c>
      <c r="CB25" s="284">
        <v>0</v>
      </c>
      <c r="CC25" s="284">
        <v>0</v>
      </c>
      <c r="CD25" s="284">
        <v>0</v>
      </c>
      <c r="CE25" s="284">
        <v>0</v>
      </c>
      <c r="CF25" s="284">
        <v>0</v>
      </c>
      <c r="CG25" s="284">
        <v>0</v>
      </c>
      <c r="CH25" s="284">
        <v>0</v>
      </c>
      <c r="CI25" s="284">
        <v>0</v>
      </c>
      <c r="CJ25" s="284">
        <v>0</v>
      </c>
      <c r="CK25" s="284">
        <v>0</v>
      </c>
      <c r="CL25" s="285">
        <v>0</v>
      </c>
      <c r="CM25" s="291">
        <v>0</v>
      </c>
      <c r="CN25" s="284">
        <v>0</v>
      </c>
      <c r="CO25" s="284">
        <v>0</v>
      </c>
      <c r="CP25" s="284">
        <v>0</v>
      </c>
      <c r="CQ25" s="284">
        <v>0</v>
      </c>
      <c r="CR25" s="284">
        <v>0</v>
      </c>
      <c r="CS25" s="284">
        <v>0</v>
      </c>
      <c r="CT25" s="284">
        <v>0</v>
      </c>
      <c r="CU25" s="284">
        <v>0</v>
      </c>
      <c r="CV25" s="284">
        <v>0</v>
      </c>
      <c r="CW25" s="284">
        <v>0</v>
      </c>
      <c r="CX25" s="284">
        <v>0</v>
      </c>
      <c r="CY25" s="284">
        <v>0</v>
      </c>
      <c r="CZ25" s="284">
        <v>0</v>
      </c>
      <c r="DA25" s="285">
        <v>0</v>
      </c>
      <c r="DB25" s="291">
        <v>0</v>
      </c>
      <c r="DC25" s="284">
        <v>0</v>
      </c>
      <c r="DD25" s="284">
        <v>0</v>
      </c>
      <c r="DE25" s="284">
        <v>0</v>
      </c>
      <c r="DF25" s="284">
        <v>0</v>
      </c>
      <c r="DG25" s="284">
        <v>0</v>
      </c>
      <c r="DH25" s="284">
        <v>0</v>
      </c>
      <c r="DI25" s="284">
        <v>0</v>
      </c>
      <c r="DJ25" s="284">
        <v>0</v>
      </c>
      <c r="DK25" s="284">
        <v>0</v>
      </c>
      <c r="DL25" s="284">
        <v>0</v>
      </c>
      <c r="DM25" s="284">
        <v>0</v>
      </c>
      <c r="DN25" s="284">
        <v>0</v>
      </c>
      <c r="DO25" s="284">
        <v>0</v>
      </c>
      <c r="DP25" s="285">
        <v>0</v>
      </c>
      <c r="DQ25" s="291">
        <v>0</v>
      </c>
      <c r="DR25" s="284">
        <v>0</v>
      </c>
      <c r="DS25" s="284">
        <v>0</v>
      </c>
      <c r="DT25" s="284">
        <v>0</v>
      </c>
      <c r="DU25" s="284">
        <v>0</v>
      </c>
      <c r="DV25" s="284">
        <v>0</v>
      </c>
      <c r="DW25" s="284">
        <v>0</v>
      </c>
      <c r="DX25" s="284">
        <v>0</v>
      </c>
      <c r="DY25" s="284">
        <v>0</v>
      </c>
      <c r="DZ25" s="284">
        <v>0</v>
      </c>
      <c r="EA25" s="284">
        <v>0</v>
      </c>
      <c r="EB25" s="284">
        <v>0</v>
      </c>
      <c r="EC25" s="284">
        <v>0</v>
      </c>
      <c r="ED25" s="284">
        <v>0</v>
      </c>
      <c r="EE25" s="285">
        <v>0</v>
      </c>
      <c r="EF25" s="291">
        <v>0</v>
      </c>
      <c r="EG25" s="311">
        <v>0</v>
      </c>
    </row>
    <row r="26" spans="2:137">
      <c r="B26" s="288" t="s">
        <v>16</v>
      </c>
      <c r="C26" s="284">
        <v>0</v>
      </c>
      <c r="D26" s="284">
        <v>0</v>
      </c>
      <c r="E26" s="284">
        <v>0</v>
      </c>
      <c r="F26" s="284">
        <v>0</v>
      </c>
      <c r="G26" s="284">
        <v>0</v>
      </c>
      <c r="H26" s="284">
        <v>0</v>
      </c>
      <c r="I26" s="284">
        <v>0</v>
      </c>
      <c r="J26" s="284">
        <v>0</v>
      </c>
      <c r="K26" s="284">
        <v>0</v>
      </c>
      <c r="L26" s="284">
        <v>0</v>
      </c>
      <c r="M26" s="284">
        <v>0</v>
      </c>
      <c r="N26" s="284">
        <v>0</v>
      </c>
      <c r="O26" s="285">
        <v>0</v>
      </c>
      <c r="P26" s="291">
        <v>0</v>
      </c>
      <c r="Q26" s="284">
        <v>0</v>
      </c>
      <c r="R26" s="284">
        <v>0</v>
      </c>
      <c r="S26" s="284">
        <v>0</v>
      </c>
      <c r="T26" s="284">
        <v>0</v>
      </c>
      <c r="U26" s="284">
        <v>0</v>
      </c>
      <c r="V26" s="284">
        <v>0</v>
      </c>
      <c r="W26" s="284">
        <v>0</v>
      </c>
      <c r="X26" s="284">
        <v>0</v>
      </c>
      <c r="Y26" s="284">
        <v>0</v>
      </c>
      <c r="Z26" s="284">
        <v>0</v>
      </c>
      <c r="AA26" s="284">
        <v>0</v>
      </c>
      <c r="AB26" s="284">
        <v>0</v>
      </c>
      <c r="AC26" s="284">
        <v>0</v>
      </c>
      <c r="AD26" s="285">
        <v>0</v>
      </c>
      <c r="AE26" s="291">
        <v>0</v>
      </c>
      <c r="AF26" s="284">
        <v>0</v>
      </c>
      <c r="AG26" s="284">
        <v>0</v>
      </c>
      <c r="AH26" s="284">
        <v>0</v>
      </c>
      <c r="AI26" s="284">
        <v>0</v>
      </c>
      <c r="AJ26" s="284">
        <v>0</v>
      </c>
      <c r="AK26" s="284">
        <v>0</v>
      </c>
      <c r="AL26" s="284">
        <v>0</v>
      </c>
      <c r="AM26" s="284">
        <v>0</v>
      </c>
      <c r="AN26" s="284">
        <v>0</v>
      </c>
      <c r="AO26" s="284">
        <v>0</v>
      </c>
      <c r="AP26" s="284">
        <v>0</v>
      </c>
      <c r="AQ26" s="284">
        <v>0</v>
      </c>
      <c r="AR26" s="284">
        <v>0</v>
      </c>
      <c r="AS26" s="285">
        <v>0</v>
      </c>
      <c r="AT26" s="291">
        <v>0</v>
      </c>
      <c r="AU26" s="284">
        <v>0</v>
      </c>
      <c r="AV26" s="284">
        <v>0</v>
      </c>
      <c r="AW26" s="284">
        <v>0</v>
      </c>
      <c r="AX26" s="284">
        <v>0</v>
      </c>
      <c r="AY26" s="284">
        <v>0</v>
      </c>
      <c r="AZ26" s="284">
        <v>0</v>
      </c>
      <c r="BA26" s="284">
        <v>0</v>
      </c>
      <c r="BB26" s="284">
        <v>0</v>
      </c>
      <c r="BC26" s="284">
        <v>0</v>
      </c>
      <c r="BD26" s="284">
        <v>9.4499999999999993</v>
      </c>
      <c r="BE26" s="284">
        <v>0</v>
      </c>
      <c r="BF26" s="284">
        <v>0</v>
      </c>
      <c r="BG26" s="284">
        <v>0</v>
      </c>
      <c r="BH26" s="285">
        <v>9.4499999999999993</v>
      </c>
      <c r="BI26" s="291">
        <v>0</v>
      </c>
      <c r="BJ26" s="284">
        <v>0</v>
      </c>
      <c r="BK26" s="284">
        <v>0</v>
      </c>
      <c r="BL26" s="284">
        <v>0</v>
      </c>
      <c r="BM26" s="284">
        <v>0</v>
      </c>
      <c r="BN26" s="284">
        <v>0</v>
      </c>
      <c r="BO26" s="284">
        <v>0</v>
      </c>
      <c r="BP26" s="284">
        <v>0</v>
      </c>
      <c r="BQ26" s="284">
        <v>0</v>
      </c>
      <c r="BR26" s="284">
        <v>0</v>
      </c>
      <c r="BS26" s="284">
        <v>0</v>
      </c>
      <c r="BT26" s="284">
        <v>0</v>
      </c>
      <c r="BU26" s="284">
        <v>0</v>
      </c>
      <c r="BV26" s="284">
        <v>0</v>
      </c>
      <c r="BW26" s="285">
        <v>0</v>
      </c>
      <c r="BX26" s="291">
        <v>0</v>
      </c>
      <c r="BY26" s="284">
        <v>0</v>
      </c>
      <c r="BZ26" s="284">
        <v>0</v>
      </c>
      <c r="CA26" s="284">
        <v>0</v>
      </c>
      <c r="CB26" s="284">
        <v>0</v>
      </c>
      <c r="CC26" s="284">
        <v>0</v>
      </c>
      <c r="CD26" s="284">
        <v>0</v>
      </c>
      <c r="CE26" s="284">
        <v>0</v>
      </c>
      <c r="CF26" s="284">
        <v>0</v>
      </c>
      <c r="CG26" s="284">
        <v>0</v>
      </c>
      <c r="CH26" s="284">
        <v>0</v>
      </c>
      <c r="CI26" s="284">
        <v>0</v>
      </c>
      <c r="CJ26" s="284">
        <v>0</v>
      </c>
      <c r="CK26" s="284">
        <v>0</v>
      </c>
      <c r="CL26" s="285">
        <v>0</v>
      </c>
      <c r="CM26" s="291">
        <v>0</v>
      </c>
      <c r="CN26" s="284">
        <v>0</v>
      </c>
      <c r="CO26" s="284">
        <v>0</v>
      </c>
      <c r="CP26" s="284">
        <v>0</v>
      </c>
      <c r="CQ26" s="284">
        <v>0</v>
      </c>
      <c r="CR26" s="284">
        <v>0</v>
      </c>
      <c r="CS26" s="284">
        <v>0</v>
      </c>
      <c r="CT26" s="284">
        <v>0</v>
      </c>
      <c r="CU26" s="284">
        <v>0</v>
      </c>
      <c r="CV26" s="284">
        <v>0</v>
      </c>
      <c r="CW26" s="284">
        <v>0</v>
      </c>
      <c r="CX26" s="284">
        <v>0</v>
      </c>
      <c r="CY26" s="284">
        <v>0</v>
      </c>
      <c r="CZ26" s="284">
        <v>0</v>
      </c>
      <c r="DA26" s="285">
        <v>0</v>
      </c>
      <c r="DB26" s="291">
        <v>0</v>
      </c>
      <c r="DC26" s="284">
        <v>0</v>
      </c>
      <c r="DD26" s="284">
        <v>0</v>
      </c>
      <c r="DE26" s="284">
        <v>0</v>
      </c>
      <c r="DF26" s="284">
        <v>0</v>
      </c>
      <c r="DG26" s="284">
        <v>0</v>
      </c>
      <c r="DH26" s="284">
        <v>0</v>
      </c>
      <c r="DI26" s="284">
        <v>0</v>
      </c>
      <c r="DJ26" s="284">
        <v>0</v>
      </c>
      <c r="DK26" s="284">
        <v>0</v>
      </c>
      <c r="DL26" s="284">
        <v>0</v>
      </c>
      <c r="DM26" s="284">
        <v>0</v>
      </c>
      <c r="DN26" s="284">
        <v>0</v>
      </c>
      <c r="DO26" s="284">
        <v>0</v>
      </c>
      <c r="DP26" s="285">
        <v>0</v>
      </c>
      <c r="DQ26" s="291">
        <v>0</v>
      </c>
      <c r="DR26" s="284">
        <v>0</v>
      </c>
      <c r="DS26" s="284">
        <v>0</v>
      </c>
      <c r="DT26" s="284">
        <v>0</v>
      </c>
      <c r="DU26" s="284">
        <v>0</v>
      </c>
      <c r="DV26" s="284">
        <v>0</v>
      </c>
      <c r="DW26" s="284">
        <v>0</v>
      </c>
      <c r="DX26" s="284">
        <v>0</v>
      </c>
      <c r="DY26" s="284">
        <v>0</v>
      </c>
      <c r="DZ26" s="284">
        <v>0</v>
      </c>
      <c r="EA26" s="284">
        <v>0</v>
      </c>
      <c r="EB26" s="284">
        <v>0</v>
      </c>
      <c r="EC26" s="284">
        <v>0</v>
      </c>
      <c r="ED26" s="284">
        <v>0</v>
      </c>
      <c r="EE26" s="285">
        <v>0</v>
      </c>
      <c r="EF26" s="291">
        <v>0</v>
      </c>
      <c r="EG26" s="311">
        <v>0</v>
      </c>
    </row>
    <row r="27" spans="2:137">
      <c r="B27" s="287" t="s">
        <v>13</v>
      </c>
      <c r="C27" s="284">
        <v>2536.31</v>
      </c>
      <c r="D27" s="284">
        <v>2563.8399999999997</v>
      </c>
      <c r="E27" s="284">
        <v>2533.85</v>
      </c>
      <c r="F27" s="284">
        <v>2533.85</v>
      </c>
      <c r="G27" s="284">
        <v>2420.9699999999998</v>
      </c>
      <c r="H27" s="284">
        <v>2886.99</v>
      </c>
      <c r="I27" s="284">
        <v>9130.48</v>
      </c>
      <c r="J27" s="284">
        <v>2428.2399999999998</v>
      </c>
      <c r="K27" s="284">
        <v>2459.19</v>
      </c>
      <c r="L27" s="284">
        <v>3004.19</v>
      </c>
      <c r="M27" s="284">
        <v>2687.19</v>
      </c>
      <c r="N27" s="284">
        <v>19.899999999999999</v>
      </c>
      <c r="O27" s="285">
        <v>35204.999999999993</v>
      </c>
      <c r="P27" s="291">
        <v>0</v>
      </c>
      <c r="Q27" s="284">
        <v>21315.64</v>
      </c>
      <c r="R27" s="284">
        <v>4918.38</v>
      </c>
      <c r="S27" s="284">
        <v>3149.19</v>
      </c>
      <c r="T27" s="284">
        <v>2586.81</v>
      </c>
      <c r="U27" s="284">
        <v>2771.81</v>
      </c>
      <c r="V27" s="284">
        <v>3840.25</v>
      </c>
      <c r="W27" s="284">
        <v>2602.29</v>
      </c>
      <c r="X27" s="284">
        <v>2602.29</v>
      </c>
      <c r="Y27" s="284">
        <v>2608.33</v>
      </c>
      <c r="Z27" s="284">
        <v>2627.11</v>
      </c>
      <c r="AA27" s="284">
        <v>3877.0200000000004</v>
      </c>
      <c r="AB27" s="284">
        <v>2627.11</v>
      </c>
      <c r="AC27" s="284">
        <v>2627.11</v>
      </c>
      <c r="AD27" s="285">
        <v>36837.700000000004</v>
      </c>
      <c r="AE27" s="291">
        <v>0</v>
      </c>
      <c r="AF27" s="284">
        <v>16241.779999999999</v>
      </c>
      <c r="AG27" s="284">
        <v>2627.11</v>
      </c>
      <c r="AH27" s="284">
        <v>3611.11</v>
      </c>
      <c r="AI27" s="284">
        <v>2750.26</v>
      </c>
      <c r="AJ27" s="284">
        <v>2750.26</v>
      </c>
      <c r="AK27" s="284">
        <v>2750.26</v>
      </c>
      <c r="AL27" s="284">
        <v>2758.21</v>
      </c>
      <c r="AM27" s="284">
        <v>2758.21</v>
      </c>
      <c r="AN27" s="284">
        <v>2767.57</v>
      </c>
      <c r="AO27" s="284">
        <v>2819.27</v>
      </c>
      <c r="AP27" s="284">
        <v>3474.27</v>
      </c>
      <c r="AQ27" s="284">
        <v>2819.27</v>
      </c>
      <c r="AR27" s="284">
        <v>3819.27</v>
      </c>
      <c r="AS27" s="285">
        <v>35705.07</v>
      </c>
      <c r="AT27" s="291">
        <v>0</v>
      </c>
      <c r="AU27" s="284">
        <v>16241.779999999999</v>
      </c>
      <c r="AV27" s="284">
        <v>0</v>
      </c>
      <c r="AW27" s="284">
        <v>655</v>
      </c>
      <c r="AX27" s="284">
        <v>0</v>
      </c>
      <c r="AY27" s="284">
        <v>0</v>
      </c>
      <c r="AZ27" s="284">
        <v>0</v>
      </c>
      <c r="BA27" s="284">
        <v>100.41</v>
      </c>
      <c r="BB27" s="284">
        <v>0</v>
      </c>
      <c r="BC27" s="284">
        <v>279.98</v>
      </c>
      <c r="BD27" s="284">
        <v>1470</v>
      </c>
      <c r="BE27" s="284">
        <v>0</v>
      </c>
      <c r="BF27" s="284">
        <v>488.05</v>
      </c>
      <c r="BG27" s="284">
        <v>5704.47</v>
      </c>
      <c r="BH27" s="285">
        <v>8697.91</v>
      </c>
      <c r="BI27" s="291">
        <v>0</v>
      </c>
      <c r="BJ27" s="284">
        <v>16241.779999999999</v>
      </c>
      <c r="BK27" s="284">
        <v>377.9</v>
      </c>
      <c r="BL27" s="284">
        <v>0</v>
      </c>
      <c r="BM27" s="284">
        <v>0</v>
      </c>
      <c r="BN27" s="284">
        <v>140.63999999999999</v>
      </c>
      <c r="BO27" s="284">
        <v>0</v>
      </c>
      <c r="BP27" s="284">
        <v>0</v>
      </c>
      <c r="BQ27" s="284">
        <v>0</v>
      </c>
      <c r="BR27" s="284">
        <v>0</v>
      </c>
      <c r="BS27" s="284">
        <v>189.12</v>
      </c>
      <c r="BT27" s="284">
        <v>0</v>
      </c>
      <c r="BU27" s="284">
        <v>0</v>
      </c>
      <c r="BV27" s="284">
        <v>0</v>
      </c>
      <c r="BW27" s="285">
        <v>707.66</v>
      </c>
      <c r="BX27" s="291">
        <v>0</v>
      </c>
      <c r="BY27" s="284">
        <v>489.77999999999975</v>
      </c>
      <c r="BZ27" s="284">
        <v>105.9</v>
      </c>
      <c r="CA27" s="284">
        <v>0</v>
      </c>
      <c r="CB27" s="284">
        <v>689.8</v>
      </c>
      <c r="CC27" s="284">
        <v>228</v>
      </c>
      <c r="CD27" s="284">
        <v>0</v>
      </c>
      <c r="CE27" s="284">
        <v>132.9</v>
      </c>
      <c r="CF27" s="284">
        <v>0</v>
      </c>
      <c r="CG27" s="284">
        <v>5394</v>
      </c>
      <c r="CH27" s="284">
        <v>82.77</v>
      </c>
      <c r="CI27" s="284">
        <v>227.05</v>
      </c>
      <c r="CJ27" s="284">
        <v>370.3</v>
      </c>
      <c r="CK27" s="284">
        <v>1155</v>
      </c>
      <c r="CL27" s="285">
        <v>8385.7199999999993</v>
      </c>
      <c r="CM27" s="291">
        <v>0</v>
      </c>
      <c r="CN27" s="284">
        <v>5563.64</v>
      </c>
      <c r="CO27" s="284">
        <v>9518</v>
      </c>
      <c r="CP27" s="284">
        <v>304.54999999999995</v>
      </c>
      <c r="CQ27" s="284">
        <v>17.61</v>
      </c>
      <c r="CR27" s="284">
        <v>636.5</v>
      </c>
      <c r="CS27" s="284">
        <v>0</v>
      </c>
      <c r="CT27" s="284">
        <v>3108</v>
      </c>
      <c r="CU27" s="284">
        <v>1086.9000000000001</v>
      </c>
      <c r="CV27" s="284">
        <v>1094.3</v>
      </c>
      <c r="CW27" s="284">
        <v>22731</v>
      </c>
      <c r="CX27" s="284">
        <v>1120</v>
      </c>
      <c r="CY27" s="284">
        <v>2346.0500000000002</v>
      </c>
      <c r="CZ27" s="284">
        <v>-21563.25</v>
      </c>
      <c r="DA27" s="285">
        <v>20399.659999999996</v>
      </c>
      <c r="DB27" s="291">
        <v>0</v>
      </c>
      <c r="DC27" s="284">
        <v>21315.64</v>
      </c>
      <c r="DD27" s="284">
        <v>302.39999999999998</v>
      </c>
      <c r="DE27" s="284">
        <v>676.44</v>
      </c>
      <c r="DF27" s="284">
        <v>723.09</v>
      </c>
      <c r="DG27" s="284">
        <v>899.42000000000007</v>
      </c>
      <c r="DH27" s="284">
        <v>976.03</v>
      </c>
      <c r="DI27" s="284">
        <v>0</v>
      </c>
      <c r="DJ27" s="284">
        <v>406.81</v>
      </c>
      <c r="DK27" s="284">
        <v>1502.17</v>
      </c>
      <c r="DL27" s="284">
        <v>4418</v>
      </c>
      <c r="DM27" s="284">
        <v>0</v>
      </c>
      <c r="DN27" s="284">
        <v>2100</v>
      </c>
      <c r="DO27" s="284">
        <v>0</v>
      </c>
      <c r="DP27" s="285">
        <v>12004.36</v>
      </c>
      <c r="DQ27" s="291">
        <v>0</v>
      </c>
      <c r="DR27" s="284">
        <v>21315.64</v>
      </c>
      <c r="DS27" s="284">
        <v>2480</v>
      </c>
      <c r="DT27" s="284">
        <v>2480</v>
      </c>
      <c r="DU27" s="284">
        <v>2480</v>
      </c>
      <c r="DV27" s="284">
        <v>2480</v>
      </c>
      <c r="DW27" s="284">
        <v>2480</v>
      </c>
      <c r="DX27" s="284">
        <v>2480</v>
      </c>
      <c r="DY27" s="284">
        <v>2480</v>
      </c>
      <c r="DZ27" s="284">
        <v>2480</v>
      </c>
      <c r="EA27" s="284">
        <v>6040</v>
      </c>
      <c r="EB27" s="284">
        <v>2480</v>
      </c>
      <c r="EC27" s="284">
        <v>2480</v>
      </c>
      <c r="ED27" s="284">
        <v>2480</v>
      </c>
      <c r="EE27" s="285">
        <v>33320</v>
      </c>
      <c r="EF27" s="291">
        <v>0</v>
      </c>
      <c r="EG27" s="311">
        <v>21315.64</v>
      </c>
    </row>
    <row r="28" spans="2:137">
      <c r="B28" s="288" t="s">
        <v>15</v>
      </c>
      <c r="C28" s="284">
        <v>0</v>
      </c>
      <c r="D28" s="284">
        <v>29.99</v>
      </c>
      <c r="E28" s="284">
        <v>0</v>
      </c>
      <c r="F28" s="284">
        <v>0</v>
      </c>
      <c r="G28" s="284">
        <v>0</v>
      </c>
      <c r="H28" s="284">
        <v>466</v>
      </c>
      <c r="I28" s="284">
        <v>0</v>
      </c>
      <c r="J28" s="284">
        <v>0</v>
      </c>
      <c r="K28" s="284">
        <v>0</v>
      </c>
      <c r="L28" s="284">
        <v>545</v>
      </c>
      <c r="M28" s="284">
        <v>228</v>
      </c>
      <c r="N28" s="284">
        <v>19.899999999999999</v>
      </c>
      <c r="O28" s="285">
        <v>1288.8900000000001</v>
      </c>
      <c r="P28" s="291">
        <v>0</v>
      </c>
      <c r="Q28" s="284">
        <v>489.77999999999975</v>
      </c>
      <c r="R28" s="284">
        <v>0</v>
      </c>
      <c r="S28" s="284">
        <v>690</v>
      </c>
      <c r="T28" s="284">
        <v>0</v>
      </c>
      <c r="U28" s="284">
        <v>185</v>
      </c>
      <c r="V28" s="284">
        <v>1237.96</v>
      </c>
      <c r="W28" s="284">
        <v>0</v>
      </c>
      <c r="X28" s="284">
        <v>0</v>
      </c>
      <c r="Y28" s="284">
        <v>0</v>
      </c>
      <c r="Z28" s="284">
        <v>0</v>
      </c>
      <c r="AA28" s="284">
        <v>1249.9100000000001</v>
      </c>
      <c r="AB28" s="284">
        <v>0</v>
      </c>
      <c r="AC28" s="284">
        <v>0</v>
      </c>
      <c r="AD28" s="285">
        <v>3362.87</v>
      </c>
      <c r="AE28" s="291">
        <v>0</v>
      </c>
      <c r="AF28" s="284">
        <v>489.77999999999975</v>
      </c>
      <c r="AG28" s="284">
        <v>0</v>
      </c>
      <c r="AH28" s="284">
        <v>984</v>
      </c>
      <c r="AI28" s="284">
        <v>0</v>
      </c>
      <c r="AJ28" s="284">
        <v>0</v>
      </c>
      <c r="AK28" s="284">
        <v>0</v>
      </c>
      <c r="AL28" s="284">
        <v>0</v>
      </c>
      <c r="AM28" s="284">
        <v>0</v>
      </c>
      <c r="AN28" s="284">
        <v>0</v>
      </c>
      <c r="AO28" s="284">
        <v>0</v>
      </c>
      <c r="AP28" s="284">
        <v>655</v>
      </c>
      <c r="AQ28" s="284">
        <v>0</v>
      </c>
      <c r="AR28" s="284">
        <v>0</v>
      </c>
      <c r="AS28" s="285">
        <v>1639</v>
      </c>
      <c r="AT28" s="291">
        <v>0</v>
      </c>
      <c r="AU28" s="284">
        <v>489.77999999999975</v>
      </c>
      <c r="AV28" s="284">
        <v>0</v>
      </c>
      <c r="AW28" s="284">
        <v>655</v>
      </c>
      <c r="AX28" s="284">
        <v>0</v>
      </c>
      <c r="AY28" s="284">
        <v>0</v>
      </c>
      <c r="AZ28" s="284">
        <v>0</v>
      </c>
      <c r="BA28" s="284">
        <v>100.41</v>
      </c>
      <c r="BB28" s="284">
        <v>0</v>
      </c>
      <c r="BC28" s="284">
        <v>279.98</v>
      </c>
      <c r="BD28" s="284">
        <v>1470</v>
      </c>
      <c r="BE28" s="284">
        <v>0</v>
      </c>
      <c r="BF28" s="284">
        <v>488.05</v>
      </c>
      <c r="BG28" s="284">
        <v>5424</v>
      </c>
      <c r="BH28" s="285">
        <v>8417.44</v>
      </c>
      <c r="BI28" s="291">
        <v>0</v>
      </c>
      <c r="BJ28" s="284">
        <v>489.77999999999975</v>
      </c>
      <c r="BK28" s="284">
        <v>377.9</v>
      </c>
      <c r="BL28" s="284">
        <v>0</v>
      </c>
      <c r="BM28" s="284">
        <v>0</v>
      </c>
      <c r="BN28" s="284">
        <v>140.63999999999999</v>
      </c>
      <c r="BO28" s="284">
        <v>0</v>
      </c>
      <c r="BP28" s="284">
        <v>0</v>
      </c>
      <c r="BQ28" s="284">
        <v>0</v>
      </c>
      <c r="BR28" s="284">
        <v>0</v>
      </c>
      <c r="BS28" s="284">
        <v>189.12</v>
      </c>
      <c r="BT28" s="284">
        <v>0</v>
      </c>
      <c r="BU28" s="284">
        <v>0</v>
      </c>
      <c r="BV28" s="284">
        <v>0</v>
      </c>
      <c r="BW28" s="285">
        <v>707.66</v>
      </c>
      <c r="BX28" s="291">
        <v>0</v>
      </c>
      <c r="BY28" s="284">
        <v>489.77999999999975</v>
      </c>
      <c r="BZ28" s="284">
        <v>105.9</v>
      </c>
      <c r="CA28" s="284">
        <v>0</v>
      </c>
      <c r="CB28" s="284">
        <v>689.8</v>
      </c>
      <c r="CC28" s="284">
        <v>228</v>
      </c>
      <c r="CD28" s="284">
        <v>0</v>
      </c>
      <c r="CE28" s="284">
        <v>132.9</v>
      </c>
      <c r="CF28" s="284">
        <v>0</v>
      </c>
      <c r="CG28" s="284">
        <v>0</v>
      </c>
      <c r="CH28" s="284">
        <v>82.77</v>
      </c>
      <c r="CI28" s="284">
        <v>227.05</v>
      </c>
      <c r="CJ28" s="284">
        <v>370.3</v>
      </c>
      <c r="CK28" s="284">
        <v>1155</v>
      </c>
      <c r="CL28" s="285">
        <v>2991.72</v>
      </c>
      <c r="CM28" s="291">
        <v>0</v>
      </c>
      <c r="CN28" s="284">
        <v>489.77999999999975</v>
      </c>
      <c r="CO28" s="284">
        <v>0</v>
      </c>
      <c r="CP28" s="284">
        <v>304.54999999999995</v>
      </c>
      <c r="CQ28" s="284">
        <v>17.61</v>
      </c>
      <c r="CR28" s="284">
        <v>0</v>
      </c>
      <c r="CS28" s="284">
        <v>0</v>
      </c>
      <c r="CT28" s="284">
        <v>3108</v>
      </c>
      <c r="CU28" s="284">
        <v>819</v>
      </c>
      <c r="CV28" s="284">
        <v>0</v>
      </c>
      <c r="CW28" s="284">
        <v>231</v>
      </c>
      <c r="CX28" s="284">
        <v>1120</v>
      </c>
      <c r="CY28" s="284">
        <v>1477.41</v>
      </c>
      <c r="CZ28" s="284">
        <v>0</v>
      </c>
      <c r="DA28" s="285">
        <v>7077.57</v>
      </c>
      <c r="DB28" s="291">
        <v>0</v>
      </c>
      <c r="DC28" s="284">
        <v>489.77999999999975</v>
      </c>
      <c r="DD28" s="284">
        <v>302.39999999999998</v>
      </c>
      <c r="DE28" s="284">
        <v>383.64000000000004</v>
      </c>
      <c r="DF28" s="284">
        <v>723.09</v>
      </c>
      <c r="DG28" s="284">
        <v>899.42000000000007</v>
      </c>
      <c r="DH28" s="284">
        <v>0</v>
      </c>
      <c r="DI28" s="284">
        <v>0</v>
      </c>
      <c r="DJ28" s="284">
        <v>31.81</v>
      </c>
      <c r="DK28" s="284">
        <v>419.86</v>
      </c>
      <c r="DL28" s="284">
        <v>350</v>
      </c>
      <c r="DM28" s="284">
        <v>0</v>
      </c>
      <c r="DN28" s="284">
        <v>0</v>
      </c>
      <c r="DO28" s="284">
        <v>0</v>
      </c>
      <c r="DP28" s="285">
        <v>3110.2200000000003</v>
      </c>
      <c r="DQ28" s="291">
        <v>0</v>
      </c>
      <c r="DR28" s="284">
        <v>489.77999999999975</v>
      </c>
      <c r="DS28" s="284">
        <v>300</v>
      </c>
      <c r="DT28" s="284">
        <v>300</v>
      </c>
      <c r="DU28" s="284">
        <v>300</v>
      </c>
      <c r="DV28" s="284">
        <v>300</v>
      </c>
      <c r="DW28" s="284">
        <v>300</v>
      </c>
      <c r="DX28" s="284">
        <v>300</v>
      </c>
      <c r="DY28" s="284">
        <v>300</v>
      </c>
      <c r="DZ28" s="284">
        <v>300</v>
      </c>
      <c r="EA28" s="284">
        <v>300</v>
      </c>
      <c r="EB28" s="284">
        <v>300</v>
      </c>
      <c r="EC28" s="284">
        <v>300</v>
      </c>
      <c r="ED28" s="284">
        <v>300</v>
      </c>
      <c r="EE28" s="285">
        <v>3600</v>
      </c>
      <c r="EF28" s="291">
        <v>0</v>
      </c>
      <c r="EG28" s="311">
        <v>489.77999999999975</v>
      </c>
    </row>
    <row r="29" spans="2:137">
      <c r="B29" s="288" t="s">
        <v>14</v>
      </c>
      <c r="C29" s="284">
        <v>0</v>
      </c>
      <c r="D29" s="284">
        <v>0</v>
      </c>
      <c r="E29" s="284">
        <v>0</v>
      </c>
      <c r="F29" s="284">
        <v>0</v>
      </c>
      <c r="G29" s="284">
        <v>0</v>
      </c>
      <c r="H29" s="284">
        <v>0</v>
      </c>
      <c r="I29" s="284">
        <v>6412.49</v>
      </c>
      <c r="J29" s="284">
        <v>0</v>
      </c>
      <c r="K29" s="284">
        <v>0</v>
      </c>
      <c r="L29" s="284">
        <v>0</v>
      </c>
      <c r="M29" s="284">
        <v>0</v>
      </c>
      <c r="N29" s="284">
        <v>0</v>
      </c>
      <c r="O29" s="285">
        <v>6412.49</v>
      </c>
      <c r="P29" s="291">
        <v>0</v>
      </c>
      <c r="Q29" s="284">
        <v>5073.8600000000006</v>
      </c>
      <c r="R29" s="284">
        <v>0</v>
      </c>
      <c r="S29" s="284">
        <v>0</v>
      </c>
      <c r="T29" s="284">
        <v>0</v>
      </c>
      <c r="U29" s="284">
        <v>0</v>
      </c>
      <c r="V29" s="284">
        <v>0</v>
      </c>
      <c r="W29" s="284">
        <v>0</v>
      </c>
      <c r="X29" s="284">
        <v>0</v>
      </c>
      <c r="Y29" s="284">
        <v>0</v>
      </c>
      <c r="Z29" s="284">
        <v>0</v>
      </c>
      <c r="AA29" s="284">
        <v>0</v>
      </c>
      <c r="AB29" s="284">
        <v>0</v>
      </c>
      <c r="AC29" s="284">
        <v>0</v>
      </c>
      <c r="AD29" s="285">
        <v>0</v>
      </c>
      <c r="AE29" s="291">
        <v>0</v>
      </c>
      <c r="AF29" s="284">
        <v>0</v>
      </c>
      <c r="AG29" s="284">
        <v>0</v>
      </c>
      <c r="AH29" s="284">
        <v>0</v>
      </c>
      <c r="AI29" s="284">
        <v>0</v>
      </c>
      <c r="AJ29" s="284">
        <v>0</v>
      </c>
      <c r="AK29" s="284">
        <v>0</v>
      </c>
      <c r="AL29" s="284">
        <v>0</v>
      </c>
      <c r="AM29" s="284">
        <v>0</v>
      </c>
      <c r="AN29" s="284">
        <v>0</v>
      </c>
      <c r="AO29" s="284">
        <v>0</v>
      </c>
      <c r="AP29" s="284">
        <v>0</v>
      </c>
      <c r="AQ29" s="284">
        <v>0</v>
      </c>
      <c r="AR29" s="284">
        <v>0</v>
      </c>
      <c r="AS29" s="285">
        <v>0</v>
      </c>
      <c r="AT29" s="291">
        <v>0</v>
      </c>
      <c r="AU29" s="284">
        <v>0</v>
      </c>
      <c r="AV29" s="284">
        <v>0</v>
      </c>
      <c r="AW29" s="284">
        <v>0</v>
      </c>
      <c r="AX29" s="284">
        <v>0</v>
      </c>
      <c r="AY29" s="284">
        <v>0</v>
      </c>
      <c r="AZ29" s="284">
        <v>0</v>
      </c>
      <c r="BA29" s="284">
        <v>0</v>
      </c>
      <c r="BB29" s="284">
        <v>0</v>
      </c>
      <c r="BC29" s="284">
        <v>0</v>
      </c>
      <c r="BD29" s="284">
        <v>0</v>
      </c>
      <c r="BE29" s="284">
        <v>0</v>
      </c>
      <c r="BF29" s="284">
        <v>0</v>
      </c>
      <c r="BG29" s="284">
        <v>0</v>
      </c>
      <c r="BH29" s="285">
        <v>0</v>
      </c>
      <c r="BI29" s="291">
        <v>0</v>
      </c>
      <c r="BJ29" s="284">
        <v>0</v>
      </c>
      <c r="BK29" s="284">
        <v>0</v>
      </c>
      <c r="BL29" s="284">
        <v>0</v>
      </c>
      <c r="BM29" s="284">
        <v>0</v>
      </c>
      <c r="BN29" s="284">
        <v>0</v>
      </c>
      <c r="BO29" s="284">
        <v>0</v>
      </c>
      <c r="BP29" s="284">
        <v>0</v>
      </c>
      <c r="BQ29" s="284">
        <v>0</v>
      </c>
      <c r="BR29" s="284">
        <v>0</v>
      </c>
      <c r="BS29" s="284">
        <v>0</v>
      </c>
      <c r="BT29" s="284">
        <v>0</v>
      </c>
      <c r="BU29" s="284">
        <v>0</v>
      </c>
      <c r="BV29" s="284">
        <v>0</v>
      </c>
      <c r="BW29" s="285">
        <v>0</v>
      </c>
      <c r="BX29" s="291">
        <v>0</v>
      </c>
      <c r="BY29" s="284">
        <v>0</v>
      </c>
      <c r="BZ29" s="284">
        <v>0</v>
      </c>
      <c r="CA29" s="284">
        <v>0</v>
      </c>
      <c r="CB29" s="284">
        <v>0</v>
      </c>
      <c r="CC29" s="284">
        <v>0</v>
      </c>
      <c r="CD29" s="284">
        <v>0</v>
      </c>
      <c r="CE29" s="284">
        <v>0</v>
      </c>
      <c r="CF29" s="284">
        <v>0</v>
      </c>
      <c r="CG29" s="284">
        <v>5394</v>
      </c>
      <c r="CH29" s="284">
        <v>0</v>
      </c>
      <c r="CI29" s="284">
        <v>0</v>
      </c>
      <c r="CJ29" s="284">
        <v>0</v>
      </c>
      <c r="CK29" s="284">
        <v>0</v>
      </c>
      <c r="CL29" s="285">
        <v>5394</v>
      </c>
      <c r="CM29" s="291">
        <v>0</v>
      </c>
      <c r="CN29" s="284">
        <v>5073.8600000000006</v>
      </c>
      <c r="CO29" s="284">
        <v>9518</v>
      </c>
      <c r="CP29" s="284">
        <v>0</v>
      </c>
      <c r="CQ29" s="284">
        <v>0</v>
      </c>
      <c r="CR29" s="284">
        <v>636.5</v>
      </c>
      <c r="CS29" s="284">
        <v>0</v>
      </c>
      <c r="CT29" s="284">
        <v>0</v>
      </c>
      <c r="CU29" s="284">
        <v>267.89999999999998</v>
      </c>
      <c r="CV29" s="284">
        <v>1094.3</v>
      </c>
      <c r="CW29" s="284">
        <v>0</v>
      </c>
      <c r="CX29" s="284">
        <v>0</v>
      </c>
      <c r="CY29" s="284">
        <v>868.6400000000001</v>
      </c>
      <c r="CZ29" s="284">
        <v>936.75</v>
      </c>
      <c r="DA29" s="285">
        <v>13322.089999999998</v>
      </c>
      <c r="DB29" s="291">
        <v>0</v>
      </c>
      <c r="DC29" s="284">
        <v>5073.8600000000006</v>
      </c>
      <c r="DD29" s="284">
        <v>0</v>
      </c>
      <c r="DE29" s="284">
        <v>292.8</v>
      </c>
      <c r="DF29" s="284">
        <v>0</v>
      </c>
      <c r="DG29" s="284">
        <v>0</v>
      </c>
      <c r="DH29" s="284">
        <v>976.03</v>
      </c>
      <c r="DI29" s="284">
        <v>0</v>
      </c>
      <c r="DJ29" s="284">
        <v>375</v>
      </c>
      <c r="DK29" s="284">
        <v>1082.31</v>
      </c>
      <c r="DL29" s="284">
        <v>2100</v>
      </c>
      <c r="DM29" s="284">
        <v>0</v>
      </c>
      <c r="DN29" s="284">
        <v>2100</v>
      </c>
      <c r="DO29" s="284">
        <v>0</v>
      </c>
      <c r="DP29" s="285">
        <v>6926.1399999999994</v>
      </c>
      <c r="DQ29" s="291">
        <v>0</v>
      </c>
      <c r="DR29" s="284">
        <v>5073.8600000000006</v>
      </c>
      <c r="DS29" s="284">
        <v>1000</v>
      </c>
      <c r="DT29" s="284">
        <v>1000</v>
      </c>
      <c r="DU29" s="284">
        <v>1000</v>
      </c>
      <c r="DV29" s="284">
        <v>1000</v>
      </c>
      <c r="DW29" s="284">
        <v>1000</v>
      </c>
      <c r="DX29" s="284">
        <v>1000</v>
      </c>
      <c r="DY29" s="284">
        <v>1000</v>
      </c>
      <c r="DZ29" s="284">
        <v>1000</v>
      </c>
      <c r="EA29" s="284">
        <v>1000</v>
      </c>
      <c r="EB29" s="284">
        <v>1000</v>
      </c>
      <c r="EC29" s="284">
        <v>1000</v>
      </c>
      <c r="ED29" s="284">
        <v>1000</v>
      </c>
      <c r="EE29" s="285">
        <v>12000</v>
      </c>
      <c r="EF29" s="291">
        <v>0</v>
      </c>
      <c r="EG29" s="311">
        <v>5073.8600000000006</v>
      </c>
    </row>
    <row r="30" spans="2:137">
      <c r="B30" s="288" t="s">
        <v>12</v>
      </c>
      <c r="C30" s="284">
        <v>2536.31</v>
      </c>
      <c r="D30" s="284">
        <v>2533.85</v>
      </c>
      <c r="E30" s="284">
        <v>2533.85</v>
      </c>
      <c r="F30" s="284">
        <v>2533.85</v>
      </c>
      <c r="G30" s="284">
        <v>2420.9699999999998</v>
      </c>
      <c r="H30" s="284">
        <v>2420.9899999999998</v>
      </c>
      <c r="I30" s="284">
        <v>2717.99</v>
      </c>
      <c r="J30" s="284">
        <v>2428.2399999999998</v>
      </c>
      <c r="K30" s="284">
        <v>2459.19</v>
      </c>
      <c r="L30" s="284">
        <v>2459.19</v>
      </c>
      <c r="M30" s="284">
        <v>2459.19</v>
      </c>
      <c r="N30" s="284">
        <v>0</v>
      </c>
      <c r="O30" s="285">
        <v>27503.619999999992</v>
      </c>
      <c r="P30" s="291">
        <v>0</v>
      </c>
      <c r="Q30" s="284">
        <v>15752</v>
      </c>
      <c r="R30" s="284">
        <v>4918.38</v>
      </c>
      <c r="S30" s="284">
        <v>2459.19</v>
      </c>
      <c r="T30" s="284">
        <v>2586.81</v>
      </c>
      <c r="U30" s="284">
        <v>2586.81</v>
      </c>
      <c r="V30" s="284">
        <v>2602.29</v>
      </c>
      <c r="W30" s="284">
        <v>2602.29</v>
      </c>
      <c r="X30" s="284">
        <v>2602.29</v>
      </c>
      <c r="Y30" s="284">
        <v>2608.33</v>
      </c>
      <c r="Z30" s="284">
        <v>2627.11</v>
      </c>
      <c r="AA30" s="284">
        <v>2627.11</v>
      </c>
      <c r="AB30" s="284">
        <v>2627.11</v>
      </c>
      <c r="AC30" s="284">
        <v>2627.11</v>
      </c>
      <c r="AD30" s="285">
        <v>33474.83</v>
      </c>
      <c r="AE30" s="291">
        <v>0</v>
      </c>
      <c r="AF30" s="284">
        <v>15752</v>
      </c>
      <c r="AG30" s="284">
        <v>2627.11</v>
      </c>
      <c r="AH30" s="284">
        <v>2627.11</v>
      </c>
      <c r="AI30" s="284">
        <v>2750.26</v>
      </c>
      <c r="AJ30" s="284">
        <v>2750.26</v>
      </c>
      <c r="AK30" s="284">
        <v>2750.26</v>
      </c>
      <c r="AL30" s="284">
        <v>2758.21</v>
      </c>
      <c r="AM30" s="284">
        <v>2758.21</v>
      </c>
      <c r="AN30" s="284">
        <v>2767.57</v>
      </c>
      <c r="AO30" s="284">
        <v>2819.27</v>
      </c>
      <c r="AP30" s="284">
        <v>2819.27</v>
      </c>
      <c r="AQ30" s="284">
        <v>2819.27</v>
      </c>
      <c r="AR30" s="284">
        <v>3819.27</v>
      </c>
      <c r="AS30" s="285">
        <v>34066.07</v>
      </c>
      <c r="AT30" s="291">
        <v>0</v>
      </c>
      <c r="AU30" s="284">
        <v>15752</v>
      </c>
      <c r="AV30" s="284">
        <v>0</v>
      </c>
      <c r="AW30" s="284">
        <v>0</v>
      </c>
      <c r="AX30" s="284">
        <v>0</v>
      </c>
      <c r="AY30" s="284">
        <v>0</v>
      </c>
      <c r="AZ30" s="284">
        <v>0</v>
      </c>
      <c r="BA30" s="284">
        <v>0</v>
      </c>
      <c r="BB30" s="284">
        <v>0</v>
      </c>
      <c r="BC30" s="284">
        <v>0</v>
      </c>
      <c r="BD30" s="284">
        <v>0</v>
      </c>
      <c r="BE30" s="284">
        <v>0</v>
      </c>
      <c r="BF30" s="284">
        <v>0</v>
      </c>
      <c r="BG30" s="284">
        <v>280.47000000000003</v>
      </c>
      <c r="BH30" s="285">
        <v>280.47000000000003</v>
      </c>
      <c r="BI30" s="291">
        <v>0</v>
      </c>
      <c r="BJ30" s="284">
        <v>15752</v>
      </c>
      <c r="BK30" s="284">
        <v>0</v>
      </c>
      <c r="BL30" s="284">
        <v>0</v>
      </c>
      <c r="BM30" s="284">
        <v>0</v>
      </c>
      <c r="BN30" s="284">
        <v>0</v>
      </c>
      <c r="BO30" s="284">
        <v>0</v>
      </c>
      <c r="BP30" s="284">
        <v>0</v>
      </c>
      <c r="BQ30" s="284">
        <v>0</v>
      </c>
      <c r="BR30" s="284">
        <v>0</v>
      </c>
      <c r="BS30" s="284">
        <v>0</v>
      </c>
      <c r="BT30" s="284">
        <v>0</v>
      </c>
      <c r="BU30" s="284">
        <v>0</v>
      </c>
      <c r="BV30" s="284">
        <v>0</v>
      </c>
      <c r="BW30" s="285">
        <v>0</v>
      </c>
      <c r="BX30" s="291">
        <v>0</v>
      </c>
      <c r="BY30" s="284">
        <v>0</v>
      </c>
      <c r="BZ30" s="284">
        <v>0</v>
      </c>
      <c r="CA30" s="284">
        <v>0</v>
      </c>
      <c r="CB30" s="284">
        <v>0</v>
      </c>
      <c r="CC30" s="284">
        <v>0</v>
      </c>
      <c r="CD30" s="284">
        <v>0</v>
      </c>
      <c r="CE30" s="284">
        <v>0</v>
      </c>
      <c r="CF30" s="284">
        <v>0</v>
      </c>
      <c r="CG30" s="284">
        <v>0</v>
      </c>
      <c r="CH30" s="284">
        <v>0</v>
      </c>
      <c r="CI30" s="284">
        <v>0</v>
      </c>
      <c r="CJ30" s="284">
        <v>0</v>
      </c>
      <c r="CK30" s="284">
        <v>0</v>
      </c>
      <c r="CL30" s="285">
        <v>0</v>
      </c>
      <c r="CM30" s="291">
        <v>0</v>
      </c>
      <c r="CN30" s="284">
        <v>0</v>
      </c>
      <c r="CO30" s="284">
        <v>0</v>
      </c>
      <c r="CP30" s="284">
        <v>0</v>
      </c>
      <c r="CQ30" s="284">
        <v>0</v>
      </c>
      <c r="CR30" s="284">
        <v>0</v>
      </c>
      <c r="CS30" s="284">
        <v>0</v>
      </c>
      <c r="CT30" s="284">
        <v>0</v>
      </c>
      <c r="CU30" s="284">
        <v>0</v>
      </c>
      <c r="CV30" s="284">
        <v>0</v>
      </c>
      <c r="CW30" s="284">
        <v>22500</v>
      </c>
      <c r="CX30" s="284">
        <v>0</v>
      </c>
      <c r="CY30" s="284">
        <v>0</v>
      </c>
      <c r="CZ30" s="284">
        <v>-22500</v>
      </c>
      <c r="DA30" s="285">
        <v>0</v>
      </c>
      <c r="DB30" s="291">
        <v>0</v>
      </c>
      <c r="DC30" s="284">
        <v>15752</v>
      </c>
      <c r="DD30" s="284">
        <v>0</v>
      </c>
      <c r="DE30" s="284">
        <v>0</v>
      </c>
      <c r="DF30" s="284">
        <v>0</v>
      </c>
      <c r="DG30" s="284">
        <v>0</v>
      </c>
      <c r="DH30" s="284">
        <v>0</v>
      </c>
      <c r="DI30" s="284">
        <v>0</v>
      </c>
      <c r="DJ30" s="284">
        <v>0</v>
      </c>
      <c r="DK30" s="284">
        <v>0</v>
      </c>
      <c r="DL30" s="284">
        <v>1968</v>
      </c>
      <c r="DM30" s="284">
        <v>0</v>
      </c>
      <c r="DN30" s="284">
        <v>0</v>
      </c>
      <c r="DO30" s="284">
        <v>0</v>
      </c>
      <c r="DP30" s="285">
        <v>1968</v>
      </c>
      <c r="DQ30" s="291">
        <v>0</v>
      </c>
      <c r="DR30" s="284">
        <v>15752</v>
      </c>
      <c r="DS30" s="284">
        <v>1180</v>
      </c>
      <c r="DT30" s="284">
        <v>1180</v>
      </c>
      <c r="DU30" s="284">
        <v>1180</v>
      </c>
      <c r="DV30" s="284">
        <v>1180</v>
      </c>
      <c r="DW30" s="284">
        <v>1180</v>
      </c>
      <c r="DX30" s="284">
        <v>1180</v>
      </c>
      <c r="DY30" s="284">
        <v>1180</v>
      </c>
      <c r="DZ30" s="284">
        <v>1180</v>
      </c>
      <c r="EA30" s="284">
        <v>4740</v>
      </c>
      <c r="EB30" s="284">
        <v>1180</v>
      </c>
      <c r="EC30" s="284">
        <v>1180</v>
      </c>
      <c r="ED30" s="284">
        <v>1180</v>
      </c>
      <c r="EE30" s="285">
        <v>17720</v>
      </c>
      <c r="EF30" s="291">
        <v>0</v>
      </c>
      <c r="EG30" s="311">
        <v>15752</v>
      </c>
    </row>
    <row r="31" spans="2:137">
      <c r="B31" s="287" t="s">
        <v>11</v>
      </c>
      <c r="C31" s="284">
        <v>8369.36</v>
      </c>
      <c r="D31" s="284">
        <v>3016.9700000000003</v>
      </c>
      <c r="E31" s="284">
        <v>5136.3500000000004</v>
      </c>
      <c r="F31" s="284">
        <v>2051.15</v>
      </c>
      <c r="G31" s="284">
        <v>2752.0600000000004</v>
      </c>
      <c r="H31" s="284">
        <v>4464.7300000000005</v>
      </c>
      <c r="I31" s="284">
        <v>3361.33</v>
      </c>
      <c r="J31" s="284">
        <v>5929.5199999999995</v>
      </c>
      <c r="K31" s="284">
        <v>4236.09</v>
      </c>
      <c r="L31" s="284">
        <v>3628.8199999999997</v>
      </c>
      <c r="M31" s="284">
        <v>6153.61</v>
      </c>
      <c r="N31" s="284">
        <v>4425.84</v>
      </c>
      <c r="O31" s="285">
        <v>53525.829999999994</v>
      </c>
      <c r="P31" s="291">
        <v>0</v>
      </c>
      <c r="Q31" s="284">
        <v>141578.32</v>
      </c>
      <c r="R31" s="284">
        <v>4114.91</v>
      </c>
      <c r="S31" s="284">
        <v>3038.1400000000003</v>
      </c>
      <c r="T31" s="284">
        <v>5297.6699999999992</v>
      </c>
      <c r="U31" s="284">
        <v>1349.51</v>
      </c>
      <c r="V31" s="284">
        <v>1796.47</v>
      </c>
      <c r="W31" s="284">
        <v>3054.7799999999997</v>
      </c>
      <c r="X31" s="284">
        <v>2514.27</v>
      </c>
      <c r="Y31" s="284">
        <v>3899.2200000000003</v>
      </c>
      <c r="Z31" s="284">
        <v>1598.64</v>
      </c>
      <c r="AA31" s="284">
        <v>3463.01</v>
      </c>
      <c r="AB31" s="284">
        <v>3526.87</v>
      </c>
      <c r="AC31" s="284">
        <v>4021.2799999999997</v>
      </c>
      <c r="AD31" s="285">
        <v>37674.770000000004</v>
      </c>
      <c r="AE31" s="291">
        <v>0</v>
      </c>
      <c r="AF31" s="284">
        <v>141578.32</v>
      </c>
      <c r="AG31" s="284">
        <v>1591.21</v>
      </c>
      <c r="AH31" s="284">
        <v>1601.75</v>
      </c>
      <c r="AI31" s="284">
        <v>1733.56</v>
      </c>
      <c r="AJ31" s="284">
        <v>1774.85</v>
      </c>
      <c r="AK31" s="284">
        <v>12395.92</v>
      </c>
      <c r="AL31" s="284">
        <v>9792.3900000000012</v>
      </c>
      <c r="AM31" s="284">
        <v>1080.8499999999999</v>
      </c>
      <c r="AN31" s="284">
        <v>1378.77</v>
      </c>
      <c r="AO31" s="284">
        <v>1444.15</v>
      </c>
      <c r="AP31" s="284">
        <v>689.22</v>
      </c>
      <c r="AQ31" s="284">
        <v>2021.63</v>
      </c>
      <c r="AR31" s="284">
        <v>1002.16</v>
      </c>
      <c r="AS31" s="285">
        <v>36506.46</v>
      </c>
      <c r="AT31" s="291">
        <v>0</v>
      </c>
      <c r="AU31" s="284">
        <v>0</v>
      </c>
      <c r="AV31" s="284">
        <v>10612.05</v>
      </c>
      <c r="AW31" s="284">
        <v>2174.85</v>
      </c>
      <c r="AX31" s="284">
        <v>2208.42</v>
      </c>
      <c r="AY31" s="284">
        <v>2376.21</v>
      </c>
      <c r="AZ31" s="284">
        <v>1964.8700000000001</v>
      </c>
      <c r="BA31" s="284">
        <v>2285</v>
      </c>
      <c r="BB31" s="284">
        <v>2398.71</v>
      </c>
      <c r="BC31" s="284">
        <v>3608.31</v>
      </c>
      <c r="BD31" s="284">
        <v>1981.79</v>
      </c>
      <c r="BE31" s="284">
        <v>2305.14</v>
      </c>
      <c r="BF31" s="284">
        <v>2282.92</v>
      </c>
      <c r="BG31" s="284">
        <v>2639.13</v>
      </c>
      <c r="BH31" s="285">
        <v>36837.399999999994</v>
      </c>
      <c r="BI31" s="291">
        <v>0</v>
      </c>
      <c r="BJ31" s="284">
        <v>141578.32</v>
      </c>
      <c r="BK31" s="284">
        <v>2596.7399999999998</v>
      </c>
      <c r="BL31" s="284">
        <v>2508.2399999999998</v>
      </c>
      <c r="BM31" s="284">
        <v>7611.33</v>
      </c>
      <c r="BN31" s="284">
        <v>6295.95</v>
      </c>
      <c r="BO31" s="284">
        <v>6650.9700000000012</v>
      </c>
      <c r="BP31" s="284">
        <v>12684.65</v>
      </c>
      <c r="BQ31" s="284">
        <v>12353.96</v>
      </c>
      <c r="BR31" s="284">
        <v>12726</v>
      </c>
      <c r="BS31" s="284">
        <v>11370.16</v>
      </c>
      <c r="BT31" s="284">
        <v>11402.29</v>
      </c>
      <c r="BU31" s="284">
        <v>12184.970000000001</v>
      </c>
      <c r="BV31" s="284">
        <v>15250.369999999999</v>
      </c>
      <c r="BW31" s="285">
        <v>113635.63</v>
      </c>
      <c r="BX31" s="291">
        <v>0</v>
      </c>
      <c r="BY31" s="284">
        <v>141578.32</v>
      </c>
      <c r="BZ31" s="284">
        <v>18186.05</v>
      </c>
      <c r="CA31" s="284">
        <v>11</v>
      </c>
      <c r="CB31" s="284">
        <v>4086.07</v>
      </c>
      <c r="CC31" s="284">
        <v>862.02</v>
      </c>
      <c r="CD31" s="284">
        <v>0</v>
      </c>
      <c r="CE31" s="284">
        <v>1292.7700000000002</v>
      </c>
      <c r="CF31" s="284">
        <v>10757.779999999999</v>
      </c>
      <c r="CG31" s="284">
        <v>1664.51</v>
      </c>
      <c r="CH31" s="284">
        <v>0</v>
      </c>
      <c r="CI31" s="284">
        <v>0</v>
      </c>
      <c r="CJ31" s="284">
        <v>0</v>
      </c>
      <c r="CK31" s="284">
        <v>0</v>
      </c>
      <c r="CL31" s="285">
        <v>36860.199999999997</v>
      </c>
      <c r="CM31" s="291">
        <v>0</v>
      </c>
      <c r="CN31" s="284">
        <v>141578.32</v>
      </c>
      <c r="CO31" s="284">
        <v>3255</v>
      </c>
      <c r="CP31" s="284">
        <v>0</v>
      </c>
      <c r="CQ31" s="284">
        <v>3315.22</v>
      </c>
      <c r="CR31" s="284">
        <v>257.69</v>
      </c>
      <c r="CS31" s="284">
        <v>0</v>
      </c>
      <c r="CT31" s="284">
        <v>0</v>
      </c>
      <c r="CU31" s="284">
        <v>35867.42</v>
      </c>
      <c r="CV31" s="284">
        <v>0</v>
      </c>
      <c r="CW31" s="284">
        <v>0</v>
      </c>
      <c r="CX31" s="284">
        <v>0</v>
      </c>
      <c r="CY31" s="284">
        <v>0</v>
      </c>
      <c r="CZ31" s="284">
        <v>7467.1</v>
      </c>
      <c r="DA31" s="285">
        <v>50162.43</v>
      </c>
      <c r="DB31" s="291">
        <v>0</v>
      </c>
      <c r="DC31" s="284">
        <v>141578.32</v>
      </c>
      <c r="DD31" s="284">
        <v>5631.4</v>
      </c>
      <c r="DE31" s="284">
        <v>40526.22</v>
      </c>
      <c r="DF31" s="284">
        <v>0</v>
      </c>
      <c r="DG31" s="284">
        <v>-10133.799999999999</v>
      </c>
      <c r="DH31" s="284">
        <v>103.96</v>
      </c>
      <c r="DI31" s="284">
        <v>270</v>
      </c>
      <c r="DJ31" s="284">
        <v>0</v>
      </c>
      <c r="DK31" s="284">
        <v>839.9</v>
      </c>
      <c r="DL31" s="284">
        <v>0</v>
      </c>
      <c r="DM31" s="284">
        <v>0</v>
      </c>
      <c r="DN31" s="284">
        <v>0</v>
      </c>
      <c r="DO31" s="284">
        <v>0</v>
      </c>
      <c r="DP31" s="285">
        <v>37237.68</v>
      </c>
      <c r="DQ31" s="291">
        <v>0</v>
      </c>
      <c r="DR31" s="284">
        <v>141578.32</v>
      </c>
      <c r="DS31" s="284">
        <v>31185</v>
      </c>
      <c r="DT31" s="284">
        <v>31691</v>
      </c>
      <c r="DU31" s="284">
        <v>29900</v>
      </c>
      <c r="DV31" s="284">
        <v>9000</v>
      </c>
      <c r="DW31" s="284">
        <v>9000</v>
      </c>
      <c r="DX31" s="284">
        <v>11385</v>
      </c>
      <c r="DY31" s="284">
        <v>9270</v>
      </c>
      <c r="DZ31" s="284">
        <v>9000</v>
      </c>
      <c r="EA31" s="284">
        <v>9000</v>
      </c>
      <c r="EB31" s="284">
        <v>9000</v>
      </c>
      <c r="EC31" s="284">
        <v>11385</v>
      </c>
      <c r="ED31" s="284">
        <v>9000</v>
      </c>
      <c r="EE31" s="285">
        <v>178816</v>
      </c>
      <c r="EF31" s="291">
        <v>0</v>
      </c>
      <c r="EG31" s="311">
        <v>141578.32</v>
      </c>
    </row>
    <row r="32" spans="2:137">
      <c r="B32" s="288" t="s">
        <v>30</v>
      </c>
      <c r="C32" s="284">
        <v>960.54000000000008</v>
      </c>
      <c r="D32" s="284">
        <v>389.3</v>
      </c>
      <c r="E32" s="284">
        <v>1197.5</v>
      </c>
      <c r="F32" s="284">
        <v>0</v>
      </c>
      <c r="G32" s="284">
        <v>0</v>
      </c>
      <c r="H32" s="284">
        <v>1947.5</v>
      </c>
      <c r="I32" s="284">
        <v>209.25</v>
      </c>
      <c r="J32" s="284">
        <v>1345.2</v>
      </c>
      <c r="K32" s="284">
        <v>0</v>
      </c>
      <c r="L32" s="284">
        <v>52.17</v>
      </c>
      <c r="M32" s="284">
        <v>1747.24</v>
      </c>
      <c r="N32" s="284">
        <v>1608.06</v>
      </c>
      <c r="O32" s="285">
        <v>9456.76</v>
      </c>
      <c r="P32" s="291">
        <v>0</v>
      </c>
      <c r="Q32" s="284">
        <v>27015.93</v>
      </c>
      <c r="R32" s="284">
        <v>0</v>
      </c>
      <c r="S32" s="284">
        <v>627.72</v>
      </c>
      <c r="T32" s="284">
        <v>0</v>
      </c>
      <c r="U32" s="284">
        <v>0</v>
      </c>
      <c r="V32" s="284">
        <v>72.64</v>
      </c>
      <c r="W32" s="284">
        <v>1439.55</v>
      </c>
      <c r="X32" s="284">
        <v>0</v>
      </c>
      <c r="Y32" s="284">
        <v>837.01</v>
      </c>
      <c r="Z32" s="284">
        <v>0</v>
      </c>
      <c r="AA32" s="284">
        <v>657</v>
      </c>
      <c r="AB32" s="284">
        <v>0</v>
      </c>
      <c r="AC32" s="284">
        <v>320</v>
      </c>
      <c r="AD32" s="285">
        <v>3953.92</v>
      </c>
      <c r="AE32" s="291">
        <v>0</v>
      </c>
      <c r="AF32" s="284">
        <v>27015.93</v>
      </c>
      <c r="AG32" s="284">
        <v>0</v>
      </c>
      <c r="AH32" s="284">
        <v>0</v>
      </c>
      <c r="AI32" s="284">
        <v>0</v>
      </c>
      <c r="AJ32" s="284">
        <v>0</v>
      </c>
      <c r="AK32" s="284">
        <v>0</v>
      </c>
      <c r="AL32" s="284">
        <v>0</v>
      </c>
      <c r="AM32" s="284">
        <v>0</v>
      </c>
      <c r="AN32" s="284">
        <v>0</v>
      </c>
      <c r="AO32" s="284">
        <v>0</v>
      </c>
      <c r="AP32" s="284">
        <v>0</v>
      </c>
      <c r="AQ32" s="284">
        <v>0</v>
      </c>
      <c r="AR32" s="284">
        <v>0</v>
      </c>
      <c r="AS32" s="285">
        <v>0</v>
      </c>
      <c r="AT32" s="291">
        <v>0</v>
      </c>
      <c r="AU32" s="284">
        <v>0</v>
      </c>
      <c r="AV32" s="284">
        <v>0</v>
      </c>
      <c r="AW32" s="284">
        <v>0</v>
      </c>
      <c r="AX32" s="284">
        <v>0</v>
      </c>
      <c r="AY32" s="284">
        <v>0</v>
      </c>
      <c r="AZ32" s="284">
        <v>0</v>
      </c>
      <c r="BA32" s="284">
        <v>0</v>
      </c>
      <c r="BB32" s="284">
        <v>0</v>
      </c>
      <c r="BC32" s="284">
        <v>945</v>
      </c>
      <c r="BD32" s="284">
        <v>0</v>
      </c>
      <c r="BE32" s="284">
        <v>0</v>
      </c>
      <c r="BF32" s="284">
        <v>168.5</v>
      </c>
      <c r="BG32" s="284">
        <v>0</v>
      </c>
      <c r="BH32" s="285">
        <v>1113.5</v>
      </c>
      <c r="BI32" s="291">
        <v>0</v>
      </c>
      <c r="BJ32" s="284">
        <v>27015.93</v>
      </c>
      <c r="BK32" s="284">
        <v>0</v>
      </c>
      <c r="BL32" s="284">
        <v>0</v>
      </c>
      <c r="BM32" s="284">
        <v>0</v>
      </c>
      <c r="BN32" s="284">
        <v>0</v>
      </c>
      <c r="BO32" s="284">
        <v>0</v>
      </c>
      <c r="BP32" s="284">
        <v>0</v>
      </c>
      <c r="BQ32" s="284">
        <v>0</v>
      </c>
      <c r="BR32" s="284">
        <v>0</v>
      </c>
      <c r="BS32" s="284">
        <v>0</v>
      </c>
      <c r="BT32" s="284">
        <v>0</v>
      </c>
      <c r="BU32" s="284">
        <v>0</v>
      </c>
      <c r="BV32" s="284">
        <v>0</v>
      </c>
      <c r="BW32" s="285">
        <v>0</v>
      </c>
      <c r="BX32" s="291">
        <v>0</v>
      </c>
      <c r="BY32" s="284">
        <v>27015.93</v>
      </c>
      <c r="BZ32" s="284">
        <v>0</v>
      </c>
      <c r="CA32" s="284">
        <v>11</v>
      </c>
      <c r="CB32" s="284">
        <v>4086.07</v>
      </c>
      <c r="CC32" s="284">
        <v>862.02</v>
      </c>
      <c r="CD32" s="284">
        <v>0</v>
      </c>
      <c r="CE32" s="284">
        <v>1292.7700000000002</v>
      </c>
      <c r="CF32" s="284">
        <v>0</v>
      </c>
      <c r="CG32" s="284">
        <v>258.01</v>
      </c>
      <c r="CH32" s="284">
        <v>0</v>
      </c>
      <c r="CI32" s="284">
        <v>0</v>
      </c>
      <c r="CJ32" s="284">
        <v>0</v>
      </c>
      <c r="CK32" s="284">
        <v>0</v>
      </c>
      <c r="CL32" s="285">
        <v>6509.8700000000008</v>
      </c>
      <c r="CM32" s="291">
        <v>0</v>
      </c>
      <c r="CN32" s="284">
        <v>27015.93</v>
      </c>
      <c r="CO32" s="284">
        <v>0</v>
      </c>
      <c r="CP32" s="284">
        <v>0</v>
      </c>
      <c r="CQ32" s="284">
        <v>0</v>
      </c>
      <c r="CR32" s="284">
        <v>49.8</v>
      </c>
      <c r="CS32" s="284">
        <v>0</v>
      </c>
      <c r="CT32" s="284">
        <v>0</v>
      </c>
      <c r="CU32" s="284">
        <v>35396.400000000001</v>
      </c>
      <c r="CV32" s="284">
        <v>0</v>
      </c>
      <c r="CW32" s="284">
        <v>0</v>
      </c>
      <c r="CX32" s="284">
        <v>0</v>
      </c>
      <c r="CY32" s="284">
        <v>0</v>
      </c>
      <c r="CZ32" s="284">
        <v>65.599999999999994</v>
      </c>
      <c r="DA32" s="285">
        <v>35511.800000000003</v>
      </c>
      <c r="DB32" s="291">
        <v>0</v>
      </c>
      <c r="DC32" s="284">
        <v>27015.93</v>
      </c>
      <c r="DD32" s="284">
        <v>5923.9</v>
      </c>
      <c r="DE32" s="284">
        <v>30451.170000000002</v>
      </c>
      <c r="DF32" s="284">
        <v>0</v>
      </c>
      <c r="DG32" s="284">
        <v>0</v>
      </c>
      <c r="DH32" s="284">
        <v>0</v>
      </c>
      <c r="DI32" s="284">
        <v>270</v>
      </c>
      <c r="DJ32" s="284">
        <v>0</v>
      </c>
      <c r="DK32" s="284">
        <v>0</v>
      </c>
      <c r="DL32" s="284">
        <v>0</v>
      </c>
      <c r="DM32" s="284">
        <v>0</v>
      </c>
      <c r="DN32" s="284">
        <v>0</v>
      </c>
      <c r="DO32" s="284">
        <v>0</v>
      </c>
      <c r="DP32" s="285">
        <v>36645.07</v>
      </c>
      <c r="DQ32" s="291">
        <v>0</v>
      </c>
      <c r="DR32" s="284">
        <v>27015.93</v>
      </c>
      <c r="DS32" s="284">
        <v>19800</v>
      </c>
      <c r="DT32" s="284">
        <v>22691</v>
      </c>
      <c r="DU32" s="284">
        <v>20900</v>
      </c>
      <c r="DV32" s="284">
        <v>0</v>
      </c>
      <c r="DW32" s="284">
        <v>0</v>
      </c>
      <c r="DX32" s="284">
        <v>0</v>
      </c>
      <c r="DY32" s="284">
        <v>270</v>
      </c>
      <c r="DZ32" s="284">
        <v>0</v>
      </c>
      <c r="EA32" s="284">
        <v>0</v>
      </c>
      <c r="EB32" s="284">
        <v>0</v>
      </c>
      <c r="EC32" s="284">
        <v>0</v>
      </c>
      <c r="ED32" s="284">
        <v>0</v>
      </c>
      <c r="EE32" s="285">
        <v>63661</v>
      </c>
      <c r="EF32" s="291">
        <v>0</v>
      </c>
      <c r="EG32" s="311">
        <v>27015.93</v>
      </c>
    </row>
    <row r="33" spans="2:137">
      <c r="B33" s="288" t="s">
        <v>10</v>
      </c>
      <c r="C33" s="284">
        <v>1760.78</v>
      </c>
      <c r="D33" s="284">
        <v>1782.67</v>
      </c>
      <c r="E33" s="284">
        <v>1658.85</v>
      </c>
      <c r="F33" s="284">
        <v>1686.77</v>
      </c>
      <c r="G33" s="284">
        <v>1661.39</v>
      </c>
      <c r="H33" s="284">
        <v>1631.55</v>
      </c>
      <c r="I33" s="284">
        <v>2677.52</v>
      </c>
      <c r="J33" s="284">
        <v>3874.96</v>
      </c>
      <c r="K33" s="284">
        <v>1536.09</v>
      </c>
      <c r="L33" s="284">
        <v>1620.74</v>
      </c>
      <c r="M33" s="284">
        <v>2826.37</v>
      </c>
      <c r="N33" s="284">
        <v>1766.1799999999998</v>
      </c>
      <c r="O33" s="285">
        <v>24483.87</v>
      </c>
      <c r="P33" s="291">
        <v>0</v>
      </c>
      <c r="Q33" s="284">
        <v>0</v>
      </c>
      <c r="R33" s="284">
        <v>2635.7400000000002</v>
      </c>
      <c r="S33" s="284">
        <v>1385.42</v>
      </c>
      <c r="T33" s="284">
        <v>4678.5199999999995</v>
      </c>
      <c r="U33" s="284">
        <v>1349.51</v>
      </c>
      <c r="V33" s="284">
        <v>1225</v>
      </c>
      <c r="W33" s="284">
        <v>1615.23</v>
      </c>
      <c r="X33" s="284">
        <v>1696.27</v>
      </c>
      <c r="Y33" s="284">
        <v>1637.75</v>
      </c>
      <c r="Z33" s="284">
        <v>1598.64</v>
      </c>
      <c r="AA33" s="284">
        <v>1507.21</v>
      </c>
      <c r="AB33" s="284">
        <v>1787.62</v>
      </c>
      <c r="AC33" s="284">
        <v>1748.3300000000002</v>
      </c>
      <c r="AD33" s="285">
        <v>22865.24</v>
      </c>
      <c r="AE33" s="291">
        <v>0</v>
      </c>
      <c r="AF33" s="284">
        <v>0</v>
      </c>
      <c r="AG33" s="284">
        <v>1591.21</v>
      </c>
      <c r="AH33" s="284">
        <v>1601.75</v>
      </c>
      <c r="AI33" s="284">
        <v>1733.56</v>
      </c>
      <c r="AJ33" s="284">
        <v>1774.85</v>
      </c>
      <c r="AK33" s="284">
        <v>12395.92</v>
      </c>
      <c r="AL33" s="284">
        <v>9792.3900000000012</v>
      </c>
      <c r="AM33" s="284">
        <v>1080.8499999999999</v>
      </c>
      <c r="AN33" s="284">
        <v>1378.77</v>
      </c>
      <c r="AO33" s="284">
        <v>1444.15</v>
      </c>
      <c r="AP33" s="284">
        <v>689.22</v>
      </c>
      <c r="AQ33" s="284">
        <v>2021.63</v>
      </c>
      <c r="AR33" s="284">
        <v>1002.16</v>
      </c>
      <c r="AS33" s="285">
        <v>36506.46</v>
      </c>
      <c r="AT33" s="291">
        <v>0</v>
      </c>
      <c r="AU33" s="284">
        <v>0</v>
      </c>
      <c r="AV33" s="284">
        <v>10612.05</v>
      </c>
      <c r="AW33" s="284">
        <v>2174.85</v>
      </c>
      <c r="AX33" s="284">
        <v>2208.42</v>
      </c>
      <c r="AY33" s="284">
        <v>2376.21</v>
      </c>
      <c r="AZ33" s="284">
        <v>1717.45</v>
      </c>
      <c r="BA33" s="284">
        <v>2285</v>
      </c>
      <c r="BB33" s="284">
        <v>2398.71</v>
      </c>
      <c r="BC33" s="284">
        <v>2663.31</v>
      </c>
      <c r="BD33" s="284">
        <v>1981.79</v>
      </c>
      <c r="BE33" s="284">
        <v>2305.14</v>
      </c>
      <c r="BF33" s="284">
        <v>2114.42</v>
      </c>
      <c r="BG33" s="284">
        <v>2639.13</v>
      </c>
      <c r="BH33" s="285">
        <v>35476.479999999996</v>
      </c>
      <c r="BI33" s="291">
        <v>0</v>
      </c>
      <c r="BJ33" s="284">
        <v>0</v>
      </c>
      <c r="BK33" s="284">
        <v>2596.7399999999998</v>
      </c>
      <c r="BL33" s="284">
        <v>2508.2399999999998</v>
      </c>
      <c r="BM33" s="284">
        <v>7611.33</v>
      </c>
      <c r="BN33" s="284">
        <v>6295.95</v>
      </c>
      <c r="BO33" s="284">
        <v>6650.9700000000012</v>
      </c>
      <c r="BP33" s="284">
        <v>12684.65</v>
      </c>
      <c r="BQ33" s="284">
        <v>12353.96</v>
      </c>
      <c r="BR33" s="284">
        <v>12726</v>
      </c>
      <c r="BS33" s="284">
        <v>11370.16</v>
      </c>
      <c r="BT33" s="284">
        <v>11402.29</v>
      </c>
      <c r="BU33" s="284">
        <v>12184.970000000001</v>
      </c>
      <c r="BV33" s="284">
        <v>15250.369999999999</v>
      </c>
      <c r="BW33" s="285">
        <v>113635.63</v>
      </c>
      <c r="BX33" s="291">
        <v>0</v>
      </c>
      <c r="BY33" s="284">
        <v>0</v>
      </c>
      <c r="BZ33" s="284">
        <v>18186.05</v>
      </c>
      <c r="CA33" s="284">
        <v>0</v>
      </c>
      <c r="CB33" s="284">
        <v>0</v>
      </c>
      <c r="CC33" s="284">
        <v>0</v>
      </c>
      <c r="CD33" s="284">
        <v>0</v>
      </c>
      <c r="CE33" s="284">
        <v>0</v>
      </c>
      <c r="CF33" s="284">
        <v>0</v>
      </c>
      <c r="CG33" s="284">
        <v>0</v>
      </c>
      <c r="CH33" s="284">
        <v>0</v>
      </c>
      <c r="CI33" s="284">
        <v>0</v>
      </c>
      <c r="CJ33" s="284">
        <v>0</v>
      </c>
      <c r="CK33" s="284">
        <v>0</v>
      </c>
      <c r="CL33" s="285">
        <v>18186.05</v>
      </c>
      <c r="CM33" s="291">
        <v>0</v>
      </c>
      <c r="CN33" s="284">
        <v>0</v>
      </c>
      <c r="CO33" s="284">
        <v>0</v>
      </c>
      <c r="CP33" s="284">
        <v>0</v>
      </c>
      <c r="CQ33" s="284">
        <v>0</v>
      </c>
      <c r="CR33" s="284">
        <v>0</v>
      </c>
      <c r="CS33" s="284">
        <v>0</v>
      </c>
      <c r="CT33" s="284">
        <v>0</v>
      </c>
      <c r="CU33" s="284">
        <v>0</v>
      </c>
      <c r="CV33" s="284">
        <v>0</v>
      </c>
      <c r="CW33" s="284">
        <v>0</v>
      </c>
      <c r="CX33" s="284">
        <v>0</v>
      </c>
      <c r="CY33" s="284">
        <v>0</v>
      </c>
      <c r="CZ33" s="284">
        <v>0</v>
      </c>
      <c r="DA33" s="285">
        <v>0</v>
      </c>
      <c r="DB33" s="291">
        <v>0</v>
      </c>
      <c r="DC33" s="284">
        <v>0</v>
      </c>
      <c r="DD33" s="284">
        <v>0</v>
      </c>
      <c r="DE33" s="284">
        <v>0</v>
      </c>
      <c r="DF33" s="284">
        <v>0</v>
      </c>
      <c r="DG33" s="284">
        <v>0</v>
      </c>
      <c r="DH33" s="284">
        <v>0</v>
      </c>
      <c r="DI33" s="284">
        <v>0</v>
      </c>
      <c r="DJ33" s="284">
        <v>0</v>
      </c>
      <c r="DK33" s="284">
        <v>0</v>
      </c>
      <c r="DL33" s="284">
        <v>0</v>
      </c>
      <c r="DM33" s="284">
        <v>0</v>
      </c>
      <c r="DN33" s="284">
        <v>0</v>
      </c>
      <c r="DO33" s="284">
        <v>0</v>
      </c>
      <c r="DP33" s="285">
        <v>0</v>
      </c>
      <c r="DQ33" s="291">
        <v>0</v>
      </c>
      <c r="DR33" s="284">
        <v>0</v>
      </c>
      <c r="DS33" s="284">
        <v>0</v>
      </c>
      <c r="DT33" s="284">
        <v>0</v>
      </c>
      <c r="DU33" s="284">
        <v>0</v>
      </c>
      <c r="DV33" s="284">
        <v>0</v>
      </c>
      <c r="DW33" s="284">
        <v>0</v>
      </c>
      <c r="DX33" s="284">
        <v>0</v>
      </c>
      <c r="DY33" s="284">
        <v>0</v>
      </c>
      <c r="DZ33" s="284">
        <v>0</v>
      </c>
      <c r="EA33" s="284">
        <v>0</v>
      </c>
      <c r="EB33" s="284">
        <v>0</v>
      </c>
      <c r="EC33" s="284">
        <v>0</v>
      </c>
      <c r="ED33" s="284">
        <v>0</v>
      </c>
      <c r="EE33" s="285">
        <v>0</v>
      </c>
      <c r="EF33" s="291">
        <v>0</v>
      </c>
      <c r="EG33" s="311">
        <v>0</v>
      </c>
    </row>
    <row r="34" spans="2:137">
      <c r="B34" s="288" t="s">
        <v>29</v>
      </c>
      <c r="C34" s="284">
        <v>1688.04</v>
      </c>
      <c r="D34" s="284">
        <v>845</v>
      </c>
      <c r="E34" s="284">
        <v>2280</v>
      </c>
      <c r="F34" s="284">
        <v>0</v>
      </c>
      <c r="G34" s="284">
        <v>1090.67</v>
      </c>
      <c r="H34" s="284">
        <v>885.68000000000006</v>
      </c>
      <c r="I34" s="284">
        <v>474.56</v>
      </c>
      <c r="J34" s="284">
        <v>709.36</v>
      </c>
      <c r="K34" s="284">
        <v>1500</v>
      </c>
      <c r="L34" s="284">
        <v>1955.9099999999999</v>
      </c>
      <c r="M34" s="284">
        <v>1580</v>
      </c>
      <c r="N34" s="284">
        <v>1051.6000000000001</v>
      </c>
      <c r="O34" s="285">
        <v>14060.820000000002</v>
      </c>
      <c r="P34" s="291">
        <v>0</v>
      </c>
      <c r="Q34" s="284">
        <v>114562.39</v>
      </c>
      <c r="R34" s="284">
        <v>902.17000000000007</v>
      </c>
      <c r="S34" s="284">
        <v>1025</v>
      </c>
      <c r="T34" s="284">
        <v>619.15</v>
      </c>
      <c r="U34" s="284">
        <v>0</v>
      </c>
      <c r="V34" s="284">
        <v>498.83</v>
      </c>
      <c r="W34" s="284">
        <v>0</v>
      </c>
      <c r="X34" s="284">
        <v>818</v>
      </c>
      <c r="Y34" s="284">
        <v>1424.46</v>
      </c>
      <c r="Z34" s="284">
        <v>0</v>
      </c>
      <c r="AA34" s="284">
        <v>1298.8</v>
      </c>
      <c r="AB34" s="284">
        <v>1149.25</v>
      </c>
      <c r="AC34" s="284">
        <v>1952.95</v>
      </c>
      <c r="AD34" s="285">
        <v>9688.61</v>
      </c>
      <c r="AE34" s="291">
        <v>0</v>
      </c>
      <c r="AF34" s="284">
        <v>114562.39</v>
      </c>
      <c r="AG34" s="284">
        <v>0</v>
      </c>
      <c r="AH34" s="284">
        <v>0</v>
      </c>
      <c r="AI34" s="284">
        <v>0</v>
      </c>
      <c r="AJ34" s="284">
        <v>0</v>
      </c>
      <c r="AK34" s="284">
        <v>0</v>
      </c>
      <c r="AL34" s="284">
        <v>0</v>
      </c>
      <c r="AM34" s="284">
        <v>0</v>
      </c>
      <c r="AN34" s="284">
        <v>0</v>
      </c>
      <c r="AO34" s="284">
        <v>0</v>
      </c>
      <c r="AP34" s="284">
        <v>0</v>
      </c>
      <c r="AQ34" s="284">
        <v>0</v>
      </c>
      <c r="AR34" s="284">
        <v>0</v>
      </c>
      <c r="AS34" s="285">
        <v>0</v>
      </c>
      <c r="AT34" s="291">
        <v>0</v>
      </c>
      <c r="AU34" s="284">
        <v>0</v>
      </c>
      <c r="AV34" s="284">
        <v>0</v>
      </c>
      <c r="AW34" s="284">
        <v>0</v>
      </c>
      <c r="AX34" s="284">
        <v>0</v>
      </c>
      <c r="AY34" s="284">
        <v>0</v>
      </c>
      <c r="AZ34" s="284">
        <v>247.42</v>
      </c>
      <c r="BA34" s="284">
        <v>0</v>
      </c>
      <c r="BB34" s="284">
        <v>0</v>
      </c>
      <c r="BC34" s="284">
        <v>0</v>
      </c>
      <c r="BD34" s="284">
        <v>0</v>
      </c>
      <c r="BE34" s="284">
        <v>0</v>
      </c>
      <c r="BF34" s="284">
        <v>0</v>
      </c>
      <c r="BG34" s="284">
        <v>0</v>
      </c>
      <c r="BH34" s="285">
        <v>247.42</v>
      </c>
      <c r="BI34" s="291">
        <v>0</v>
      </c>
      <c r="BJ34" s="284">
        <v>114562.39</v>
      </c>
      <c r="BK34" s="284">
        <v>0</v>
      </c>
      <c r="BL34" s="284">
        <v>0</v>
      </c>
      <c r="BM34" s="284">
        <v>0</v>
      </c>
      <c r="BN34" s="284">
        <v>0</v>
      </c>
      <c r="BO34" s="284">
        <v>0</v>
      </c>
      <c r="BP34" s="284">
        <v>0</v>
      </c>
      <c r="BQ34" s="284">
        <v>0</v>
      </c>
      <c r="BR34" s="284">
        <v>0</v>
      </c>
      <c r="BS34" s="284">
        <v>0</v>
      </c>
      <c r="BT34" s="284">
        <v>0</v>
      </c>
      <c r="BU34" s="284">
        <v>0</v>
      </c>
      <c r="BV34" s="284">
        <v>0</v>
      </c>
      <c r="BW34" s="285">
        <v>0</v>
      </c>
      <c r="BX34" s="291">
        <v>0</v>
      </c>
      <c r="BY34" s="284">
        <v>114562.39</v>
      </c>
      <c r="BZ34" s="284">
        <v>0</v>
      </c>
      <c r="CA34" s="284">
        <v>0</v>
      </c>
      <c r="CB34" s="284">
        <v>0</v>
      </c>
      <c r="CC34" s="284">
        <v>0</v>
      </c>
      <c r="CD34" s="284">
        <v>0</v>
      </c>
      <c r="CE34" s="284">
        <v>0</v>
      </c>
      <c r="CF34" s="284">
        <v>10757.779999999999</v>
      </c>
      <c r="CG34" s="284">
        <v>1406.5</v>
      </c>
      <c r="CH34" s="284">
        <v>0</v>
      </c>
      <c r="CI34" s="284">
        <v>0</v>
      </c>
      <c r="CJ34" s="284">
        <v>0</v>
      </c>
      <c r="CK34" s="284">
        <v>0</v>
      </c>
      <c r="CL34" s="285">
        <v>12164.279999999999</v>
      </c>
      <c r="CM34" s="291">
        <v>0</v>
      </c>
      <c r="CN34" s="284">
        <v>114562.39</v>
      </c>
      <c r="CO34" s="284">
        <v>3255</v>
      </c>
      <c r="CP34" s="284">
        <v>0</v>
      </c>
      <c r="CQ34" s="284">
        <v>3315.22</v>
      </c>
      <c r="CR34" s="284">
        <v>207.89000000000001</v>
      </c>
      <c r="CS34" s="284">
        <v>0</v>
      </c>
      <c r="CT34" s="284">
        <v>0</v>
      </c>
      <c r="CU34" s="284">
        <v>471.02</v>
      </c>
      <c r="CV34" s="284">
        <v>0</v>
      </c>
      <c r="CW34" s="284">
        <v>0</v>
      </c>
      <c r="CX34" s="284">
        <v>0</v>
      </c>
      <c r="CY34" s="284">
        <v>0</v>
      </c>
      <c r="CZ34" s="284">
        <v>7401.5</v>
      </c>
      <c r="DA34" s="285">
        <v>14650.63</v>
      </c>
      <c r="DB34" s="291">
        <v>0</v>
      </c>
      <c r="DC34" s="284">
        <v>114562.39</v>
      </c>
      <c r="DD34" s="284">
        <v>-292.5</v>
      </c>
      <c r="DE34" s="284">
        <v>10075.050000000001</v>
      </c>
      <c r="DF34" s="284">
        <v>0</v>
      </c>
      <c r="DG34" s="284">
        <v>-10133.799999999999</v>
      </c>
      <c r="DH34" s="284">
        <v>103.96</v>
      </c>
      <c r="DI34" s="284">
        <v>0</v>
      </c>
      <c r="DJ34" s="284">
        <v>0</v>
      </c>
      <c r="DK34" s="284">
        <v>839.9</v>
      </c>
      <c r="DL34" s="284">
        <v>0</v>
      </c>
      <c r="DM34" s="284">
        <v>0</v>
      </c>
      <c r="DN34" s="284">
        <v>0</v>
      </c>
      <c r="DO34" s="284">
        <v>0</v>
      </c>
      <c r="DP34" s="285">
        <v>592.61000000000172</v>
      </c>
      <c r="DQ34" s="291">
        <v>0</v>
      </c>
      <c r="DR34" s="284">
        <v>114562.39</v>
      </c>
      <c r="DS34" s="284">
        <v>11385</v>
      </c>
      <c r="DT34" s="284">
        <v>9000</v>
      </c>
      <c r="DU34" s="284">
        <v>9000</v>
      </c>
      <c r="DV34" s="284">
        <v>9000</v>
      </c>
      <c r="DW34" s="284">
        <v>9000</v>
      </c>
      <c r="DX34" s="284">
        <v>11385</v>
      </c>
      <c r="DY34" s="284">
        <v>9000</v>
      </c>
      <c r="DZ34" s="284">
        <v>9000</v>
      </c>
      <c r="EA34" s="284">
        <v>9000</v>
      </c>
      <c r="EB34" s="284">
        <v>9000</v>
      </c>
      <c r="EC34" s="284">
        <v>11385</v>
      </c>
      <c r="ED34" s="284">
        <v>9000</v>
      </c>
      <c r="EE34" s="285">
        <v>115155</v>
      </c>
      <c r="EF34" s="291">
        <v>0</v>
      </c>
      <c r="EG34" s="311">
        <v>114562.39</v>
      </c>
    </row>
    <row r="35" spans="2:137">
      <c r="B35" s="288" t="s">
        <v>112</v>
      </c>
      <c r="C35" s="284">
        <v>3960</v>
      </c>
      <c r="D35" s="284">
        <v>0</v>
      </c>
      <c r="E35" s="284">
        <v>0</v>
      </c>
      <c r="F35" s="284">
        <v>364.38</v>
      </c>
      <c r="G35" s="284">
        <v>0</v>
      </c>
      <c r="H35" s="284">
        <v>0</v>
      </c>
      <c r="I35" s="284">
        <v>0</v>
      </c>
      <c r="J35" s="284">
        <v>0</v>
      </c>
      <c r="K35" s="284">
        <v>0</v>
      </c>
      <c r="L35" s="284">
        <v>0</v>
      </c>
      <c r="M35" s="284">
        <v>0</v>
      </c>
      <c r="N35" s="284">
        <v>0</v>
      </c>
      <c r="O35" s="285">
        <v>4324.38</v>
      </c>
      <c r="P35" s="291">
        <v>0</v>
      </c>
      <c r="Q35" s="284">
        <v>0</v>
      </c>
      <c r="R35" s="284">
        <v>577</v>
      </c>
      <c r="S35" s="284">
        <v>0</v>
      </c>
      <c r="T35" s="284">
        <v>0</v>
      </c>
      <c r="U35" s="284">
        <v>0</v>
      </c>
      <c r="V35" s="284">
        <v>0</v>
      </c>
      <c r="W35" s="284">
        <v>0</v>
      </c>
      <c r="X35" s="284">
        <v>0</v>
      </c>
      <c r="Y35" s="284">
        <v>0</v>
      </c>
      <c r="Z35" s="284">
        <v>0</v>
      </c>
      <c r="AA35" s="284">
        <v>0</v>
      </c>
      <c r="AB35" s="284">
        <v>590</v>
      </c>
      <c r="AC35" s="284">
        <v>0</v>
      </c>
      <c r="AD35" s="285">
        <v>1167</v>
      </c>
      <c r="AE35" s="291">
        <v>0</v>
      </c>
      <c r="AF35" s="284">
        <v>0</v>
      </c>
      <c r="AG35" s="284">
        <v>0</v>
      </c>
      <c r="AH35" s="284">
        <v>0</v>
      </c>
      <c r="AI35" s="284">
        <v>0</v>
      </c>
      <c r="AJ35" s="284">
        <v>0</v>
      </c>
      <c r="AK35" s="284">
        <v>0</v>
      </c>
      <c r="AL35" s="284">
        <v>0</v>
      </c>
      <c r="AM35" s="284">
        <v>0</v>
      </c>
      <c r="AN35" s="284">
        <v>0</v>
      </c>
      <c r="AO35" s="284">
        <v>0</v>
      </c>
      <c r="AP35" s="284">
        <v>0</v>
      </c>
      <c r="AQ35" s="284">
        <v>0</v>
      </c>
      <c r="AR35" s="284">
        <v>0</v>
      </c>
      <c r="AS35" s="285">
        <v>0</v>
      </c>
      <c r="AT35" s="291">
        <v>0</v>
      </c>
      <c r="AU35" s="284">
        <v>0</v>
      </c>
      <c r="AV35" s="284">
        <v>0</v>
      </c>
      <c r="AW35" s="284">
        <v>0</v>
      </c>
      <c r="AX35" s="284">
        <v>0</v>
      </c>
      <c r="AY35" s="284">
        <v>0</v>
      </c>
      <c r="AZ35" s="284">
        <v>0</v>
      </c>
      <c r="BA35" s="284">
        <v>0</v>
      </c>
      <c r="BB35" s="284">
        <v>0</v>
      </c>
      <c r="BC35" s="284">
        <v>0</v>
      </c>
      <c r="BD35" s="284">
        <v>0</v>
      </c>
      <c r="BE35" s="284">
        <v>0</v>
      </c>
      <c r="BF35" s="284">
        <v>0</v>
      </c>
      <c r="BG35" s="284">
        <v>0</v>
      </c>
      <c r="BH35" s="285">
        <v>0</v>
      </c>
      <c r="BI35" s="291">
        <v>0</v>
      </c>
      <c r="BJ35" s="284">
        <v>0</v>
      </c>
      <c r="BK35" s="284">
        <v>0</v>
      </c>
      <c r="BL35" s="284">
        <v>0</v>
      </c>
      <c r="BM35" s="284">
        <v>0</v>
      </c>
      <c r="BN35" s="284">
        <v>0</v>
      </c>
      <c r="BO35" s="284">
        <v>0</v>
      </c>
      <c r="BP35" s="284">
        <v>0</v>
      </c>
      <c r="BQ35" s="284">
        <v>0</v>
      </c>
      <c r="BR35" s="284">
        <v>0</v>
      </c>
      <c r="BS35" s="284">
        <v>0</v>
      </c>
      <c r="BT35" s="284">
        <v>0</v>
      </c>
      <c r="BU35" s="284">
        <v>0</v>
      </c>
      <c r="BV35" s="284">
        <v>0</v>
      </c>
      <c r="BW35" s="285">
        <v>0</v>
      </c>
      <c r="BX35" s="291">
        <v>0</v>
      </c>
      <c r="BY35" s="284">
        <v>0</v>
      </c>
      <c r="BZ35" s="284">
        <v>0</v>
      </c>
      <c r="CA35" s="284">
        <v>0</v>
      </c>
      <c r="CB35" s="284">
        <v>0</v>
      </c>
      <c r="CC35" s="284">
        <v>0</v>
      </c>
      <c r="CD35" s="284">
        <v>0</v>
      </c>
      <c r="CE35" s="284">
        <v>0</v>
      </c>
      <c r="CF35" s="284">
        <v>0</v>
      </c>
      <c r="CG35" s="284">
        <v>0</v>
      </c>
      <c r="CH35" s="284">
        <v>0</v>
      </c>
      <c r="CI35" s="284">
        <v>0</v>
      </c>
      <c r="CJ35" s="284">
        <v>0</v>
      </c>
      <c r="CK35" s="284">
        <v>0</v>
      </c>
      <c r="CL35" s="285">
        <v>0</v>
      </c>
      <c r="CM35" s="291">
        <v>0</v>
      </c>
      <c r="CN35" s="284">
        <v>0</v>
      </c>
      <c r="CO35" s="284">
        <v>0</v>
      </c>
      <c r="CP35" s="284">
        <v>0</v>
      </c>
      <c r="CQ35" s="284">
        <v>0</v>
      </c>
      <c r="CR35" s="284">
        <v>0</v>
      </c>
      <c r="CS35" s="284">
        <v>0</v>
      </c>
      <c r="CT35" s="284">
        <v>0</v>
      </c>
      <c r="CU35" s="284">
        <v>0</v>
      </c>
      <c r="CV35" s="284">
        <v>0</v>
      </c>
      <c r="CW35" s="284">
        <v>0</v>
      </c>
      <c r="CX35" s="284">
        <v>0</v>
      </c>
      <c r="CY35" s="284">
        <v>0</v>
      </c>
      <c r="CZ35" s="284">
        <v>0</v>
      </c>
      <c r="DA35" s="285">
        <v>0</v>
      </c>
      <c r="DB35" s="291">
        <v>0</v>
      </c>
      <c r="DC35" s="284">
        <v>0</v>
      </c>
      <c r="DD35" s="284">
        <v>0</v>
      </c>
      <c r="DE35" s="284">
        <v>0</v>
      </c>
      <c r="DF35" s="284">
        <v>0</v>
      </c>
      <c r="DG35" s="284">
        <v>0</v>
      </c>
      <c r="DH35" s="284">
        <v>0</v>
      </c>
      <c r="DI35" s="284">
        <v>0</v>
      </c>
      <c r="DJ35" s="284">
        <v>0</v>
      </c>
      <c r="DK35" s="284">
        <v>0</v>
      </c>
      <c r="DL35" s="284">
        <v>0</v>
      </c>
      <c r="DM35" s="284">
        <v>0</v>
      </c>
      <c r="DN35" s="284">
        <v>0</v>
      </c>
      <c r="DO35" s="284">
        <v>0</v>
      </c>
      <c r="DP35" s="285">
        <v>0</v>
      </c>
      <c r="DQ35" s="291">
        <v>0</v>
      </c>
      <c r="DR35" s="284">
        <v>0</v>
      </c>
      <c r="DS35" s="284">
        <v>0</v>
      </c>
      <c r="DT35" s="284">
        <v>0</v>
      </c>
      <c r="DU35" s="284">
        <v>0</v>
      </c>
      <c r="DV35" s="284">
        <v>0</v>
      </c>
      <c r="DW35" s="284">
        <v>0</v>
      </c>
      <c r="DX35" s="284">
        <v>0</v>
      </c>
      <c r="DY35" s="284">
        <v>0</v>
      </c>
      <c r="DZ35" s="284">
        <v>0</v>
      </c>
      <c r="EA35" s="284">
        <v>0</v>
      </c>
      <c r="EB35" s="284">
        <v>0</v>
      </c>
      <c r="EC35" s="284">
        <v>0</v>
      </c>
      <c r="ED35" s="284">
        <v>0</v>
      </c>
      <c r="EE35" s="285">
        <v>0</v>
      </c>
      <c r="EF35" s="291">
        <v>0</v>
      </c>
      <c r="EG35" s="311">
        <v>0</v>
      </c>
    </row>
    <row r="36" spans="2:137">
      <c r="B36" s="288" t="s">
        <v>722</v>
      </c>
      <c r="C36" s="284">
        <v>0</v>
      </c>
      <c r="D36" s="284">
        <v>0</v>
      </c>
      <c r="E36" s="284">
        <v>0</v>
      </c>
      <c r="F36" s="284">
        <v>0</v>
      </c>
      <c r="G36" s="284">
        <v>0</v>
      </c>
      <c r="H36" s="284">
        <v>0</v>
      </c>
      <c r="I36" s="284">
        <v>0</v>
      </c>
      <c r="J36" s="284">
        <v>0</v>
      </c>
      <c r="K36" s="284">
        <v>1200</v>
      </c>
      <c r="L36" s="284">
        <v>0</v>
      </c>
      <c r="M36" s="284">
        <v>0</v>
      </c>
      <c r="N36" s="284">
        <v>0</v>
      </c>
      <c r="O36" s="285">
        <v>1200</v>
      </c>
      <c r="P36" s="291">
        <v>0</v>
      </c>
      <c r="Q36" s="284">
        <v>0</v>
      </c>
      <c r="R36" s="284">
        <v>0</v>
      </c>
      <c r="S36" s="284">
        <v>0</v>
      </c>
      <c r="T36" s="284">
        <v>0</v>
      </c>
      <c r="U36" s="284">
        <v>0</v>
      </c>
      <c r="V36" s="284">
        <v>0</v>
      </c>
      <c r="W36" s="284">
        <v>0</v>
      </c>
      <c r="X36" s="284">
        <v>0</v>
      </c>
      <c r="Y36" s="284">
        <v>0</v>
      </c>
      <c r="Z36" s="284">
        <v>0</v>
      </c>
      <c r="AA36" s="284">
        <v>0</v>
      </c>
      <c r="AB36" s="284">
        <v>0</v>
      </c>
      <c r="AC36" s="284">
        <v>0</v>
      </c>
      <c r="AD36" s="285">
        <v>0</v>
      </c>
      <c r="AE36" s="291">
        <v>0</v>
      </c>
      <c r="AF36" s="284">
        <v>0</v>
      </c>
      <c r="AG36" s="284">
        <v>0</v>
      </c>
      <c r="AH36" s="284">
        <v>0</v>
      </c>
      <c r="AI36" s="284">
        <v>0</v>
      </c>
      <c r="AJ36" s="284">
        <v>0</v>
      </c>
      <c r="AK36" s="284">
        <v>0</v>
      </c>
      <c r="AL36" s="284">
        <v>0</v>
      </c>
      <c r="AM36" s="284">
        <v>0</v>
      </c>
      <c r="AN36" s="284">
        <v>0</v>
      </c>
      <c r="AO36" s="284">
        <v>0</v>
      </c>
      <c r="AP36" s="284">
        <v>0</v>
      </c>
      <c r="AQ36" s="284">
        <v>0</v>
      </c>
      <c r="AR36" s="284">
        <v>0</v>
      </c>
      <c r="AS36" s="285">
        <v>0</v>
      </c>
      <c r="AT36" s="291">
        <v>0</v>
      </c>
      <c r="AU36" s="284">
        <v>0</v>
      </c>
      <c r="AV36" s="284">
        <v>0</v>
      </c>
      <c r="AW36" s="284">
        <v>0</v>
      </c>
      <c r="AX36" s="284">
        <v>0</v>
      </c>
      <c r="AY36" s="284">
        <v>0</v>
      </c>
      <c r="AZ36" s="284">
        <v>0</v>
      </c>
      <c r="BA36" s="284">
        <v>0</v>
      </c>
      <c r="BB36" s="284">
        <v>0</v>
      </c>
      <c r="BC36" s="284">
        <v>0</v>
      </c>
      <c r="BD36" s="284">
        <v>0</v>
      </c>
      <c r="BE36" s="284">
        <v>0</v>
      </c>
      <c r="BF36" s="284">
        <v>0</v>
      </c>
      <c r="BG36" s="284">
        <v>0</v>
      </c>
      <c r="BH36" s="285">
        <v>0</v>
      </c>
      <c r="BI36" s="291">
        <v>0</v>
      </c>
      <c r="BJ36" s="284">
        <v>0</v>
      </c>
      <c r="BK36" s="284">
        <v>0</v>
      </c>
      <c r="BL36" s="284">
        <v>0</v>
      </c>
      <c r="BM36" s="284">
        <v>0</v>
      </c>
      <c r="BN36" s="284">
        <v>0</v>
      </c>
      <c r="BO36" s="284">
        <v>0</v>
      </c>
      <c r="BP36" s="284">
        <v>0</v>
      </c>
      <c r="BQ36" s="284">
        <v>0</v>
      </c>
      <c r="BR36" s="284">
        <v>0</v>
      </c>
      <c r="BS36" s="284">
        <v>0</v>
      </c>
      <c r="BT36" s="284">
        <v>0</v>
      </c>
      <c r="BU36" s="284">
        <v>0</v>
      </c>
      <c r="BV36" s="284">
        <v>0</v>
      </c>
      <c r="BW36" s="285">
        <v>0</v>
      </c>
      <c r="BX36" s="291">
        <v>0</v>
      </c>
      <c r="BY36" s="284">
        <v>0</v>
      </c>
      <c r="BZ36" s="284">
        <v>0</v>
      </c>
      <c r="CA36" s="284">
        <v>0</v>
      </c>
      <c r="CB36" s="284">
        <v>0</v>
      </c>
      <c r="CC36" s="284">
        <v>0</v>
      </c>
      <c r="CD36" s="284">
        <v>0</v>
      </c>
      <c r="CE36" s="284">
        <v>0</v>
      </c>
      <c r="CF36" s="284">
        <v>0</v>
      </c>
      <c r="CG36" s="284">
        <v>0</v>
      </c>
      <c r="CH36" s="284">
        <v>0</v>
      </c>
      <c r="CI36" s="284">
        <v>0</v>
      </c>
      <c r="CJ36" s="284">
        <v>0</v>
      </c>
      <c r="CK36" s="284">
        <v>0</v>
      </c>
      <c r="CL36" s="285">
        <v>0</v>
      </c>
      <c r="CM36" s="291">
        <v>0</v>
      </c>
      <c r="CN36" s="284">
        <v>0</v>
      </c>
      <c r="CO36" s="284">
        <v>0</v>
      </c>
      <c r="CP36" s="284">
        <v>0</v>
      </c>
      <c r="CQ36" s="284">
        <v>0</v>
      </c>
      <c r="CR36" s="284">
        <v>0</v>
      </c>
      <c r="CS36" s="284">
        <v>0</v>
      </c>
      <c r="CT36" s="284">
        <v>0</v>
      </c>
      <c r="CU36" s="284">
        <v>0</v>
      </c>
      <c r="CV36" s="284">
        <v>0</v>
      </c>
      <c r="CW36" s="284">
        <v>0</v>
      </c>
      <c r="CX36" s="284">
        <v>0</v>
      </c>
      <c r="CY36" s="284">
        <v>0</v>
      </c>
      <c r="CZ36" s="284">
        <v>0</v>
      </c>
      <c r="DA36" s="285">
        <v>0</v>
      </c>
      <c r="DB36" s="291">
        <v>0</v>
      </c>
      <c r="DC36" s="284">
        <v>0</v>
      </c>
      <c r="DD36" s="284">
        <v>0</v>
      </c>
      <c r="DE36" s="284">
        <v>0</v>
      </c>
      <c r="DF36" s="284">
        <v>0</v>
      </c>
      <c r="DG36" s="284">
        <v>0</v>
      </c>
      <c r="DH36" s="284">
        <v>0</v>
      </c>
      <c r="DI36" s="284">
        <v>0</v>
      </c>
      <c r="DJ36" s="284">
        <v>0</v>
      </c>
      <c r="DK36" s="284">
        <v>0</v>
      </c>
      <c r="DL36" s="284">
        <v>0</v>
      </c>
      <c r="DM36" s="284">
        <v>0</v>
      </c>
      <c r="DN36" s="284">
        <v>0</v>
      </c>
      <c r="DO36" s="284">
        <v>0</v>
      </c>
      <c r="DP36" s="285">
        <v>0</v>
      </c>
      <c r="DQ36" s="291">
        <v>0</v>
      </c>
      <c r="DR36" s="284">
        <v>0</v>
      </c>
      <c r="DS36" s="284">
        <v>0</v>
      </c>
      <c r="DT36" s="284">
        <v>0</v>
      </c>
      <c r="DU36" s="284">
        <v>0</v>
      </c>
      <c r="DV36" s="284">
        <v>0</v>
      </c>
      <c r="DW36" s="284">
        <v>0</v>
      </c>
      <c r="DX36" s="284">
        <v>0</v>
      </c>
      <c r="DY36" s="284">
        <v>0</v>
      </c>
      <c r="DZ36" s="284">
        <v>0</v>
      </c>
      <c r="EA36" s="284">
        <v>0</v>
      </c>
      <c r="EB36" s="284">
        <v>0</v>
      </c>
      <c r="EC36" s="284">
        <v>0</v>
      </c>
      <c r="ED36" s="284">
        <v>0</v>
      </c>
      <c r="EE36" s="285">
        <v>0</v>
      </c>
      <c r="EF36" s="291">
        <v>0</v>
      </c>
      <c r="EG36" s="311">
        <v>0</v>
      </c>
    </row>
    <row r="37" spans="2:137">
      <c r="B37" s="287" t="s">
        <v>7</v>
      </c>
      <c r="C37" s="284">
        <v>-270089.48</v>
      </c>
      <c r="D37" s="284">
        <v>228005.13000000012</v>
      </c>
      <c r="E37" s="284">
        <v>382093.88000000006</v>
      </c>
      <c r="F37" s="284">
        <v>399427.46000000014</v>
      </c>
      <c r="G37" s="284">
        <v>379313.40999999992</v>
      </c>
      <c r="H37" s="284">
        <v>429399.46000000008</v>
      </c>
      <c r="I37" s="284">
        <v>508891.87999999995</v>
      </c>
      <c r="J37" s="284">
        <v>359721.90000000014</v>
      </c>
      <c r="K37" s="284">
        <v>1290734.9099999992</v>
      </c>
      <c r="L37" s="284">
        <v>-427905.72000000015</v>
      </c>
      <c r="M37" s="284">
        <v>429572.93999999994</v>
      </c>
      <c r="N37" s="284">
        <v>431698.6599999998</v>
      </c>
      <c r="O37" s="285">
        <v>4140864.4299999997</v>
      </c>
      <c r="P37" s="291">
        <v>0</v>
      </c>
      <c r="Q37" s="284">
        <v>880699.28108721506</v>
      </c>
      <c r="R37" s="284">
        <v>308484.12000000005</v>
      </c>
      <c r="S37" s="284">
        <v>548546.2100000002</v>
      </c>
      <c r="T37" s="284">
        <v>631415.06000000006</v>
      </c>
      <c r="U37" s="284">
        <v>597951.92000000004</v>
      </c>
      <c r="V37" s="284">
        <v>730010.47000000044</v>
      </c>
      <c r="W37" s="284">
        <v>676583.70000000007</v>
      </c>
      <c r="X37" s="284">
        <v>1250359.9200000004</v>
      </c>
      <c r="Y37" s="284">
        <v>663445.09</v>
      </c>
      <c r="Z37" s="284">
        <v>320112.42000000057</v>
      </c>
      <c r="AA37" s="284">
        <v>863851.27000000014</v>
      </c>
      <c r="AB37" s="284">
        <v>764855.84000000008</v>
      </c>
      <c r="AC37" s="284">
        <v>974070.00999999978</v>
      </c>
      <c r="AD37" s="285">
        <v>8329686.0300000021</v>
      </c>
      <c r="AE37" s="291">
        <v>0</v>
      </c>
      <c r="AF37" s="284">
        <v>880699.28108721506</v>
      </c>
      <c r="AG37" s="284">
        <v>-52551.949999999946</v>
      </c>
      <c r="AH37" s="284">
        <v>516150.09999999974</v>
      </c>
      <c r="AI37" s="284">
        <v>590801.79999999935</v>
      </c>
      <c r="AJ37" s="284">
        <v>405561.40999999974</v>
      </c>
      <c r="AK37" s="284">
        <v>380774.95000000019</v>
      </c>
      <c r="AL37" s="284">
        <v>454436.20000000013</v>
      </c>
      <c r="AM37" s="284">
        <v>637675.81999999972</v>
      </c>
      <c r="AN37" s="284">
        <v>665997.91000000015</v>
      </c>
      <c r="AO37" s="284">
        <v>652435.87</v>
      </c>
      <c r="AP37" s="284">
        <v>687843.90999999992</v>
      </c>
      <c r="AQ37" s="284">
        <v>705571.31999999972</v>
      </c>
      <c r="AR37" s="284">
        <v>584106.58999999985</v>
      </c>
      <c r="AS37" s="285">
        <v>6228803.9299999978</v>
      </c>
      <c r="AT37" s="291">
        <v>0</v>
      </c>
      <c r="AU37" s="284">
        <v>880699.28108721506</v>
      </c>
      <c r="AV37" s="284">
        <v>634439.6</v>
      </c>
      <c r="AW37" s="284">
        <v>628117.97999999986</v>
      </c>
      <c r="AX37" s="284">
        <v>778748.23000000033</v>
      </c>
      <c r="AY37" s="284">
        <v>884680.24999999965</v>
      </c>
      <c r="AZ37" s="284">
        <v>835286.44999999984</v>
      </c>
      <c r="BA37" s="284">
        <v>699648.76000000036</v>
      </c>
      <c r="BB37" s="284">
        <v>723494.59</v>
      </c>
      <c r="BC37" s="284">
        <v>808910.01999999967</v>
      </c>
      <c r="BD37" s="284">
        <v>653141.6999999996</v>
      </c>
      <c r="BE37" s="284">
        <v>609086.76</v>
      </c>
      <c r="BF37" s="284">
        <v>790391.04</v>
      </c>
      <c r="BG37" s="284">
        <v>1247116.0599999994</v>
      </c>
      <c r="BH37" s="285">
        <v>9293061.4399999976</v>
      </c>
      <c r="BI37" s="291">
        <v>0</v>
      </c>
      <c r="BJ37" s="284">
        <v>880699.28108721506</v>
      </c>
      <c r="BK37" s="284">
        <v>784779.40999999957</v>
      </c>
      <c r="BL37" s="284">
        <v>-77614.540000000212</v>
      </c>
      <c r="BM37" s="284">
        <v>894883.44000000018</v>
      </c>
      <c r="BN37" s="284">
        <v>663281.89000000036</v>
      </c>
      <c r="BO37" s="284">
        <v>819644.83999999962</v>
      </c>
      <c r="BP37" s="284">
        <v>858292.19000000006</v>
      </c>
      <c r="BQ37" s="284">
        <v>697967.71999999962</v>
      </c>
      <c r="BR37" s="284">
        <v>1212843</v>
      </c>
      <c r="BS37" s="284">
        <v>325296.57999999955</v>
      </c>
      <c r="BT37" s="284">
        <v>1269110.8300000003</v>
      </c>
      <c r="BU37" s="284">
        <v>757563.0199999992</v>
      </c>
      <c r="BV37" s="284">
        <v>613677.81000000029</v>
      </c>
      <c r="BW37" s="285">
        <v>8819726.1899999995</v>
      </c>
      <c r="BX37" s="291">
        <v>0</v>
      </c>
      <c r="BY37" s="284">
        <v>880699.28108721506</v>
      </c>
      <c r="BZ37" s="284">
        <v>1036778.8299999995</v>
      </c>
      <c r="CA37" s="284">
        <v>916097</v>
      </c>
      <c r="CB37" s="284">
        <v>1070225.7</v>
      </c>
      <c r="CC37" s="284">
        <v>968629.18000000028</v>
      </c>
      <c r="CD37" s="284">
        <v>1181976.2400000007</v>
      </c>
      <c r="CE37" s="284">
        <v>1270270.9299999992</v>
      </c>
      <c r="CF37" s="284">
        <v>1228270.8099999998</v>
      </c>
      <c r="CG37" s="284">
        <v>1129901.1599999999</v>
      </c>
      <c r="CH37" s="284">
        <v>792229.63</v>
      </c>
      <c r="CI37" s="284">
        <v>982784.89999999991</v>
      </c>
      <c r="CJ37" s="284">
        <v>941881.87999999942</v>
      </c>
      <c r="CK37" s="284">
        <v>1190593.3400000003</v>
      </c>
      <c r="CL37" s="285">
        <v>12709639.600000001</v>
      </c>
      <c r="CM37" s="291">
        <v>0</v>
      </c>
      <c r="CN37" s="284">
        <v>880699.28108721506</v>
      </c>
      <c r="CO37" s="284">
        <v>474383.83999999973</v>
      </c>
      <c r="CP37" s="284">
        <v>1098917.1799999992</v>
      </c>
      <c r="CQ37" s="284">
        <v>764248.28999999864</v>
      </c>
      <c r="CR37" s="284">
        <v>1303732.0099999998</v>
      </c>
      <c r="CS37" s="284">
        <v>902712.51000000047</v>
      </c>
      <c r="CT37" s="284">
        <v>629009.85000000044</v>
      </c>
      <c r="CU37" s="284">
        <v>680416.01000000036</v>
      </c>
      <c r="CV37" s="284">
        <v>990550.54000000108</v>
      </c>
      <c r="CW37" s="284">
        <v>616508.95999999926</v>
      </c>
      <c r="CX37" s="284">
        <v>1350434</v>
      </c>
      <c r="CY37" s="284">
        <v>997760.32999999856</v>
      </c>
      <c r="CZ37" s="284">
        <v>1305551.2799999996</v>
      </c>
      <c r="DA37" s="285">
        <v>11114224.799999995</v>
      </c>
      <c r="DB37" s="291">
        <v>0</v>
      </c>
      <c r="DC37" s="284">
        <v>880699.28108721506</v>
      </c>
      <c r="DD37" s="284">
        <v>1004741.8199999983</v>
      </c>
      <c r="DE37" s="284">
        <v>945639.24</v>
      </c>
      <c r="DF37" s="284">
        <v>951274.92000000039</v>
      </c>
      <c r="DG37" s="284">
        <v>723204.8699999986</v>
      </c>
      <c r="DH37" s="284">
        <v>654641.96999999869</v>
      </c>
      <c r="DI37" s="284">
        <v>1451279.7599999998</v>
      </c>
      <c r="DJ37" s="284">
        <v>608102.00999999978</v>
      </c>
      <c r="DK37" s="284">
        <v>1854976.7599999998</v>
      </c>
      <c r="DL37" s="284">
        <v>942319.74457414716</v>
      </c>
      <c r="DM37" s="284">
        <v>1022920.6098206986</v>
      </c>
      <c r="DN37" s="284">
        <v>965397.56907202327</v>
      </c>
      <c r="DO37" s="284">
        <v>882112.64415102196</v>
      </c>
      <c r="DP37" s="285">
        <v>12006611.917617887</v>
      </c>
      <c r="DQ37" s="291">
        <v>0</v>
      </c>
      <c r="DR37" s="284">
        <v>907437.61108721502</v>
      </c>
      <c r="DS37" s="284">
        <v>1210768.4382140199</v>
      </c>
      <c r="DT37" s="284">
        <v>939724.62511322403</v>
      </c>
      <c r="DU37" s="284">
        <v>950719.33886737237</v>
      </c>
      <c r="DV37" s="284">
        <v>1001549.3366357783</v>
      </c>
      <c r="DW37" s="284">
        <v>954885.07356236188</v>
      </c>
      <c r="DX37" s="284">
        <v>1107997.6009711635</v>
      </c>
      <c r="DY37" s="284">
        <v>1168098.4112318507</v>
      </c>
      <c r="DZ37" s="284">
        <v>1081644.3913076399</v>
      </c>
      <c r="EA37" s="284">
        <v>1196427.8108318739</v>
      </c>
      <c r="EB37" s="284">
        <v>1228137.3955009151</v>
      </c>
      <c r="EC37" s="284">
        <v>1113452.0075853423</v>
      </c>
      <c r="ED37" s="284">
        <v>960645.098883559</v>
      </c>
      <c r="EE37" s="285">
        <v>12914049.528705101</v>
      </c>
      <c r="EF37" s="291">
        <v>0</v>
      </c>
      <c r="EG37" s="311">
        <v>907437.61108721502</v>
      </c>
    </row>
    <row r="38" spans="2:137">
      <c r="B38" s="288" t="s">
        <v>9</v>
      </c>
      <c r="C38" s="284">
        <v>540</v>
      </c>
      <c r="D38" s="284">
        <v>149781.43000000002</v>
      </c>
      <c r="E38" s="284">
        <v>140198.42000000001</v>
      </c>
      <c r="F38" s="284">
        <v>196919.35</v>
      </c>
      <c r="G38" s="284">
        <v>197576.26</v>
      </c>
      <c r="H38" s="284">
        <v>128978.42</v>
      </c>
      <c r="I38" s="284">
        <v>280256.25</v>
      </c>
      <c r="J38" s="284">
        <v>120501.73000000003</v>
      </c>
      <c r="K38" s="284">
        <v>194506.86</v>
      </c>
      <c r="L38" s="284">
        <v>167475.65</v>
      </c>
      <c r="M38" s="284">
        <v>180657.29</v>
      </c>
      <c r="N38" s="284">
        <v>179441.65</v>
      </c>
      <c r="O38" s="285">
        <v>1936833.3100000003</v>
      </c>
      <c r="P38" s="291">
        <v>0</v>
      </c>
      <c r="Q38" s="284">
        <v>288673.15600690152</v>
      </c>
      <c r="R38" s="284">
        <v>109</v>
      </c>
      <c r="S38" s="284">
        <v>187323.89</v>
      </c>
      <c r="T38" s="284">
        <v>184085.26</v>
      </c>
      <c r="U38" s="284">
        <v>191116.58999999997</v>
      </c>
      <c r="V38" s="284">
        <v>217855.23</v>
      </c>
      <c r="W38" s="284">
        <v>186820.41</v>
      </c>
      <c r="X38" s="284">
        <v>138457.21</v>
      </c>
      <c r="Y38" s="284">
        <v>182796.58</v>
      </c>
      <c r="Z38" s="284">
        <v>137500.98000000001</v>
      </c>
      <c r="AA38" s="284">
        <v>196590.20999999996</v>
      </c>
      <c r="AB38" s="284">
        <v>147821.9</v>
      </c>
      <c r="AC38" s="284">
        <v>128822.86</v>
      </c>
      <c r="AD38" s="285">
        <v>1899300.1199999999</v>
      </c>
      <c r="AE38" s="291">
        <v>0</v>
      </c>
      <c r="AF38" s="284">
        <v>288673.15600690152</v>
      </c>
      <c r="AG38" s="284">
        <v>3497.98</v>
      </c>
      <c r="AH38" s="284">
        <v>105196.42000000001</v>
      </c>
      <c r="AI38" s="284">
        <v>87962.51999999999</v>
      </c>
      <c r="AJ38" s="284">
        <v>82620.69</v>
      </c>
      <c r="AK38" s="284">
        <v>60042.229999999996</v>
      </c>
      <c r="AL38" s="284">
        <v>82874.67</v>
      </c>
      <c r="AM38" s="284">
        <v>84745.069999999992</v>
      </c>
      <c r="AN38" s="284">
        <v>80956.41</v>
      </c>
      <c r="AO38" s="284">
        <v>91054.5</v>
      </c>
      <c r="AP38" s="284">
        <v>94456.150000000009</v>
      </c>
      <c r="AQ38" s="284">
        <v>108169.19</v>
      </c>
      <c r="AR38" s="284">
        <v>89870.15</v>
      </c>
      <c r="AS38" s="285">
        <v>971445.98</v>
      </c>
      <c r="AT38" s="291">
        <v>0</v>
      </c>
      <c r="AU38" s="284">
        <v>288673.15600690152</v>
      </c>
      <c r="AV38" s="284">
        <v>73839.710000000006</v>
      </c>
      <c r="AW38" s="284">
        <v>71811.289999999994</v>
      </c>
      <c r="AX38" s="284">
        <v>76825.899999999994</v>
      </c>
      <c r="AY38" s="284">
        <v>105593.37</v>
      </c>
      <c r="AZ38" s="284">
        <v>114649.27</v>
      </c>
      <c r="BA38" s="284">
        <v>102393.11</v>
      </c>
      <c r="BB38" s="284">
        <v>96209.33</v>
      </c>
      <c r="BC38" s="284">
        <v>124535.24</v>
      </c>
      <c r="BD38" s="284">
        <v>96825.74</v>
      </c>
      <c r="BE38" s="284">
        <v>94513.68</v>
      </c>
      <c r="BF38" s="284">
        <v>94887.78</v>
      </c>
      <c r="BG38" s="284">
        <v>77045.56</v>
      </c>
      <c r="BH38" s="285">
        <v>1129129.98</v>
      </c>
      <c r="BI38" s="291">
        <v>0</v>
      </c>
      <c r="BJ38" s="284">
        <v>288673.15600690152</v>
      </c>
      <c r="BK38" s="284">
        <v>88265.02</v>
      </c>
      <c r="BL38" s="284">
        <v>81505.279999999999</v>
      </c>
      <c r="BM38" s="284">
        <v>52202.649999999994</v>
      </c>
      <c r="BN38" s="284">
        <v>48986.67</v>
      </c>
      <c r="BO38" s="284">
        <v>57440.04</v>
      </c>
      <c r="BP38" s="284">
        <v>56447.130000000005</v>
      </c>
      <c r="BQ38" s="284">
        <v>58119.08</v>
      </c>
      <c r="BR38" s="284">
        <v>51754</v>
      </c>
      <c r="BS38" s="284">
        <v>50036.41</v>
      </c>
      <c r="BT38" s="284">
        <v>48824.29</v>
      </c>
      <c r="BU38" s="284">
        <v>42139.46</v>
      </c>
      <c r="BV38" s="284">
        <v>37054</v>
      </c>
      <c r="BW38" s="285">
        <v>672774.03</v>
      </c>
      <c r="BX38" s="291">
        <v>0</v>
      </c>
      <c r="BY38" s="284">
        <v>288673.15600690152</v>
      </c>
      <c r="BZ38" s="284">
        <v>50419.08</v>
      </c>
      <c r="CA38" s="284">
        <v>45931</v>
      </c>
      <c r="CB38" s="284">
        <v>62570.96</v>
      </c>
      <c r="CC38" s="284">
        <v>65481.94000000001</v>
      </c>
      <c r="CD38" s="284">
        <v>99418.36</v>
      </c>
      <c r="CE38" s="284">
        <v>89162.4</v>
      </c>
      <c r="CF38" s="284">
        <v>121377.36</v>
      </c>
      <c r="CG38" s="284">
        <v>104655.61</v>
      </c>
      <c r="CH38" s="284">
        <v>129317.86</v>
      </c>
      <c r="CI38" s="284">
        <v>108834.4</v>
      </c>
      <c r="CJ38" s="284">
        <v>139314.46</v>
      </c>
      <c r="CK38" s="284">
        <v>143138.47</v>
      </c>
      <c r="CL38" s="285">
        <v>1159621.8999999999</v>
      </c>
      <c r="CM38" s="291">
        <v>0</v>
      </c>
      <c r="CN38" s="284">
        <v>288673.15600690152</v>
      </c>
      <c r="CO38" s="284">
        <v>138661.35999999999</v>
      </c>
      <c r="CP38" s="284">
        <v>148156.97</v>
      </c>
      <c r="CQ38" s="284">
        <v>134999.35999999999</v>
      </c>
      <c r="CR38" s="284">
        <v>80458.36</v>
      </c>
      <c r="CS38" s="284">
        <v>6386.39</v>
      </c>
      <c r="CT38" s="284">
        <v>4225.1000000000004</v>
      </c>
      <c r="CU38" s="284">
        <v>2933.1</v>
      </c>
      <c r="CV38" s="284">
        <v>3902.41</v>
      </c>
      <c r="CW38" s="284">
        <v>3944.45</v>
      </c>
      <c r="CX38" s="284">
        <v>97390</v>
      </c>
      <c r="CY38" s="284">
        <v>117410.09</v>
      </c>
      <c r="CZ38" s="284">
        <v>3358.37</v>
      </c>
      <c r="DA38" s="285">
        <v>741825.95999999985</v>
      </c>
      <c r="DB38" s="291">
        <v>0</v>
      </c>
      <c r="DC38" s="284">
        <v>288673.15600690152</v>
      </c>
      <c r="DD38" s="284">
        <v>2843.77</v>
      </c>
      <c r="DE38" s="284">
        <v>135983.03</v>
      </c>
      <c r="DF38" s="284">
        <v>131583.24</v>
      </c>
      <c r="DG38" s="284">
        <v>1337.46</v>
      </c>
      <c r="DH38" s="284">
        <v>2.0000000018626451E-2</v>
      </c>
      <c r="DI38" s="284">
        <v>0</v>
      </c>
      <c r="DJ38" s="284">
        <v>175288.40999999997</v>
      </c>
      <c r="DK38" s="284">
        <v>229711.68000000002</v>
      </c>
      <c r="DL38" s="284">
        <v>82328.525286877077</v>
      </c>
      <c r="DM38" s="284">
        <v>84959.522795582627</v>
      </c>
      <c r="DN38" s="284">
        <v>80210.922383232959</v>
      </c>
      <c r="DO38" s="284">
        <v>65467.594951406005</v>
      </c>
      <c r="DP38" s="285">
        <v>989714.17541709868</v>
      </c>
      <c r="DQ38" s="291">
        <v>0</v>
      </c>
      <c r="DR38" s="284">
        <v>288673.15600690152</v>
      </c>
      <c r="DS38" s="284">
        <v>126402.31072000002</v>
      </c>
      <c r="DT38" s="284">
        <v>90697.765759999995</v>
      </c>
      <c r="DU38" s="284">
        <v>91892.411520000023</v>
      </c>
      <c r="DV38" s="284">
        <v>93034.403840000014</v>
      </c>
      <c r="DW38" s="284">
        <v>87375.447040000014</v>
      </c>
      <c r="DX38" s="284">
        <v>108731.56896</v>
      </c>
      <c r="DY38" s="284">
        <v>117233.31177600002</v>
      </c>
      <c r="DZ38" s="284">
        <v>106649.212992</v>
      </c>
      <c r="EA38" s="284">
        <v>122450.46293760002</v>
      </c>
      <c r="EB38" s="284">
        <v>127264.77200640002</v>
      </c>
      <c r="EC38" s="284">
        <v>113095.32326400002</v>
      </c>
      <c r="ED38" s="284">
        <v>93560.340608000013</v>
      </c>
      <c r="EE38" s="285">
        <v>1278387.3314240002</v>
      </c>
      <c r="EF38" s="291">
        <v>0</v>
      </c>
      <c r="EG38" s="311">
        <v>288673.15600690152</v>
      </c>
    </row>
    <row r="39" spans="2:137">
      <c r="B39" s="288" t="s">
        <v>8</v>
      </c>
      <c r="C39" s="284">
        <v>-275737.87</v>
      </c>
      <c r="D39" s="284">
        <v>70253.27000000012</v>
      </c>
      <c r="E39" s="284">
        <v>240656.04000000004</v>
      </c>
      <c r="F39" s="284">
        <v>195423.51000000015</v>
      </c>
      <c r="G39" s="284">
        <v>178189.48999999993</v>
      </c>
      <c r="H39" s="284">
        <v>286493.81000000011</v>
      </c>
      <c r="I39" s="284">
        <v>226220.89999999997</v>
      </c>
      <c r="J39" s="284">
        <v>226085.4800000001</v>
      </c>
      <c r="K39" s="284">
        <v>1094014.6999999993</v>
      </c>
      <c r="L39" s="284">
        <v>-602814.28000000014</v>
      </c>
      <c r="M39" s="284">
        <v>248557.8</v>
      </c>
      <c r="N39" s="284">
        <v>247833.71999999983</v>
      </c>
      <c r="O39" s="285">
        <v>2135176.5699999994</v>
      </c>
      <c r="P39" s="291">
        <v>0</v>
      </c>
      <c r="Q39" s="284">
        <v>592026.12508031353</v>
      </c>
      <c r="R39" s="284">
        <v>302233.37000000005</v>
      </c>
      <c r="S39" s="284">
        <v>320311.05000000016</v>
      </c>
      <c r="T39" s="284">
        <v>391103.96999999991</v>
      </c>
      <c r="U39" s="284">
        <v>348097.2900000001</v>
      </c>
      <c r="V39" s="284">
        <v>421495.89000000042</v>
      </c>
      <c r="W39" s="284">
        <v>432488.35</v>
      </c>
      <c r="X39" s="284">
        <v>1065660.5100000002</v>
      </c>
      <c r="Y39" s="284">
        <v>455154.74999999994</v>
      </c>
      <c r="Z39" s="284">
        <v>166498.24000000051</v>
      </c>
      <c r="AA39" s="284">
        <v>662269.26000000013</v>
      </c>
      <c r="AB39" s="284">
        <v>600415.15000000026</v>
      </c>
      <c r="AC39" s="284">
        <v>841731.19999999984</v>
      </c>
      <c r="AD39" s="285">
        <v>6007459.0300000021</v>
      </c>
      <c r="AE39" s="291">
        <v>0</v>
      </c>
      <c r="AF39" s="284">
        <v>592026.12508031353</v>
      </c>
      <c r="AG39" s="284">
        <v>-76136.989999999947</v>
      </c>
      <c r="AH39" s="284">
        <v>403108.0499999997</v>
      </c>
      <c r="AI39" s="284">
        <v>479927.85999999929</v>
      </c>
      <c r="AJ39" s="284">
        <v>320184.76999999973</v>
      </c>
      <c r="AK39" s="284">
        <v>315204.5900000002</v>
      </c>
      <c r="AL39" s="284">
        <v>365143.17000000016</v>
      </c>
      <c r="AM39" s="284">
        <v>537803.82999999973</v>
      </c>
      <c r="AN39" s="284">
        <v>568696.4800000001</v>
      </c>
      <c r="AO39" s="284">
        <v>561175.91</v>
      </c>
      <c r="AP39" s="284">
        <v>592545.89999999991</v>
      </c>
      <c r="AQ39" s="284">
        <v>596878.26999999979</v>
      </c>
      <c r="AR39" s="284">
        <v>493590.23999999993</v>
      </c>
      <c r="AS39" s="285">
        <v>5158122.0799999991</v>
      </c>
      <c r="AT39" s="291">
        <v>0</v>
      </c>
      <c r="AU39" s="284">
        <v>592026.12508031353</v>
      </c>
      <c r="AV39" s="284">
        <v>560599.89</v>
      </c>
      <c r="AW39" s="284">
        <v>562271.56999999983</v>
      </c>
      <c r="AX39" s="284">
        <v>702740.92000000027</v>
      </c>
      <c r="AY39" s="284">
        <v>774154.61999999965</v>
      </c>
      <c r="AZ39" s="284">
        <v>722537.97999999986</v>
      </c>
      <c r="BA39" s="284">
        <v>597255.65000000037</v>
      </c>
      <c r="BB39" s="284">
        <v>627285.26</v>
      </c>
      <c r="BC39" s="284">
        <v>684374.77999999968</v>
      </c>
      <c r="BD39" s="284">
        <v>558289.95999999961</v>
      </c>
      <c r="BE39" s="284">
        <v>514808.08</v>
      </c>
      <c r="BF39" s="284">
        <v>699451.26</v>
      </c>
      <c r="BG39" s="284">
        <v>1170070.4999999993</v>
      </c>
      <c r="BH39" s="285">
        <v>8173840.4699999988</v>
      </c>
      <c r="BI39" s="291">
        <v>0</v>
      </c>
      <c r="BJ39" s="284">
        <v>592026.12508031353</v>
      </c>
      <c r="BK39" s="284">
        <v>704410.38999999955</v>
      </c>
      <c r="BL39" s="284">
        <v>-157803.48000000021</v>
      </c>
      <c r="BM39" s="284">
        <v>842680.79000000015</v>
      </c>
      <c r="BN39" s="284">
        <v>616269.22000000032</v>
      </c>
      <c r="BO39" s="284">
        <v>761663.59999999963</v>
      </c>
      <c r="BP39" s="284">
        <v>801845.06</v>
      </c>
      <c r="BQ39" s="284">
        <v>639848.63999999966</v>
      </c>
      <c r="BR39" s="284">
        <v>1161089</v>
      </c>
      <c r="BS39" s="284">
        <v>275260.16999999958</v>
      </c>
      <c r="BT39" s="284">
        <v>1220286.5400000003</v>
      </c>
      <c r="BU39" s="284">
        <v>715423.55999999924</v>
      </c>
      <c r="BV39" s="284">
        <v>576623.81000000029</v>
      </c>
      <c r="BW39" s="285">
        <v>8157597.2999999998</v>
      </c>
      <c r="BX39" s="291">
        <v>0</v>
      </c>
      <c r="BY39" s="284">
        <v>592026.12508031353</v>
      </c>
      <c r="BZ39" s="284">
        <v>986359.74999999953</v>
      </c>
      <c r="CA39" s="284">
        <v>870166</v>
      </c>
      <c r="CB39" s="284">
        <v>1007654.74</v>
      </c>
      <c r="CC39" s="284">
        <v>903147.24000000022</v>
      </c>
      <c r="CD39" s="284">
        <v>1082557.8800000006</v>
      </c>
      <c r="CE39" s="284">
        <v>1175186.5299999993</v>
      </c>
      <c r="CF39" s="284">
        <v>1106893.4499999997</v>
      </c>
      <c r="CG39" s="284">
        <v>1019088.5499999999</v>
      </c>
      <c r="CH39" s="284">
        <v>662911.77</v>
      </c>
      <c r="CI39" s="284">
        <v>873950.49999999988</v>
      </c>
      <c r="CJ39" s="284">
        <v>802567.41999999946</v>
      </c>
      <c r="CK39" s="284">
        <v>1047454.8700000002</v>
      </c>
      <c r="CL39" s="285">
        <v>11537938.700000001</v>
      </c>
      <c r="CM39" s="291">
        <v>0</v>
      </c>
      <c r="CN39" s="284">
        <v>592026.12508031353</v>
      </c>
      <c r="CO39" s="284">
        <v>335722.47999999975</v>
      </c>
      <c r="CP39" s="284">
        <v>950760.20999999926</v>
      </c>
      <c r="CQ39" s="284">
        <v>629248.92999999865</v>
      </c>
      <c r="CR39" s="284">
        <v>1223273.6499999997</v>
      </c>
      <c r="CS39" s="284">
        <v>896326.12000000046</v>
      </c>
      <c r="CT39" s="284">
        <v>624784.75000000047</v>
      </c>
      <c r="CU39" s="284">
        <v>677482.91000000038</v>
      </c>
      <c r="CV39" s="284">
        <v>986648.13000000105</v>
      </c>
      <c r="CW39" s="284">
        <v>612564.50999999931</v>
      </c>
      <c r="CX39" s="284">
        <v>1253044</v>
      </c>
      <c r="CY39" s="284">
        <v>880350.23999999859</v>
      </c>
      <c r="CZ39" s="284">
        <v>1302006.8799999994</v>
      </c>
      <c r="DA39" s="285">
        <v>10372212.809999997</v>
      </c>
      <c r="DB39" s="291">
        <v>0</v>
      </c>
      <c r="DC39" s="284">
        <v>592026.12508031353</v>
      </c>
      <c r="DD39" s="284">
        <v>1001898.0499999983</v>
      </c>
      <c r="DE39" s="284">
        <v>809656.21</v>
      </c>
      <c r="DF39" s="284">
        <v>819691.6800000004</v>
      </c>
      <c r="DG39" s="284">
        <v>716399.90999999864</v>
      </c>
      <c r="DH39" s="284">
        <v>654641.94999999867</v>
      </c>
      <c r="DI39" s="284">
        <v>1447312.2599999998</v>
      </c>
      <c r="DJ39" s="284">
        <v>432813.59999999974</v>
      </c>
      <c r="DK39" s="284">
        <v>1619438.41</v>
      </c>
      <c r="DL39" s="284">
        <v>846491.2192872701</v>
      </c>
      <c r="DM39" s="284">
        <v>924461.08702511596</v>
      </c>
      <c r="DN39" s="284">
        <v>871686.64668879029</v>
      </c>
      <c r="DO39" s="284">
        <v>803145.04919961595</v>
      </c>
      <c r="DP39" s="285">
        <v>10947636.072200788</v>
      </c>
      <c r="DQ39" s="291">
        <v>0</v>
      </c>
      <c r="DR39" s="284">
        <v>592026.12508031353</v>
      </c>
      <c r="DS39" s="284">
        <v>1076366.1274940199</v>
      </c>
      <c r="DT39" s="284">
        <v>841026.85935322405</v>
      </c>
      <c r="DU39" s="284">
        <v>850826.9273473724</v>
      </c>
      <c r="DV39" s="284">
        <v>900514.93279577827</v>
      </c>
      <c r="DW39" s="284">
        <v>859509.62652236188</v>
      </c>
      <c r="DX39" s="284">
        <v>991266.03201116342</v>
      </c>
      <c r="DY39" s="284">
        <v>1042865.0994558508</v>
      </c>
      <c r="DZ39" s="284">
        <v>966995.17831563985</v>
      </c>
      <c r="EA39" s="284">
        <v>1065977.3478942739</v>
      </c>
      <c r="EB39" s="284">
        <v>1092872.6234945152</v>
      </c>
      <c r="EC39" s="284">
        <v>992356.68432134227</v>
      </c>
      <c r="ED39" s="284">
        <v>859084.75827555894</v>
      </c>
      <c r="EE39" s="285">
        <v>11539662.197281102</v>
      </c>
      <c r="EF39" s="291">
        <v>0</v>
      </c>
      <c r="EG39" s="311">
        <v>592026.12508031353</v>
      </c>
    </row>
    <row r="40" spans="2:137">
      <c r="B40" s="288" t="s">
        <v>89</v>
      </c>
      <c r="C40" s="284">
        <v>2196.15</v>
      </c>
      <c r="D40" s="284">
        <v>1391.25</v>
      </c>
      <c r="E40" s="284">
        <v>953.75</v>
      </c>
      <c r="F40" s="284">
        <v>500</v>
      </c>
      <c r="G40" s="284">
        <v>500</v>
      </c>
      <c r="H40" s="284">
        <v>0</v>
      </c>
      <c r="I40" s="284">
        <v>0</v>
      </c>
      <c r="J40" s="284">
        <v>1300</v>
      </c>
      <c r="K40" s="284">
        <v>0</v>
      </c>
      <c r="L40" s="284">
        <v>0</v>
      </c>
      <c r="M40" s="284">
        <v>0</v>
      </c>
      <c r="N40" s="284">
        <v>0</v>
      </c>
      <c r="O40" s="285">
        <v>6841.15</v>
      </c>
      <c r="P40" s="291">
        <v>0</v>
      </c>
      <c r="Q40" s="284">
        <v>0</v>
      </c>
      <c r="R40" s="284">
        <v>0</v>
      </c>
      <c r="S40" s="284">
        <v>0</v>
      </c>
      <c r="T40" s="284">
        <v>400</v>
      </c>
      <c r="U40" s="284">
        <v>121.64</v>
      </c>
      <c r="V40" s="284">
        <v>0</v>
      </c>
      <c r="W40" s="284">
        <v>0</v>
      </c>
      <c r="X40" s="284">
        <v>0</v>
      </c>
      <c r="Y40" s="284">
        <v>1131.68</v>
      </c>
      <c r="Z40" s="284">
        <v>0</v>
      </c>
      <c r="AA40" s="284">
        <v>150</v>
      </c>
      <c r="AB40" s="284">
        <v>13373.219999999998</v>
      </c>
      <c r="AC40" s="284">
        <v>697.88</v>
      </c>
      <c r="AD40" s="285">
        <v>15874.419999999996</v>
      </c>
      <c r="AE40" s="291">
        <v>0</v>
      </c>
      <c r="AF40" s="284">
        <v>0</v>
      </c>
      <c r="AG40" s="284">
        <v>0</v>
      </c>
      <c r="AH40" s="284">
        <v>0</v>
      </c>
      <c r="AI40" s="284">
        <v>0</v>
      </c>
      <c r="AJ40" s="284">
        <v>0</v>
      </c>
      <c r="AK40" s="284">
        <v>0</v>
      </c>
      <c r="AL40" s="284">
        <v>0</v>
      </c>
      <c r="AM40" s="284">
        <v>14838.259999999997</v>
      </c>
      <c r="AN40" s="284">
        <v>13863.960000000005</v>
      </c>
      <c r="AO40" s="284">
        <v>0</v>
      </c>
      <c r="AP40" s="284">
        <v>0</v>
      </c>
      <c r="AQ40" s="284">
        <v>0</v>
      </c>
      <c r="AR40" s="284">
        <v>0</v>
      </c>
      <c r="AS40" s="285">
        <v>28702.22</v>
      </c>
      <c r="AT40" s="291">
        <v>0</v>
      </c>
      <c r="AU40" s="284">
        <v>0</v>
      </c>
      <c r="AV40" s="284">
        <v>0</v>
      </c>
      <c r="AW40" s="284">
        <v>0</v>
      </c>
      <c r="AX40" s="284">
        <v>0</v>
      </c>
      <c r="AY40" s="284">
        <v>0</v>
      </c>
      <c r="AZ40" s="284">
        <v>0</v>
      </c>
      <c r="BA40" s="284">
        <v>0</v>
      </c>
      <c r="BB40" s="284">
        <v>0</v>
      </c>
      <c r="BC40" s="284">
        <v>0</v>
      </c>
      <c r="BD40" s="284">
        <v>0</v>
      </c>
      <c r="BE40" s="284">
        <v>0</v>
      </c>
      <c r="BF40" s="284">
        <v>0</v>
      </c>
      <c r="BG40" s="284">
        <v>0</v>
      </c>
      <c r="BH40" s="285">
        <v>0</v>
      </c>
      <c r="BI40" s="291">
        <v>0</v>
      </c>
      <c r="BJ40" s="284">
        <v>0</v>
      </c>
      <c r="BK40" s="284">
        <v>0</v>
      </c>
      <c r="BL40" s="284">
        <v>0</v>
      </c>
      <c r="BM40" s="284">
        <v>0</v>
      </c>
      <c r="BN40" s="284">
        <v>0</v>
      </c>
      <c r="BO40" s="284">
        <v>0</v>
      </c>
      <c r="BP40" s="284">
        <v>0</v>
      </c>
      <c r="BQ40" s="284">
        <v>0</v>
      </c>
      <c r="BR40" s="284">
        <v>0</v>
      </c>
      <c r="BS40" s="284">
        <v>0</v>
      </c>
      <c r="BT40" s="284">
        <v>0</v>
      </c>
      <c r="BU40" s="284">
        <v>0</v>
      </c>
      <c r="BV40" s="284">
        <v>0</v>
      </c>
      <c r="BW40" s="285">
        <v>0</v>
      </c>
      <c r="BX40" s="291">
        <v>0</v>
      </c>
      <c r="BY40" s="284">
        <v>0</v>
      </c>
      <c r="BZ40" s="284">
        <v>0</v>
      </c>
      <c r="CA40" s="284">
        <v>0</v>
      </c>
      <c r="CB40" s="284">
        <v>0</v>
      </c>
      <c r="CC40" s="284">
        <v>0</v>
      </c>
      <c r="CD40" s="284">
        <v>0</v>
      </c>
      <c r="CE40" s="284">
        <v>0</v>
      </c>
      <c r="CF40" s="284">
        <v>0</v>
      </c>
      <c r="CG40" s="284">
        <v>0</v>
      </c>
      <c r="CH40" s="284">
        <v>0</v>
      </c>
      <c r="CI40" s="284">
        <v>0</v>
      </c>
      <c r="CJ40" s="284">
        <v>0</v>
      </c>
      <c r="CK40" s="284">
        <v>0</v>
      </c>
      <c r="CL40" s="285">
        <v>0</v>
      </c>
      <c r="CM40" s="291">
        <v>0</v>
      </c>
      <c r="CN40" s="284">
        <v>0</v>
      </c>
      <c r="CO40" s="284">
        <v>0</v>
      </c>
      <c r="CP40" s="284">
        <v>0</v>
      </c>
      <c r="CQ40" s="284">
        <v>0</v>
      </c>
      <c r="CR40" s="284">
        <v>0</v>
      </c>
      <c r="CS40" s="284">
        <v>0</v>
      </c>
      <c r="CT40" s="284">
        <v>0</v>
      </c>
      <c r="CU40" s="284">
        <v>0</v>
      </c>
      <c r="CV40" s="284">
        <v>0</v>
      </c>
      <c r="CW40" s="284">
        <v>0</v>
      </c>
      <c r="CX40" s="284">
        <v>0</v>
      </c>
      <c r="CY40" s="284">
        <v>0</v>
      </c>
      <c r="CZ40" s="284">
        <v>0</v>
      </c>
      <c r="DA40" s="285">
        <v>0</v>
      </c>
      <c r="DB40" s="291">
        <v>0</v>
      </c>
      <c r="DC40" s="284">
        <v>0</v>
      </c>
      <c r="DD40" s="284">
        <v>0</v>
      </c>
      <c r="DE40" s="284">
        <v>0</v>
      </c>
      <c r="DF40" s="284">
        <v>0</v>
      </c>
      <c r="DG40" s="284">
        <v>0</v>
      </c>
      <c r="DH40" s="284">
        <v>0</v>
      </c>
      <c r="DI40" s="284">
        <v>0</v>
      </c>
      <c r="DJ40" s="284">
        <v>0</v>
      </c>
      <c r="DK40" s="284">
        <v>0</v>
      </c>
      <c r="DL40" s="284">
        <v>0</v>
      </c>
      <c r="DM40" s="284">
        <v>0</v>
      </c>
      <c r="DN40" s="284">
        <v>0</v>
      </c>
      <c r="DO40" s="284">
        <v>0</v>
      </c>
      <c r="DP40" s="285">
        <v>0</v>
      </c>
      <c r="DQ40" s="291">
        <v>0</v>
      </c>
      <c r="DR40" s="284">
        <v>0</v>
      </c>
      <c r="DS40" s="284">
        <v>0</v>
      </c>
      <c r="DT40" s="284">
        <v>0</v>
      </c>
      <c r="DU40" s="284">
        <v>0</v>
      </c>
      <c r="DV40" s="284">
        <v>0</v>
      </c>
      <c r="DW40" s="284">
        <v>0</v>
      </c>
      <c r="DX40" s="284">
        <v>0</v>
      </c>
      <c r="DY40" s="284">
        <v>0</v>
      </c>
      <c r="DZ40" s="284">
        <v>0</v>
      </c>
      <c r="EA40" s="284">
        <v>0</v>
      </c>
      <c r="EB40" s="284">
        <v>0</v>
      </c>
      <c r="EC40" s="284">
        <v>0</v>
      </c>
      <c r="ED40" s="284">
        <v>0</v>
      </c>
      <c r="EE40" s="285">
        <v>0</v>
      </c>
      <c r="EF40" s="291">
        <v>0</v>
      </c>
      <c r="EG40" s="311">
        <v>0</v>
      </c>
    </row>
    <row r="41" spans="2:137">
      <c r="B41" s="288" t="s">
        <v>88</v>
      </c>
      <c r="C41" s="284">
        <v>2912.24</v>
      </c>
      <c r="D41" s="284">
        <v>6579.1799999999985</v>
      </c>
      <c r="E41" s="284">
        <v>285.67</v>
      </c>
      <c r="F41" s="284">
        <v>6584.6000000000013</v>
      </c>
      <c r="G41" s="284">
        <v>3047.6600000000003</v>
      </c>
      <c r="H41" s="284">
        <v>13927.230000000001</v>
      </c>
      <c r="I41" s="284">
        <v>2414.73</v>
      </c>
      <c r="J41" s="284">
        <v>11834.690000000002</v>
      </c>
      <c r="K41" s="284">
        <v>2213.35</v>
      </c>
      <c r="L41" s="284">
        <v>7432.91</v>
      </c>
      <c r="M41" s="284">
        <v>357.84999999999997</v>
      </c>
      <c r="N41" s="284">
        <v>4423.2900000000009</v>
      </c>
      <c r="O41" s="285">
        <v>62013.400000000009</v>
      </c>
      <c r="P41" s="291">
        <v>0</v>
      </c>
      <c r="Q41" s="284">
        <v>0</v>
      </c>
      <c r="R41" s="284">
        <v>6141.7500000000009</v>
      </c>
      <c r="S41" s="284">
        <v>40911.270000000055</v>
      </c>
      <c r="T41" s="284">
        <v>55825.830000000082</v>
      </c>
      <c r="U41" s="284">
        <v>58616.399999999907</v>
      </c>
      <c r="V41" s="284">
        <v>90659.349999999919</v>
      </c>
      <c r="W41" s="284">
        <v>57274.940000000031</v>
      </c>
      <c r="X41" s="284">
        <v>46242.200000000041</v>
      </c>
      <c r="Y41" s="284">
        <v>24362.079999999998</v>
      </c>
      <c r="Z41" s="284">
        <v>16113.199999999999</v>
      </c>
      <c r="AA41" s="284">
        <v>4841.8</v>
      </c>
      <c r="AB41" s="284">
        <v>3245.5699999999997</v>
      </c>
      <c r="AC41" s="284">
        <v>2818.0699999999988</v>
      </c>
      <c r="AD41" s="285">
        <v>407052.46000000014</v>
      </c>
      <c r="AE41" s="291">
        <v>0</v>
      </c>
      <c r="AF41" s="284">
        <v>0</v>
      </c>
      <c r="AG41" s="284">
        <v>20087.060000000005</v>
      </c>
      <c r="AH41" s="284">
        <v>7845.6299999999992</v>
      </c>
      <c r="AI41" s="284">
        <v>22911.419999999984</v>
      </c>
      <c r="AJ41" s="284">
        <v>2755.9499999999994</v>
      </c>
      <c r="AK41" s="284">
        <v>5528.130000000001</v>
      </c>
      <c r="AL41" s="284">
        <v>6418.3600000000006</v>
      </c>
      <c r="AM41" s="284">
        <v>288.66000000000003</v>
      </c>
      <c r="AN41" s="284">
        <v>2481.06</v>
      </c>
      <c r="AO41" s="284">
        <v>205.46</v>
      </c>
      <c r="AP41" s="284">
        <v>841.86</v>
      </c>
      <c r="AQ41" s="284">
        <v>523.86</v>
      </c>
      <c r="AR41" s="284">
        <v>646.19999999999993</v>
      </c>
      <c r="AS41" s="285">
        <v>70533.649999999994</v>
      </c>
      <c r="AT41" s="291">
        <v>0</v>
      </c>
      <c r="AU41" s="284">
        <v>0</v>
      </c>
      <c r="AV41" s="284">
        <v>0</v>
      </c>
      <c r="AW41" s="284">
        <v>155.12</v>
      </c>
      <c r="AX41" s="284">
        <v>3615.41</v>
      </c>
      <c r="AY41" s="284">
        <v>4932.2599999999984</v>
      </c>
      <c r="AZ41" s="284">
        <v>0</v>
      </c>
      <c r="BA41" s="284">
        <v>0</v>
      </c>
      <c r="BB41" s="284">
        <v>0</v>
      </c>
      <c r="BC41" s="284">
        <v>0</v>
      </c>
      <c r="BD41" s="284">
        <v>0</v>
      </c>
      <c r="BE41" s="284">
        <v>0</v>
      </c>
      <c r="BF41" s="284">
        <v>0</v>
      </c>
      <c r="BG41" s="284">
        <v>0</v>
      </c>
      <c r="BH41" s="285">
        <v>8702.7899999999972</v>
      </c>
      <c r="BI41" s="291">
        <v>0</v>
      </c>
      <c r="BJ41" s="284">
        <v>0</v>
      </c>
      <c r="BK41" s="284">
        <v>0</v>
      </c>
      <c r="BL41" s="284">
        <v>657.66000000000008</v>
      </c>
      <c r="BM41" s="284">
        <v>0</v>
      </c>
      <c r="BN41" s="284">
        <v>0</v>
      </c>
      <c r="BO41" s="284">
        <v>541.20000000000005</v>
      </c>
      <c r="BP41" s="284">
        <v>0</v>
      </c>
      <c r="BQ41" s="284">
        <v>0</v>
      </c>
      <c r="BR41" s="284">
        <v>0</v>
      </c>
      <c r="BS41" s="284">
        <v>0</v>
      </c>
      <c r="BT41" s="284">
        <v>0</v>
      </c>
      <c r="BU41" s="284">
        <v>0</v>
      </c>
      <c r="BV41" s="284">
        <v>0</v>
      </c>
      <c r="BW41" s="285">
        <v>1198.8600000000001</v>
      </c>
      <c r="BX41" s="291">
        <v>0</v>
      </c>
      <c r="BY41" s="284">
        <v>0</v>
      </c>
      <c r="BZ41" s="284">
        <v>0</v>
      </c>
      <c r="CA41" s="284">
        <v>0</v>
      </c>
      <c r="CB41" s="284">
        <v>0</v>
      </c>
      <c r="CC41" s="284">
        <v>0</v>
      </c>
      <c r="CD41" s="284">
        <v>0</v>
      </c>
      <c r="CE41" s="284">
        <v>0</v>
      </c>
      <c r="CF41" s="284">
        <v>0</v>
      </c>
      <c r="CG41" s="284">
        <v>0</v>
      </c>
      <c r="CH41" s="284">
        <v>0</v>
      </c>
      <c r="CI41" s="284">
        <v>0</v>
      </c>
      <c r="CJ41" s="284">
        <v>0</v>
      </c>
      <c r="CK41" s="284">
        <v>0</v>
      </c>
      <c r="CL41" s="285">
        <v>0</v>
      </c>
      <c r="CM41" s="291">
        <v>0</v>
      </c>
      <c r="CN41" s="284">
        <v>0</v>
      </c>
      <c r="CO41" s="284">
        <v>0</v>
      </c>
      <c r="CP41" s="284">
        <v>0</v>
      </c>
      <c r="CQ41" s="284">
        <v>0</v>
      </c>
      <c r="CR41" s="284">
        <v>0</v>
      </c>
      <c r="CS41" s="284">
        <v>0</v>
      </c>
      <c r="CT41" s="284">
        <v>0</v>
      </c>
      <c r="CU41" s="284">
        <v>0</v>
      </c>
      <c r="CV41" s="284">
        <v>0</v>
      </c>
      <c r="CW41" s="284">
        <v>0</v>
      </c>
      <c r="CX41" s="284">
        <v>0</v>
      </c>
      <c r="CY41" s="284">
        <v>0</v>
      </c>
      <c r="CZ41" s="284">
        <v>186.03</v>
      </c>
      <c r="DA41" s="285">
        <v>186.03</v>
      </c>
      <c r="DB41" s="291">
        <v>0</v>
      </c>
      <c r="DC41" s="284">
        <v>0</v>
      </c>
      <c r="DD41" s="284">
        <v>0</v>
      </c>
      <c r="DE41" s="284">
        <v>0</v>
      </c>
      <c r="DF41" s="284">
        <v>0</v>
      </c>
      <c r="DG41" s="284">
        <v>0</v>
      </c>
      <c r="DH41" s="284">
        <v>0</v>
      </c>
      <c r="DI41" s="284">
        <v>0</v>
      </c>
      <c r="DJ41" s="284">
        <v>0</v>
      </c>
      <c r="DK41" s="284">
        <v>0</v>
      </c>
      <c r="DL41" s="284">
        <v>0</v>
      </c>
      <c r="DM41" s="284">
        <v>0</v>
      </c>
      <c r="DN41" s="284">
        <v>0</v>
      </c>
      <c r="DO41" s="284">
        <v>0</v>
      </c>
      <c r="DP41" s="285">
        <v>0</v>
      </c>
      <c r="DQ41" s="291">
        <v>0</v>
      </c>
      <c r="DR41" s="284">
        <v>0</v>
      </c>
      <c r="DS41" s="284">
        <v>0</v>
      </c>
      <c r="DT41" s="284">
        <v>0</v>
      </c>
      <c r="DU41" s="284">
        <v>0</v>
      </c>
      <c r="DV41" s="284">
        <v>0</v>
      </c>
      <c r="DW41" s="284">
        <v>0</v>
      </c>
      <c r="DX41" s="284">
        <v>0</v>
      </c>
      <c r="DY41" s="284">
        <v>0</v>
      </c>
      <c r="DZ41" s="284">
        <v>0</v>
      </c>
      <c r="EA41" s="284">
        <v>0</v>
      </c>
      <c r="EB41" s="284">
        <v>0</v>
      </c>
      <c r="EC41" s="284">
        <v>0</v>
      </c>
      <c r="ED41" s="284">
        <v>0</v>
      </c>
      <c r="EE41" s="285">
        <v>0</v>
      </c>
      <c r="EF41" s="291">
        <v>0</v>
      </c>
      <c r="EG41" s="311">
        <v>0</v>
      </c>
    </row>
    <row r="42" spans="2:137">
      <c r="B42" s="288" t="s">
        <v>114</v>
      </c>
      <c r="C42" s="284">
        <v>0</v>
      </c>
      <c r="D42" s="284">
        <v>0</v>
      </c>
      <c r="E42" s="284">
        <v>0</v>
      </c>
      <c r="F42" s="284">
        <v>0</v>
      </c>
      <c r="G42" s="284">
        <v>0</v>
      </c>
      <c r="H42" s="284">
        <v>0</v>
      </c>
      <c r="I42" s="284">
        <v>0</v>
      </c>
      <c r="J42" s="284">
        <v>0</v>
      </c>
      <c r="K42" s="284">
        <v>0</v>
      </c>
      <c r="L42" s="284">
        <v>0</v>
      </c>
      <c r="M42" s="284">
        <v>0</v>
      </c>
      <c r="N42" s="284">
        <v>0</v>
      </c>
      <c r="O42" s="285">
        <v>0</v>
      </c>
      <c r="P42" s="291">
        <v>0</v>
      </c>
      <c r="Q42" s="284">
        <v>0</v>
      </c>
      <c r="R42" s="284">
        <v>0</v>
      </c>
      <c r="S42" s="284">
        <v>0</v>
      </c>
      <c r="T42" s="284">
        <v>0</v>
      </c>
      <c r="U42" s="284">
        <v>0</v>
      </c>
      <c r="V42" s="284">
        <v>0</v>
      </c>
      <c r="W42" s="284">
        <v>0</v>
      </c>
      <c r="X42" s="284">
        <v>0</v>
      </c>
      <c r="Y42" s="284">
        <v>0</v>
      </c>
      <c r="Z42" s="284">
        <v>0</v>
      </c>
      <c r="AA42" s="284">
        <v>0</v>
      </c>
      <c r="AB42" s="284">
        <v>0</v>
      </c>
      <c r="AC42" s="284">
        <v>0</v>
      </c>
      <c r="AD42" s="285">
        <v>0</v>
      </c>
      <c r="AE42" s="291">
        <v>0</v>
      </c>
      <c r="AF42" s="284">
        <v>0</v>
      </c>
      <c r="AG42" s="284">
        <v>0</v>
      </c>
      <c r="AH42" s="284">
        <v>0</v>
      </c>
      <c r="AI42" s="284">
        <v>0</v>
      </c>
      <c r="AJ42" s="284">
        <v>0</v>
      </c>
      <c r="AK42" s="284">
        <v>0</v>
      </c>
      <c r="AL42" s="284">
        <v>0</v>
      </c>
      <c r="AM42" s="284">
        <v>0</v>
      </c>
      <c r="AN42" s="284">
        <v>0</v>
      </c>
      <c r="AO42" s="284">
        <v>0</v>
      </c>
      <c r="AP42" s="284">
        <v>0</v>
      </c>
      <c r="AQ42" s="284">
        <v>0</v>
      </c>
      <c r="AR42" s="284">
        <v>0</v>
      </c>
      <c r="AS42" s="285">
        <v>0</v>
      </c>
      <c r="AT42" s="291">
        <v>0</v>
      </c>
      <c r="AU42" s="284">
        <v>0</v>
      </c>
      <c r="AV42" s="284">
        <v>0</v>
      </c>
      <c r="AW42" s="284">
        <v>0</v>
      </c>
      <c r="AX42" s="284">
        <v>0</v>
      </c>
      <c r="AY42" s="284">
        <v>0</v>
      </c>
      <c r="AZ42" s="284">
        <v>0</v>
      </c>
      <c r="BA42" s="284">
        <v>0</v>
      </c>
      <c r="BB42" s="284">
        <v>0</v>
      </c>
      <c r="BC42" s="284">
        <v>0</v>
      </c>
      <c r="BD42" s="284">
        <v>0</v>
      </c>
      <c r="BE42" s="284">
        <v>0</v>
      </c>
      <c r="BF42" s="284">
        <v>0</v>
      </c>
      <c r="BG42" s="284">
        <v>0</v>
      </c>
      <c r="BH42" s="285">
        <v>0</v>
      </c>
      <c r="BI42" s="291">
        <v>0</v>
      </c>
      <c r="BJ42" s="284">
        <v>0</v>
      </c>
      <c r="BK42" s="284">
        <v>0</v>
      </c>
      <c r="BL42" s="284">
        <v>0</v>
      </c>
      <c r="BM42" s="284">
        <v>0</v>
      </c>
      <c r="BN42" s="284">
        <v>0</v>
      </c>
      <c r="BO42" s="284">
        <v>0</v>
      </c>
      <c r="BP42" s="284">
        <v>0</v>
      </c>
      <c r="BQ42" s="284">
        <v>0</v>
      </c>
      <c r="BR42" s="284">
        <v>0</v>
      </c>
      <c r="BS42" s="284">
        <v>0</v>
      </c>
      <c r="BT42" s="284">
        <v>0</v>
      </c>
      <c r="BU42" s="284">
        <v>0</v>
      </c>
      <c r="BV42" s="284">
        <v>0</v>
      </c>
      <c r="BW42" s="285">
        <v>0</v>
      </c>
      <c r="BX42" s="291">
        <v>0</v>
      </c>
      <c r="BY42" s="284">
        <v>0</v>
      </c>
      <c r="BZ42" s="284">
        <v>0</v>
      </c>
      <c r="CA42" s="284">
        <v>0</v>
      </c>
      <c r="CB42" s="284">
        <v>0</v>
      </c>
      <c r="CC42" s="284">
        <v>0</v>
      </c>
      <c r="CD42" s="284">
        <v>0</v>
      </c>
      <c r="CE42" s="284">
        <v>0</v>
      </c>
      <c r="CF42" s="284">
        <v>0</v>
      </c>
      <c r="CG42" s="284">
        <v>0</v>
      </c>
      <c r="CH42" s="284">
        <v>0</v>
      </c>
      <c r="CI42" s="284">
        <v>0</v>
      </c>
      <c r="CJ42" s="284">
        <v>0</v>
      </c>
      <c r="CK42" s="284">
        <v>0</v>
      </c>
      <c r="CL42" s="285">
        <v>0</v>
      </c>
      <c r="CM42" s="291">
        <v>0</v>
      </c>
      <c r="CN42" s="284">
        <v>0</v>
      </c>
      <c r="CO42" s="284">
        <v>0</v>
      </c>
      <c r="CP42" s="284">
        <v>0</v>
      </c>
      <c r="CQ42" s="284">
        <v>0</v>
      </c>
      <c r="CR42" s="284">
        <v>0</v>
      </c>
      <c r="CS42" s="284">
        <v>0</v>
      </c>
      <c r="CT42" s="284">
        <v>0</v>
      </c>
      <c r="CU42" s="284">
        <v>0</v>
      </c>
      <c r="CV42" s="284">
        <v>0</v>
      </c>
      <c r="CW42" s="284">
        <v>0</v>
      </c>
      <c r="CX42" s="284">
        <v>0</v>
      </c>
      <c r="CY42" s="284">
        <v>0</v>
      </c>
      <c r="CZ42" s="284">
        <v>0</v>
      </c>
      <c r="DA42" s="285">
        <v>0</v>
      </c>
      <c r="DB42" s="291">
        <v>0</v>
      </c>
      <c r="DC42" s="284">
        <v>0</v>
      </c>
      <c r="DD42" s="284">
        <v>0</v>
      </c>
      <c r="DE42" s="284">
        <v>0</v>
      </c>
      <c r="DF42" s="284">
        <v>0</v>
      </c>
      <c r="DG42" s="284">
        <v>5467.5</v>
      </c>
      <c r="DH42" s="284">
        <v>0</v>
      </c>
      <c r="DI42" s="284">
        <v>3967.5</v>
      </c>
      <c r="DJ42" s="284">
        <v>0</v>
      </c>
      <c r="DK42" s="284">
        <v>5826.67</v>
      </c>
      <c r="DL42" s="284">
        <v>13500</v>
      </c>
      <c r="DM42" s="284">
        <v>13500</v>
      </c>
      <c r="DN42" s="284">
        <v>13500</v>
      </c>
      <c r="DO42" s="284">
        <v>13500</v>
      </c>
      <c r="DP42" s="285">
        <v>69261.67</v>
      </c>
      <c r="DQ42" s="291">
        <v>0</v>
      </c>
      <c r="DR42" s="284">
        <v>26738.33</v>
      </c>
      <c r="DS42" s="284">
        <v>8000</v>
      </c>
      <c r="DT42" s="284">
        <v>8000</v>
      </c>
      <c r="DU42" s="284">
        <v>8000</v>
      </c>
      <c r="DV42" s="284">
        <v>8000</v>
      </c>
      <c r="DW42" s="284">
        <v>8000</v>
      </c>
      <c r="DX42" s="284">
        <v>8000</v>
      </c>
      <c r="DY42" s="284">
        <v>8000</v>
      </c>
      <c r="DZ42" s="284">
        <v>8000</v>
      </c>
      <c r="EA42" s="284">
        <v>8000</v>
      </c>
      <c r="EB42" s="284">
        <v>8000</v>
      </c>
      <c r="EC42" s="284">
        <v>8000</v>
      </c>
      <c r="ED42" s="284">
        <v>8000</v>
      </c>
      <c r="EE42" s="285">
        <v>96000</v>
      </c>
      <c r="EF42" s="291">
        <v>0</v>
      </c>
      <c r="EG42" s="311">
        <v>26738.33</v>
      </c>
    </row>
    <row r="43" spans="2:137">
      <c r="B43" s="288" t="s">
        <v>724</v>
      </c>
      <c r="C43" s="284">
        <v>0</v>
      </c>
      <c r="D43" s="284">
        <v>0</v>
      </c>
      <c r="E43" s="284">
        <v>0</v>
      </c>
      <c r="F43" s="284">
        <v>0</v>
      </c>
      <c r="G43" s="284">
        <v>0</v>
      </c>
      <c r="H43" s="284">
        <v>0</v>
      </c>
      <c r="I43" s="284">
        <v>0</v>
      </c>
      <c r="J43" s="284">
        <v>0</v>
      </c>
      <c r="K43" s="284">
        <v>0</v>
      </c>
      <c r="L43" s="284">
        <v>0</v>
      </c>
      <c r="M43" s="284">
        <v>0</v>
      </c>
      <c r="N43" s="284">
        <v>0</v>
      </c>
      <c r="O43" s="285">
        <v>0</v>
      </c>
      <c r="P43" s="291">
        <v>0</v>
      </c>
      <c r="Q43" s="284">
        <v>0</v>
      </c>
      <c r="R43" s="284">
        <v>0</v>
      </c>
      <c r="S43" s="284">
        <v>0</v>
      </c>
      <c r="T43" s="284">
        <v>0</v>
      </c>
      <c r="U43" s="284">
        <v>0</v>
      </c>
      <c r="V43" s="284">
        <v>0</v>
      </c>
      <c r="W43" s="284">
        <v>0</v>
      </c>
      <c r="X43" s="284">
        <v>0</v>
      </c>
      <c r="Y43" s="284">
        <v>0</v>
      </c>
      <c r="Z43" s="284">
        <v>0</v>
      </c>
      <c r="AA43" s="284">
        <v>0</v>
      </c>
      <c r="AB43" s="284">
        <v>0</v>
      </c>
      <c r="AC43" s="284">
        <v>0</v>
      </c>
      <c r="AD43" s="285">
        <v>0</v>
      </c>
      <c r="AE43" s="291">
        <v>0</v>
      </c>
      <c r="AF43" s="284">
        <v>0</v>
      </c>
      <c r="AG43" s="284">
        <v>0</v>
      </c>
      <c r="AH43" s="284">
        <v>0</v>
      </c>
      <c r="AI43" s="284">
        <v>0</v>
      </c>
      <c r="AJ43" s="284">
        <v>0</v>
      </c>
      <c r="AK43" s="284">
        <v>0</v>
      </c>
      <c r="AL43" s="284">
        <v>0</v>
      </c>
      <c r="AM43" s="284">
        <v>0</v>
      </c>
      <c r="AN43" s="284">
        <v>0</v>
      </c>
      <c r="AO43" s="284">
        <v>0</v>
      </c>
      <c r="AP43" s="284">
        <v>0</v>
      </c>
      <c r="AQ43" s="284">
        <v>0</v>
      </c>
      <c r="AR43" s="284">
        <v>0</v>
      </c>
      <c r="AS43" s="285">
        <v>0</v>
      </c>
      <c r="AT43" s="291">
        <v>0</v>
      </c>
      <c r="AU43" s="284">
        <v>0</v>
      </c>
      <c r="AV43" s="284">
        <v>0</v>
      </c>
      <c r="AW43" s="284">
        <v>-6120</v>
      </c>
      <c r="AX43" s="284">
        <v>-4434</v>
      </c>
      <c r="AY43" s="284">
        <v>0</v>
      </c>
      <c r="AZ43" s="284">
        <v>-1900.8</v>
      </c>
      <c r="BA43" s="284">
        <v>0</v>
      </c>
      <c r="BB43" s="284">
        <v>0</v>
      </c>
      <c r="BC43" s="284">
        <v>0</v>
      </c>
      <c r="BD43" s="284">
        <v>-1974</v>
      </c>
      <c r="BE43" s="284">
        <v>-235</v>
      </c>
      <c r="BF43" s="284">
        <v>-3948</v>
      </c>
      <c r="BG43" s="284">
        <v>0</v>
      </c>
      <c r="BH43" s="285">
        <v>-18611.8</v>
      </c>
      <c r="BI43" s="291">
        <v>0</v>
      </c>
      <c r="BJ43" s="284">
        <v>0</v>
      </c>
      <c r="BK43" s="284">
        <v>-7896</v>
      </c>
      <c r="BL43" s="284">
        <v>-1974</v>
      </c>
      <c r="BM43" s="284">
        <v>0</v>
      </c>
      <c r="BN43" s="284">
        <v>-1974</v>
      </c>
      <c r="BO43" s="284">
        <v>0</v>
      </c>
      <c r="BP43" s="284">
        <v>0</v>
      </c>
      <c r="BQ43" s="284">
        <v>0</v>
      </c>
      <c r="BR43" s="284">
        <v>0</v>
      </c>
      <c r="BS43" s="284">
        <v>0</v>
      </c>
      <c r="BT43" s="284">
        <v>0</v>
      </c>
      <c r="BU43" s="284">
        <v>0</v>
      </c>
      <c r="BV43" s="284">
        <v>0</v>
      </c>
      <c r="BW43" s="285">
        <v>-11844</v>
      </c>
      <c r="BX43" s="291">
        <v>0</v>
      </c>
      <c r="BY43" s="284">
        <v>0</v>
      </c>
      <c r="BZ43" s="284">
        <v>0</v>
      </c>
      <c r="CA43" s="284">
        <v>0</v>
      </c>
      <c r="CB43" s="284">
        <v>0</v>
      </c>
      <c r="CC43" s="284">
        <v>0</v>
      </c>
      <c r="CD43" s="284">
        <v>0</v>
      </c>
      <c r="CE43" s="284">
        <v>5922</v>
      </c>
      <c r="CF43" s="284">
        <v>0</v>
      </c>
      <c r="CG43" s="284">
        <v>6157</v>
      </c>
      <c r="CH43" s="284">
        <v>0</v>
      </c>
      <c r="CI43" s="284">
        <v>0</v>
      </c>
      <c r="CJ43" s="284">
        <v>0</v>
      </c>
      <c r="CK43" s="284">
        <v>0</v>
      </c>
      <c r="CL43" s="285">
        <v>12079</v>
      </c>
      <c r="CM43" s="291">
        <v>0</v>
      </c>
      <c r="CN43" s="284">
        <v>0</v>
      </c>
      <c r="CO43" s="284">
        <v>0</v>
      </c>
      <c r="CP43" s="284">
        <v>0</v>
      </c>
      <c r="CQ43" s="284">
        <v>0</v>
      </c>
      <c r="CR43" s="284">
        <v>0</v>
      </c>
      <c r="CS43" s="284">
        <v>0</v>
      </c>
      <c r="CT43" s="284">
        <v>0</v>
      </c>
      <c r="CU43" s="284">
        <v>0</v>
      </c>
      <c r="CV43" s="284">
        <v>0</v>
      </c>
      <c r="CW43" s="284">
        <v>0</v>
      </c>
      <c r="CX43" s="284">
        <v>0</v>
      </c>
      <c r="CY43" s="284">
        <v>0</v>
      </c>
      <c r="CZ43" s="284">
        <v>0</v>
      </c>
      <c r="DA43" s="285">
        <v>0</v>
      </c>
      <c r="DB43" s="291">
        <v>0</v>
      </c>
      <c r="DC43" s="284">
        <v>0</v>
      </c>
      <c r="DD43" s="284">
        <v>0</v>
      </c>
      <c r="DE43" s="284">
        <v>0</v>
      </c>
      <c r="DF43" s="284">
        <v>0</v>
      </c>
      <c r="DG43" s="284">
        <v>0</v>
      </c>
      <c r="DH43" s="284">
        <v>0</v>
      </c>
      <c r="DI43" s="284">
        <v>0</v>
      </c>
      <c r="DJ43" s="284">
        <v>0</v>
      </c>
      <c r="DK43" s="284">
        <v>0</v>
      </c>
      <c r="DL43" s="284">
        <v>0</v>
      </c>
      <c r="DM43" s="284">
        <v>0</v>
      </c>
      <c r="DN43" s="284">
        <v>0</v>
      </c>
      <c r="DO43" s="284">
        <v>0</v>
      </c>
      <c r="DP43" s="285">
        <v>0</v>
      </c>
      <c r="DQ43" s="291">
        <v>0</v>
      </c>
      <c r="DR43" s="284">
        <v>0</v>
      </c>
      <c r="DS43" s="284">
        <v>0</v>
      </c>
      <c r="DT43" s="284">
        <v>0</v>
      </c>
      <c r="DU43" s="284">
        <v>0</v>
      </c>
      <c r="DV43" s="284">
        <v>0</v>
      </c>
      <c r="DW43" s="284">
        <v>0</v>
      </c>
      <c r="DX43" s="284">
        <v>0</v>
      </c>
      <c r="DY43" s="284">
        <v>0</v>
      </c>
      <c r="DZ43" s="284">
        <v>0</v>
      </c>
      <c r="EA43" s="284">
        <v>0</v>
      </c>
      <c r="EB43" s="284">
        <v>0</v>
      </c>
      <c r="EC43" s="284">
        <v>0</v>
      </c>
      <c r="ED43" s="284">
        <v>0</v>
      </c>
      <c r="EE43" s="285">
        <v>0</v>
      </c>
      <c r="EF43" s="291">
        <v>0</v>
      </c>
      <c r="EG43" s="311">
        <v>0</v>
      </c>
    </row>
    <row r="44" spans="2:137">
      <c r="B44" s="287" t="s">
        <v>4</v>
      </c>
      <c r="C44" s="284">
        <v>81725.429999999993</v>
      </c>
      <c r="D44" s="284">
        <v>92205.25999999998</v>
      </c>
      <c r="E44" s="284">
        <v>52184.809999999983</v>
      </c>
      <c r="F44" s="284">
        <v>57610.790000000008</v>
      </c>
      <c r="G44" s="284">
        <v>69398.799999999988</v>
      </c>
      <c r="H44" s="284">
        <v>63714.12</v>
      </c>
      <c r="I44" s="284">
        <v>70289.539999999994</v>
      </c>
      <c r="J44" s="284">
        <v>68567.679999999993</v>
      </c>
      <c r="K44" s="284">
        <v>49439.31</v>
      </c>
      <c r="L44" s="284">
        <v>26219.350000000002</v>
      </c>
      <c r="M44" s="284">
        <v>78194.759999999995</v>
      </c>
      <c r="N44" s="284">
        <v>42577.04</v>
      </c>
      <c r="O44" s="285">
        <v>752126.8899999999</v>
      </c>
      <c r="P44" s="291">
        <v>0</v>
      </c>
      <c r="Q44" s="284">
        <v>234788.98577570467</v>
      </c>
      <c r="R44" s="284">
        <v>34152.699999999997</v>
      </c>
      <c r="S44" s="284">
        <v>56661.15</v>
      </c>
      <c r="T44" s="284">
        <v>56924.63</v>
      </c>
      <c r="U44" s="284">
        <v>42243.729999999996</v>
      </c>
      <c r="V44" s="284">
        <v>30559.19</v>
      </c>
      <c r="W44" s="284">
        <v>51465.97</v>
      </c>
      <c r="X44" s="284">
        <v>84152.42</v>
      </c>
      <c r="Y44" s="284">
        <v>68406.930000000008</v>
      </c>
      <c r="Z44" s="284">
        <v>35943.97</v>
      </c>
      <c r="AA44" s="284">
        <v>66990.319999999978</v>
      </c>
      <c r="AB44" s="284">
        <v>47649.86</v>
      </c>
      <c r="AC44" s="284">
        <v>40683.72</v>
      </c>
      <c r="AD44" s="285">
        <v>615834.59000000008</v>
      </c>
      <c r="AE44" s="291">
        <v>0</v>
      </c>
      <c r="AF44" s="284">
        <v>235104.22577570466</v>
      </c>
      <c r="AG44" s="284">
        <v>98724.03</v>
      </c>
      <c r="AH44" s="284">
        <v>47155.959999999992</v>
      </c>
      <c r="AI44" s="284">
        <v>47140.599999999984</v>
      </c>
      <c r="AJ44" s="284">
        <v>51543.56</v>
      </c>
      <c r="AK44" s="284">
        <v>40410.190000000017</v>
      </c>
      <c r="AL44" s="284">
        <v>19174.519999999997</v>
      </c>
      <c r="AM44" s="284">
        <v>64736.939999999995</v>
      </c>
      <c r="AN44" s="284">
        <v>65892.28</v>
      </c>
      <c r="AO44" s="284">
        <v>21895.73</v>
      </c>
      <c r="AP44" s="284">
        <v>92882.87000000001</v>
      </c>
      <c r="AQ44" s="284">
        <v>75080.62</v>
      </c>
      <c r="AR44" s="284">
        <v>19549.93</v>
      </c>
      <c r="AS44" s="285">
        <v>644187.23</v>
      </c>
      <c r="AT44" s="291">
        <v>0</v>
      </c>
      <c r="AU44" s="284">
        <v>234788.98577570467</v>
      </c>
      <c r="AV44" s="284">
        <v>138052.94</v>
      </c>
      <c r="AW44" s="284">
        <v>57638.81</v>
      </c>
      <c r="AX44" s="284">
        <v>45653.62999999999</v>
      </c>
      <c r="AY44" s="284">
        <v>58432</v>
      </c>
      <c r="AZ44" s="284">
        <v>138030.64000000001</v>
      </c>
      <c r="BA44" s="284">
        <v>7826.4299999999994</v>
      </c>
      <c r="BB44" s="284">
        <v>101321.84999999998</v>
      </c>
      <c r="BC44" s="284">
        <v>197924.13000000003</v>
      </c>
      <c r="BD44" s="284">
        <v>223336.42000000004</v>
      </c>
      <c r="BE44" s="284">
        <v>325166.06000000023</v>
      </c>
      <c r="BF44" s="284">
        <v>269743.16000000003</v>
      </c>
      <c r="BG44" s="284">
        <v>212280.47000000003</v>
      </c>
      <c r="BH44" s="285">
        <v>1775406.5400000003</v>
      </c>
      <c r="BI44" s="291">
        <v>0</v>
      </c>
      <c r="BJ44" s="284">
        <v>234788.98577570467</v>
      </c>
      <c r="BK44" s="284">
        <v>100139.53000000001</v>
      </c>
      <c r="BL44" s="284">
        <v>95140.959999999992</v>
      </c>
      <c r="BM44" s="284">
        <v>126931.88</v>
      </c>
      <c r="BN44" s="284">
        <v>210240.59</v>
      </c>
      <c r="BO44" s="284">
        <v>148925.16000000003</v>
      </c>
      <c r="BP44" s="284">
        <v>172003.16</v>
      </c>
      <c r="BQ44" s="284">
        <v>106706.03</v>
      </c>
      <c r="BR44" s="284">
        <v>146916</v>
      </c>
      <c r="BS44" s="284">
        <v>189840.33999999997</v>
      </c>
      <c r="BT44" s="284">
        <v>72409.819999999992</v>
      </c>
      <c r="BU44" s="284">
        <v>148534.96000000002</v>
      </c>
      <c r="BV44" s="284">
        <v>103661.54000000283</v>
      </c>
      <c r="BW44" s="285">
        <v>1621449.9700000051</v>
      </c>
      <c r="BX44" s="291">
        <v>0</v>
      </c>
      <c r="BY44" s="284">
        <v>230496.89577570156</v>
      </c>
      <c r="BZ44" s="284">
        <v>215497.19999999972</v>
      </c>
      <c r="CA44" s="284">
        <v>117100</v>
      </c>
      <c r="CB44" s="284">
        <v>124144.81</v>
      </c>
      <c r="CC44" s="284">
        <v>91323.25</v>
      </c>
      <c r="CD44" s="284">
        <v>63078.479999999996</v>
      </c>
      <c r="CE44" s="284">
        <v>203643.68999999997</v>
      </c>
      <c r="CF44" s="284">
        <v>201036.30000000002</v>
      </c>
      <c r="CG44" s="284">
        <v>130153.12000000004</v>
      </c>
      <c r="CH44" s="284">
        <v>108750.20999999999</v>
      </c>
      <c r="CI44" s="284">
        <v>132539.71</v>
      </c>
      <c r="CJ44" s="284">
        <v>168643</v>
      </c>
      <c r="CK44" s="284">
        <v>170897.28999999995</v>
      </c>
      <c r="CL44" s="285">
        <v>1726807.0599999994</v>
      </c>
      <c r="CM44" s="291">
        <v>0</v>
      </c>
      <c r="CN44" s="284">
        <v>226204.80577569845</v>
      </c>
      <c r="CO44" s="284">
        <v>146434.4800000001</v>
      </c>
      <c r="CP44" s="284">
        <v>201347.65000000005</v>
      </c>
      <c r="CQ44" s="284">
        <v>155258.51</v>
      </c>
      <c r="CR44" s="284">
        <v>99177.75999999998</v>
      </c>
      <c r="CS44" s="284">
        <v>247096.47999999998</v>
      </c>
      <c r="CT44" s="284">
        <v>82902.99000000002</v>
      </c>
      <c r="CU44" s="284">
        <v>149391.32000000007</v>
      </c>
      <c r="CV44" s="284">
        <v>9492883.1199999694</v>
      </c>
      <c r="CW44" s="284">
        <v>12042122.440000011</v>
      </c>
      <c r="CX44" s="284">
        <v>3796119</v>
      </c>
      <c r="CY44" s="284">
        <v>2651918.8999999948</v>
      </c>
      <c r="CZ44" s="284">
        <v>1833254.8399999973</v>
      </c>
      <c r="DA44" s="285">
        <v>30897907.489999972</v>
      </c>
      <c r="DB44" s="291">
        <v>0</v>
      </c>
      <c r="DC44" s="284">
        <v>234788.98577570467</v>
      </c>
      <c r="DD44" s="284">
        <v>90901.710000003106</v>
      </c>
      <c r="DE44" s="284">
        <v>226415.20999999996</v>
      </c>
      <c r="DF44" s="284">
        <v>234277.62</v>
      </c>
      <c r="DG44" s="284">
        <v>162623.03000000006</v>
      </c>
      <c r="DH44" s="284">
        <v>120303.05999999998</v>
      </c>
      <c r="DI44" s="284">
        <v>175513.07</v>
      </c>
      <c r="DJ44" s="284">
        <v>185126.59999999998</v>
      </c>
      <c r="DK44" s="284">
        <v>178068.57</v>
      </c>
      <c r="DL44" s="284">
        <v>199478.771996</v>
      </c>
      <c r="DM44" s="284">
        <v>191288.92072999995</v>
      </c>
      <c r="DN44" s="284">
        <v>181394.68843399998</v>
      </c>
      <c r="DO44" s="284">
        <v>168121.30612999998</v>
      </c>
      <c r="DP44" s="285">
        <v>2113512.5572900032</v>
      </c>
      <c r="DQ44" s="291">
        <v>0</v>
      </c>
      <c r="DR44" s="284">
        <v>234788.98577570467</v>
      </c>
      <c r="DS44" s="284">
        <v>142054.77280094603</v>
      </c>
      <c r="DT44" s="284">
        <v>214715.66570488043</v>
      </c>
      <c r="DU44" s="284">
        <v>186936.16651171522</v>
      </c>
      <c r="DV44" s="284">
        <v>188906.09814037761</v>
      </c>
      <c r="DW44" s="284">
        <v>252583.16181833603</v>
      </c>
      <c r="DX44" s="284">
        <v>173214.73571564481</v>
      </c>
      <c r="DY44" s="284">
        <v>195263.44200439632</v>
      </c>
      <c r="DZ44" s="284">
        <v>178797.5196033222</v>
      </c>
      <c r="EA44" s="284">
        <v>203651.94512671119</v>
      </c>
      <c r="EB44" s="284">
        <v>231447.98085656119</v>
      </c>
      <c r="EC44" s="284">
        <v>207101.72734322795</v>
      </c>
      <c r="ED44" s="284">
        <v>173628.32743958864</v>
      </c>
      <c r="EE44" s="285">
        <v>2348301.5430657077</v>
      </c>
      <c r="EF44" s="291">
        <v>0</v>
      </c>
      <c r="EG44" s="311">
        <v>234788.98577570467</v>
      </c>
    </row>
    <row r="45" spans="2:137">
      <c r="B45" s="288" t="s">
        <v>6</v>
      </c>
      <c r="C45" s="284">
        <v>79527.399999999994</v>
      </c>
      <c r="D45" s="284">
        <v>87391.50999999998</v>
      </c>
      <c r="E45" s="284">
        <v>50329.049999999981</v>
      </c>
      <c r="F45" s="284">
        <v>55339.630000000005</v>
      </c>
      <c r="G45" s="284">
        <v>63368.079999999994</v>
      </c>
      <c r="H45" s="284">
        <v>61294.5</v>
      </c>
      <c r="I45" s="284">
        <v>60779.049999999988</v>
      </c>
      <c r="J45" s="284">
        <v>68284.109999999986</v>
      </c>
      <c r="K45" s="284">
        <v>47570.64</v>
      </c>
      <c r="L45" s="284">
        <v>23978.03</v>
      </c>
      <c r="M45" s="284">
        <v>72251.579999999987</v>
      </c>
      <c r="N45" s="284">
        <v>39487.01</v>
      </c>
      <c r="O45" s="285">
        <v>709600.59</v>
      </c>
      <c r="P45" s="291">
        <v>0</v>
      </c>
      <c r="Q45" s="284">
        <v>233980.26577570778</v>
      </c>
      <c r="R45" s="284">
        <v>30923.64</v>
      </c>
      <c r="S45" s="284">
        <v>55909.380000000005</v>
      </c>
      <c r="T45" s="284">
        <v>54486.77</v>
      </c>
      <c r="U45" s="284">
        <v>41156.609999999993</v>
      </c>
      <c r="V45" s="284">
        <v>29479.71</v>
      </c>
      <c r="W45" s="284">
        <v>48888.89</v>
      </c>
      <c r="X45" s="284">
        <v>80503.28</v>
      </c>
      <c r="Y45" s="284">
        <v>40237.539999999994</v>
      </c>
      <c r="Z45" s="284">
        <v>32503.590000000004</v>
      </c>
      <c r="AA45" s="284">
        <v>64349.209999999985</v>
      </c>
      <c r="AB45" s="284">
        <v>44402.26</v>
      </c>
      <c r="AC45" s="284">
        <v>36436.97</v>
      </c>
      <c r="AD45" s="285">
        <v>559277.85</v>
      </c>
      <c r="AE45" s="291">
        <v>0</v>
      </c>
      <c r="AF45" s="284">
        <v>233980.26577570778</v>
      </c>
      <c r="AG45" s="284">
        <v>95020.65</v>
      </c>
      <c r="AH45" s="284">
        <v>44026.829999999987</v>
      </c>
      <c r="AI45" s="284">
        <v>42862.729999999989</v>
      </c>
      <c r="AJ45" s="284">
        <v>43658.96</v>
      </c>
      <c r="AK45" s="284">
        <v>19705.830000000002</v>
      </c>
      <c r="AL45" s="284">
        <v>30946.740000000005</v>
      </c>
      <c r="AM45" s="284">
        <v>61806.59</v>
      </c>
      <c r="AN45" s="284">
        <v>62154.07</v>
      </c>
      <c r="AO45" s="284">
        <v>17306.18</v>
      </c>
      <c r="AP45" s="284">
        <v>88212.77</v>
      </c>
      <c r="AQ45" s="284">
        <v>62635.539999999994</v>
      </c>
      <c r="AR45" s="284">
        <v>20290.12</v>
      </c>
      <c r="AS45" s="285">
        <v>588627.01</v>
      </c>
      <c r="AT45" s="291">
        <v>0</v>
      </c>
      <c r="AU45" s="284">
        <v>233980.26577570778</v>
      </c>
      <c r="AV45" s="284">
        <v>129242.81</v>
      </c>
      <c r="AW45" s="284">
        <v>53183.89</v>
      </c>
      <c r="AX45" s="284">
        <v>38926.969999999994</v>
      </c>
      <c r="AY45" s="284">
        <v>53609.56</v>
      </c>
      <c r="AZ45" s="284">
        <v>131629.32</v>
      </c>
      <c r="BA45" s="284">
        <v>4207.8399999999992</v>
      </c>
      <c r="BB45" s="284">
        <v>92557.01999999999</v>
      </c>
      <c r="BC45" s="284">
        <v>191596.46000000002</v>
      </c>
      <c r="BD45" s="284">
        <v>207457.40000000002</v>
      </c>
      <c r="BE45" s="284">
        <v>305708.43000000023</v>
      </c>
      <c r="BF45" s="284">
        <v>251712.43000000002</v>
      </c>
      <c r="BG45" s="284">
        <v>201606.56000000003</v>
      </c>
      <c r="BH45" s="285">
        <v>1661438.6900000004</v>
      </c>
      <c r="BI45" s="291">
        <v>0</v>
      </c>
      <c r="BJ45" s="284">
        <v>233980.26577570778</v>
      </c>
      <c r="BK45" s="284">
        <v>88708.48000000001</v>
      </c>
      <c r="BL45" s="284">
        <v>89132.84</v>
      </c>
      <c r="BM45" s="284">
        <v>115882.61</v>
      </c>
      <c r="BN45" s="284">
        <v>206750.52999999997</v>
      </c>
      <c r="BO45" s="284">
        <v>128667.54000000001</v>
      </c>
      <c r="BP45" s="284">
        <v>156783.47</v>
      </c>
      <c r="BQ45" s="284">
        <v>97035.199999999997</v>
      </c>
      <c r="BR45" s="284">
        <v>141823</v>
      </c>
      <c r="BS45" s="284">
        <v>176881.20999999996</v>
      </c>
      <c r="BT45" s="284">
        <v>64948.889999999992</v>
      </c>
      <c r="BU45" s="284">
        <v>141063.36000000002</v>
      </c>
      <c r="BV45" s="284">
        <v>103661.54000000001</v>
      </c>
      <c r="BW45" s="285">
        <v>1511338.67</v>
      </c>
      <c r="BX45" s="291">
        <v>0</v>
      </c>
      <c r="BY45" s="284">
        <v>233980.26577570778</v>
      </c>
      <c r="BZ45" s="284">
        <v>206698.89000000004</v>
      </c>
      <c r="CA45" s="284">
        <v>113372</v>
      </c>
      <c r="CB45" s="284">
        <v>118907.06</v>
      </c>
      <c r="CC45" s="284">
        <v>91323.25</v>
      </c>
      <c r="CD45" s="284">
        <v>62787.03</v>
      </c>
      <c r="CE45" s="284">
        <v>199447.69999999998</v>
      </c>
      <c r="CF45" s="284">
        <v>185207.89</v>
      </c>
      <c r="CG45" s="284">
        <v>128038.96000000004</v>
      </c>
      <c r="CH45" s="284">
        <v>106603.53</v>
      </c>
      <c r="CI45" s="284">
        <v>130366.85</v>
      </c>
      <c r="CJ45" s="284">
        <v>164116.54</v>
      </c>
      <c r="CK45" s="284">
        <v>163800.56999999995</v>
      </c>
      <c r="CL45" s="285">
        <v>1670670.27</v>
      </c>
      <c r="CM45" s="291">
        <v>0</v>
      </c>
      <c r="CN45" s="284">
        <v>233980.26577570778</v>
      </c>
      <c r="CO45" s="284">
        <v>146132.84000000008</v>
      </c>
      <c r="CP45" s="284">
        <v>197495.89000000004</v>
      </c>
      <c r="CQ45" s="284">
        <v>146266.14000000001</v>
      </c>
      <c r="CR45" s="284">
        <v>87593.209999999977</v>
      </c>
      <c r="CS45" s="284">
        <v>241947.77</v>
      </c>
      <c r="CT45" s="284">
        <v>77384.340000000011</v>
      </c>
      <c r="CU45" s="284">
        <v>134034.10000000006</v>
      </c>
      <c r="CV45" s="284">
        <v>219286.02</v>
      </c>
      <c r="CW45" s="284">
        <v>101714.04</v>
      </c>
      <c r="CX45" s="284">
        <v>189383</v>
      </c>
      <c r="CY45" s="284">
        <v>154909.55000000002</v>
      </c>
      <c r="CZ45" s="284">
        <v>141661.26</v>
      </c>
      <c r="DA45" s="285">
        <v>1837808.1600000001</v>
      </c>
      <c r="DB45" s="291">
        <v>0</v>
      </c>
      <c r="DC45" s="284">
        <v>233980.26577570778</v>
      </c>
      <c r="DD45" s="284">
        <v>66666.8</v>
      </c>
      <c r="DE45" s="284">
        <v>204065.50999999998</v>
      </c>
      <c r="DF45" s="284">
        <v>220407.73</v>
      </c>
      <c r="DG45" s="284">
        <v>148897.08000000005</v>
      </c>
      <c r="DH45" s="284">
        <v>102752.56999999999</v>
      </c>
      <c r="DI45" s="284">
        <v>160987.71</v>
      </c>
      <c r="DJ45" s="284">
        <v>173852.39999999997</v>
      </c>
      <c r="DK45" s="284">
        <v>167658.79</v>
      </c>
      <c r="DL45" s="284">
        <v>195609.771996</v>
      </c>
      <c r="DM45" s="284">
        <v>187914.92072999995</v>
      </c>
      <c r="DN45" s="284">
        <v>178020.68843399998</v>
      </c>
      <c r="DO45" s="284">
        <v>164747.30612999998</v>
      </c>
      <c r="DP45" s="285">
        <v>1971581.2772899999</v>
      </c>
      <c r="DQ45" s="291">
        <v>0</v>
      </c>
      <c r="DR45" s="284">
        <v>233980.26577570778</v>
      </c>
      <c r="DS45" s="284">
        <v>130268.77280094601</v>
      </c>
      <c r="DT45" s="284">
        <v>202929.66570488043</v>
      </c>
      <c r="DU45" s="284">
        <v>175150.16651171522</v>
      </c>
      <c r="DV45" s="284">
        <v>177120.09814037761</v>
      </c>
      <c r="DW45" s="284">
        <v>239984.16181833603</v>
      </c>
      <c r="DX45" s="284">
        <v>161428.73571564481</v>
      </c>
      <c r="DY45" s="284">
        <v>183477.44200439632</v>
      </c>
      <c r="DZ45" s="284">
        <v>167011.5196033222</v>
      </c>
      <c r="EA45" s="284">
        <v>191370.94512671119</v>
      </c>
      <c r="EB45" s="284">
        <v>219661.98085656119</v>
      </c>
      <c r="EC45" s="284">
        <v>195315.72734322795</v>
      </c>
      <c r="ED45" s="284">
        <v>161842.32743958864</v>
      </c>
      <c r="EE45" s="285">
        <v>2205561.5430657077</v>
      </c>
      <c r="EF45" s="291">
        <v>0</v>
      </c>
      <c r="EG45" s="311">
        <v>233980.26577570778</v>
      </c>
    </row>
    <row r="46" spans="2:137">
      <c r="B46" s="288" t="s">
        <v>5</v>
      </c>
      <c r="C46" s="284">
        <v>335</v>
      </c>
      <c r="D46" s="284">
        <v>0</v>
      </c>
      <c r="E46" s="284">
        <v>260.10000000000002</v>
      </c>
      <c r="F46" s="284">
        <v>120</v>
      </c>
      <c r="G46" s="284">
        <v>0</v>
      </c>
      <c r="H46" s="284">
        <v>300</v>
      </c>
      <c r="I46" s="284">
        <v>0</v>
      </c>
      <c r="J46" s="284">
        <v>283.57</v>
      </c>
      <c r="K46" s="284">
        <v>125</v>
      </c>
      <c r="L46" s="284">
        <v>89.5</v>
      </c>
      <c r="M46" s="284">
        <v>275.10000000000002</v>
      </c>
      <c r="N46" s="284">
        <v>2035.4999999999998</v>
      </c>
      <c r="O46" s="285">
        <v>3823.7699999999995</v>
      </c>
      <c r="P46" s="291">
        <v>0</v>
      </c>
      <c r="Q46" s="284">
        <v>5416.0499999999956</v>
      </c>
      <c r="R46" s="284">
        <v>90</v>
      </c>
      <c r="S46" s="284">
        <v>0</v>
      </c>
      <c r="T46" s="284">
        <v>672.7</v>
      </c>
      <c r="U46" s="284">
        <v>229</v>
      </c>
      <c r="V46" s="284">
        <v>108.1</v>
      </c>
      <c r="W46" s="284">
        <v>0</v>
      </c>
      <c r="X46" s="284">
        <v>0</v>
      </c>
      <c r="Y46" s="284">
        <v>0</v>
      </c>
      <c r="Z46" s="284">
        <v>0</v>
      </c>
      <c r="AA46" s="284">
        <v>0</v>
      </c>
      <c r="AB46" s="284">
        <v>0</v>
      </c>
      <c r="AC46" s="284">
        <v>380</v>
      </c>
      <c r="AD46" s="285">
        <v>1479.8</v>
      </c>
      <c r="AE46" s="291">
        <v>0</v>
      </c>
      <c r="AF46" s="284">
        <v>5416.0499999999956</v>
      </c>
      <c r="AG46" s="284">
        <v>85.69</v>
      </c>
      <c r="AH46" s="284">
        <v>0</v>
      </c>
      <c r="AI46" s="284">
        <v>699.78</v>
      </c>
      <c r="AJ46" s="284">
        <v>0</v>
      </c>
      <c r="AK46" s="284">
        <v>0</v>
      </c>
      <c r="AL46" s="284">
        <v>0</v>
      </c>
      <c r="AM46" s="284">
        <v>0</v>
      </c>
      <c r="AN46" s="284">
        <v>0</v>
      </c>
      <c r="AO46" s="284">
        <v>0</v>
      </c>
      <c r="AP46" s="284">
        <v>0</v>
      </c>
      <c r="AQ46" s="284">
        <v>179.98</v>
      </c>
      <c r="AR46" s="284">
        <v>41.769999999999996</v>
      </c>
      <c r="AS46" s="285">
        <v>1007.22</v>
      </c>
      <c r="AT46" s="291">
        <v>0</v>
      </c>
      <c r="AU46" s="284">
        <v>5416.0499999999956</v>
      </c>
      <c r="AV46" s="284">
        <v>0</v>
      </c>
      <c r="AW46" s="284">
        <v>0</v>
      </c>
      <c r="AX46" s="284">
        <v>0</v>
      </c>
      <c r="AY46" s="284">
        <v>0</v>
      </c>
      <c r="AZ46" s="284">
        <v>555.66</v>
      </c>
      <c r="BA46" s="284">
        <v>0</v>
      </c>
      <c r="BB46" s="284">
        <v>0</v>
      </c>
      <c r="BC46" s="284">
        <v>0</v>
      </c>
      <c r="BD46" s="284">
        <v>0</v>
      </c>
      <c r="BE46" s="284">
        <v>1420.6499999999999</v>
      </c>
      <c r="BF46" s="284">
        <v>1746.55</v>
      </c>
      <c r="BG46" s="284">
        <v>29.4</v>
      </c>
      <c r="BH46" s="285">
        <v>3752.2599999999998</v>
      </c>
      <c r="BI46" s="291">
        <v>0</v>
      </c>
      <c r="BJ46" s="284">
        <v>5416.0499999999956</v>
      </c>
      <c r="BK46" s="284">
        <v>0</v>
      </c>
      <c r="BL46" s="284">
        <v>0</v>
      </c>
      <c r="BM46" s="284">
        <v>1436</v>
      </c>
      <c r="BN46" s="284">
        <v>1542.64</v>
      </c>
      <c r="BO46" s="284">
        <v>0</v>
      </c>
      <c r="BP46" s="284">
        <v>109.19999999999999</v>
      </c>
      <c r="BQ46" s="284">
        <v>524.85</v>
      </c>
      <c r="BR46" s="284">
        <v>142</v>
      </c>
      <c r="BS46" s="284">
        <v>319.8</v>
      </c>
      <c r="BT46" s="284">
        <v>800</v>
      </c>
      <c r="BU46" s="284">
        <v>240</v>
      </c>
      <c r="BV46" s="284">
        <v>0</v>
      </c>
      <c r="BW46" s="285">
        <v>5114.49</v>
      </c>
      <c r="BX46" s="291">
        <v>0</v>
      </c>
      <c r="BY46" s="284">
        <v>5416.0499999999956</v>
      </c>
      <c r="BZ46" s="284">
        <v>1848</v>
      </c>
      <c r="CA46" s="284">
        <v>225</v>
      </c>
      <c r="CB46" s="284">
        <v>0</v>
      </c>
      <c r="CC46" s="284">
        <v>0</v>
      </c>
      <c r="CD46" s="284">
        <v>240</v>
      </c>
      <c r="CE46" s="284">
        <v>277</v>
      </c>
      <c r="CF46" s="284">
        <v>1545.57</v>
      </c>
      <c r="CG46" s="284">
        <v>225</v>
      </c>
      <c r="CH46" s="284">
        <v>225</v>
      </c>
      <c r="CI46" s="284">
        <v>1609</v>
      </c>
      <c r="CJ46" s="284">
        <v>225</v>
      </c>
      <c r="CK46" s="284">
        <v>225</v>
      </c>
      <c r="CL46" s="285">
        <v>6644.57</v>
      </c>
      <c r="CM46" s="291">
        <v>0</v>
      </c>
      <c r="CN46" s="284">
        <v>5416.0499999999956</v>
      </c>
      <c r="CO46" s="284">
        <v>234</v>
      </c>
      <c r="CP46" s="284">
        <v>1605</v>
      </c>
      <c r="CQ46" s="284">
        <v>0</v>
      </c>
      <c r="CR46" s="284">
        <v>406.25</v>
      </c>
      <c r="CS46" s="284">
        <v>0</v>
      </c>
      <c r="CT46" s="284">
        <v>815.8</v>
      </c>
      <c r="CU46" s="284">
        <v>12664.01</v>
      </c>
      <c r="CV46" s="284">
        <v>867.9</v>
      </c>
      <c r="CW46" s="284">
        <v>3912.6299999999997</v>
      </c>
      <c r="CX46" s="284">
        <v>1815</v>
      </c>
      <c r="CY46" s="284">
        <v>3683.11</v>
      </c>
      <c r="CZ46" s="284">
        <v>216</v>
      </c>
      <c r="DA46" s="285">
        <v>26219.700000000004</v>
      </c>
      <c r="DB46" s="291">
        <v>0</v>
      </c>
      <c r="DC46" s="284">
        <v>5416.0499999999956</v>
      </c>
      <c r="DD46" s="284">
        <v>3363.11</v>
      </c>
      <c r="DE46" s="284">
        <v>640</v>
      </c>
      <c r="DF46" s="284">
        <v>6139.34</v>
      </c>
      <c r="DG46" s="284">
        <v>0</v>
      </c>
      <c r="DH46" s="284">
        <v>156.37</v>
      </c>
      <c r="DI46" s="284">
        <v>3389.67</v>
      </c>
      <c r="DJ46" s="284">
        <v>3441.79</v>
      </c>
      <c r="DK46" s="284">
        <v>3389.67</v>
      </c>
      <c r="DL46" s="284">
        <v>3869</v>
      </c>
      <c r="DM46" s="284">
        <v>3374</v>
      </c>
      <c r="DN46" s="284">
        <v>3374</v>
      </c>
      <c r="DO46" s="284">
        <v>3374</v>
      </c>
      <c r="DP46" s="285">
        <v>34510.950000000004</v>
      </c>
      <c r="DQ46" s="291">
        <v>0</v>
      </c>
      <c r="DR46" s="284">
        <v>5416.0499999999956</v>
      </c>
      <c r="DS46" s="284">
        <v>3286</v>
      </c>
      <c r="DT46" s="284">
        <v>3286</v>
      </c>
      <c r="DU46" s="284">
        <v>3286</v>
      </c>
      <c r="DV46" s="284">
        <v>3286</v>
      </c>
      <c r="DW46" s="284">
        <v>3286</v>
      </c>
      <c r="DX46" s="284">
        <v>3286</v>
      </c>
      <c r="DY46" s="284">
        <v>3286</v>
      </c>
      <c r="DZ46" s="284">
        <v>3286</v>
      </c>
      <c r="EA46" s="284">
        <v>3781</v>
      </c>
      <c r="EB46" s="284">
        <v>3286</v>
      </c>
      <c r="EC46" s="284">
        <v>3286</v>
      </c>
      <c r="ED46" s="284">
        <v>3286</v>
      </c>
      <c r="EE46" s="285">
        <v>39927</v>
      </c>
      <c r="EF46" s="291">
        <v>0</v>
      </c>
      <c r="EG46" s="311">
        <v>5416.0499999999956</v>
      </c>
    </row>
    <row r="47" spans="2:137">
      <c r="B47" s="288" t="s">
        <v>3</v>
      </c>
      <c r="C47" s="284">
        <v>0</v>
      </c>
      <c r="D47" s="284">
        <v>0</v>
      </c>
      <c r="E47" s="284">
        <v>0</v>
      </c>
      <c r="F47" s="284">
        <v>0</v>
      </c>
      <c r="G47" s="284">
        <v>0</v>
      </c>
      <c r="H47" s="284">
        <v>0</v>
      </c>
      <c r="I47" s="284">
        <v>0</v>
      </c>
      <c r="J47" s="284">
        <v>0</v>
      </c>
      <c r="K47" s="284">
        <v>0</v>
      </c>
      <c r="L47" s="284">
        <v>0</v>
      </c>
      <c r="M47" s="284">
        <v>0</v>
      </c>
      <c r="N47" s="284">
        <v>0</v>
      </c>
      <c r="O47" s="285">
        <v>0</v>
      </c>
      <c r="P47" s="291">
        <v>0</v>
      </c>
      <c r="Q47" s="284">
        <v>0</v>
      </c>
      <c r="R47" s="284">
        <v>0</v>
      </c>
      <c r="S47" s="284">
        <v>0</v>
      </c>
      <c r="T47" s="284">
        <v>0</v>
      </c>
      <c r="U47" s="284">
        <v>0</v>
      </c>
      <c r="V47" s="284">
        <v>0</v>
      </c>
      <c r="W47" s="284">
        <v>0</v>
      </c>
      <c r="X47" s="284">
        <v>0</v>
      </c>
      <c r="Y47" s="284">
        <v>0</v>
      </c>
      <c r="Z47" s="284">
        <v>0</v>
      </c>
      <c r="AA47" s="284">
        <v>0</v>
      </c>
      <c r="AB47" s="284">
        <v>0</v>
      </c>
      <c r="AC47" s="284">
        <v>0</v>
      </c>
      <c r="AD47" s="285">
        <v>0</v>
      </c>
      <c r="AE47" s="291">
        <v>0</v>
      </c>
      <c r="AF47" s="284">
        <v>0</v>
      </c>
      <c r="AG47" s="284">
        <v>0</v>
      </c>
      <c r="AH47" s="284">
        <v>0</v>
      </c>
      <c r="AI47" s="284">
        <v>0</v>
      </c>
      <c r="AJ47" s="284">
        <v>0</v>
      </c>
      <c r="AK47" s="284">
        <v>0</v>
      </c>
      <c r="AL47" s="284">
        <v>0</v>
      </c>
      <c r="AM47" s="284">
        <v>0</v>
      </c>
      <c r="AN47" s="284">
        <v>0</v>
      </c>
      <c r="AO47" s="284">
        <v>0</v>
      </c>
      <c r="AP47" s="284">
        <v>0</v>
      </c>
      <c r="AQ47" s="284">
        <v>0</v>
      </c>
      <c r="AR47" s="284">
        <v>0</v>
      </c>
      <c r="AS47" s="285">
        <v>0</v>
      </c>
      <c r="AT47" s="291">
        <v>0</v>
      </c>
      <c r="AU47" s="284">
        <v>0</v>
      </c>
      <c r="AV47" s="284">
        <v>0</v>
      </c>
      <c r="AW47" s="284">
        <v>0</v>
      </c>
      <c r="AX47" s="284">
        <v>0</v>
      </c>
      <c r="AY47" s="284">
        <v>0</v>
      </c>
      <c r="AZ47" s="284">
        <v>0</v>
      </c>
      <c r="BA47" s="284">
        <v>0</v>
      </c>
      <c r="BB47" s="284">
        <v>0</v>
      </c>
      <c r="BC47" s="284">
        <v>0</v>
      </c>
      <c r="BD47" s="284">
        <v>0</v>
      </c>
      <c r="BE47" s="284">
        <v>0</v>
      </c>
      <c r="BF47" s="284">
        <v>0</v>
      </c>
      <c r="BG47" s="284">
        <v>0</v>
      </c>
      <c r="BH47" s="285">
        <v>0</v>
      </c>
      <c r="BI47" s="291">
        <v>0</v>
      </c>
      <c r="BJ47" s="284">
        <v>0</v>
      </c>
      <c r="BK47" s="284">
        <v>0</v>
      </c>
      <c r="BL47" s="284">
        <v>0</v>
      </c>
      <c r="BM47" s="284">
        <v>0</v>
      </c>
      <c r="BN47" s="284">
        <v>0</v>
      </c>
      <c r="BO47" s="284">
        <v>0</v>
      </c>
      <c r="BP47" s="284">
        <v>0</v>
      </c>
      <c r="BQ47" s="284">
        <v>20.54</v>
      </c>
      <c r="BR47" s="284">
        <v>0</v>
      </c>
      <c r="BS47" s="284">
        <v>0</v>
      </c>
      <c r="BT47" s="284">
        <v>39.879999999999995</v>
      </c>
      <c r="BU47" s="284">
        <v>44.64</v>
      </c>
      <c r="BV47" s="284">
        <v>0</v>
      </c>
      <c r="BW47" s="285">
        <v>105.06</v>
      </c>
      <c r="BX47" s="291">
        <v>0</v>
      </c>
      <c r="BY47" s="284">
        <v>0</v>
      </c>
      <c r="BZ47" s="284">
        <v>0</v>
      </c>
      <c r="CA47" s="284">
        <v>373</v>
      </c>
      <c r="CB47" s="284">
        <v>0</v>
      </c>
      <c r="CC47" s="284">
        <v>0</v>
      </c>
      <c r="CD47" s="284">
        <v>0</v>
      </c>
      <c r="CE47" s="284">
        <v>0</v>
      </c>
      <c r="CF47" s="284">
        <v>34.910000000000004</v>
      </c>
      <c r="CG47" s="284">
        <v>0</v>
      </c>
      <c r="CH47" s="284">
        <v>0</v>
      </c>
      <c r="CI47" s="284">
        <v>2.02</v>
      </c>
      <c r="CJ47" s="284">
        <v>0</v>
      </c>
      <c r="CK47" s="284">
        <v>0</v>
      </c>
      <c r="CL47" s="285">
        <v>409.93</v>
      </c>
      <c r="CM47" s="291">
        <v>0</v>
      </c>
      <c r="CN47" s="284">
        <v>0</v>
      </c>
      <c r="CO47" s="284">
        <v>0</v>
      </c>
      <c r="CP47" s="284">
        <v>0</v>
      </c>
      <c r="CQ47" s="284">
        <v>0</v>
      </c>
      <c r="CR47" s="284">
        <v>0</v>
      </c>
      <c r="CS47" s="284">
        <v>0</v>
      </c>
      <c r="CT47" s="284">
        <v>0</v>
      </c>
      <c r="CU47" s="284">
        <v>0</v>
      </c>
      <c r="CV47" s="284">
        <v>0</v>
      </c>
      <c r="CW47" s="284">
        <v>0</v>
      </c>
      <c r="CX47" s="284">
        <v>14</v>
      </c>
      <c r="CY47" s="284">
        <v>0</v>
      </c>
      <c r="CZ47" s="284">
        <v>0</v>
      </c>
      <c r="DA47" s="285">
        <v>14</v>
      </c>
      <c r="DB47" s="291">
        <v>0</v>
      </c>
      <c r="DC47" s="284">
        <v>0</v>
      </c>
      <c r="DD47" s="284">
        <v>0</v>
      </c>
      <c r="DE47" s="284">
        <v>0</v>
      </c>
      <c r="DF47" s="284">
        <v>0</v>
      </c>
      <c r="DG47" s="284">
        <v>0</v>
      </c>
      <c r="DH47" s="284">
        <v>0</v>
      </c>
      <c r="DI47" s="284">
        <v>0</v>
      </c>
      <c r="DJ47" s="284">
        <v>0</v>
      </c>
      <c r="DK47" s="284">
        <v>0</v>
      </c>
      <c r="DL47" s="284">
        <v>0</v>
      </c>
      <c r="DM47" s="284">
        <v>0</v>
      </c>
      <c r="DN47" s="284">
        <v>0</v>
      </c>
      <c r="DO47" s="284">
        <v>0</v>
      </c>
      <c r="DP47" s="285">
        <v>0</v>
      </c>
      <c r="DQ47" s="291">
        <v>0</v>
      </c>
      <c r="DR47" s="284">
        <v>0</v>
      </c>
      <c r="DS47" s="284">
        <v>0</v>
      </c>
      <c r="DT47" s="284">
        <v>0</v>
      </c>
      <c r="DU47" s="284">
        <v>0</v>
      </c>
      <c r="DV47" s="284">
        <v>0</v>
      </c>
      <c r="DW47" s="284">
        <v>0</v>
      </c>
      <c r="DX47" s="284">
        <v>0</v>
      </c>
      <c r="DY47" s="284">
        <v>0</v>
      </c>
      <c r="DZ47" s="284">
        <v>0</v>
      </c>
      <c r="EA47" s="284">
        <v>0</v>
      </c>
      <c r="EB47" s="284">
        <v>0</v>
      </c>
      <c r="EC47" s="284">
        <v>0</v>
      </c>
      <c r="ED47" s="284">
        <v>0</v>
      </c>
      <c r="EE47" s="285">
        <v>0</v>
      </c>
      <c r="EF47" s="291">
        <v>0</v>
      </c>
      <c r="EG47" s="311">
        <v>0</v>
      </c>
    </row>
    <row r="48" spans="2:137">
      <c r="B48" s="288" t="s">
        <v>90</v>
      </c>
      <c r="C48" s="284">
        <v>1863.0299999999993</v>
      </c>
      <c r="D48" s="284">
        <v>4813.75</v>
      </c>
      <c r="E48" s="284">
        <v>1595.66</v>
      </c>
      <c r="F48" s="284">
        <v>2151.1600000000003</v>
      </c>
      <c r="G48" s="284">
        <v>6030.7199999999993</v>
      </c>
      <c r="H48" s="284">
        <v>2119.62</v>
      </c>
      <c r="I48" s="284">
        <v>9510.489999999998</v>
      </c>
      <c r="J48" s="284">
        <v>0</v>
      </c>
      <c r="K48" s="284">
        <v>1743.6699999999996</v>
      </c>
      <c r="L48" s="284">
        <v>2135.7400000000007</v>
      </c>
      <c r="M48" s="284">
        <v>5668.0800000000017</v>
      </c>
      <c r="N48" s="284">
        <v>1054.53</v>
      </c>
      <c r="O48" s="285">
        <v>38686.450000000004</v>
      </c>
      <c r="P48" s="291">
        <v>0</v>
      </c>
      <c r="Q48" s="284">
        <v>-4292.0900000030961</v>
      </c>
      <c r="R48" s="284">
        <v>3139.0599999999995</v>
      </c>
      <c r="S48" s="284">
        <v>751.77</v>
      </c>
      <c r="T48" s="284">
        <v>1765.16</v>
      </c>
      <c r="U48" s="284">
        <v>858.12</v>
      </c>
      <c r="V48" s="284">
        <v>971.37999999999965</v>
      </c>
      <c r="W48" s="284">
        <v>2577.08</v>
      </c>
      <c r="X48" s="284">
        <v>3649.1399999999935</v>
      </c>
      <c r="Y48" s="284">
        <v>28169.390000000014</v>
      </c>
      <c r="Z48" s="284">
        <v>3440.3800000000006</v>
      </c>
      <c r="AA48" s="284">
        <v>2641.1099999999988</v>
      </c>
      <c r="AB48" s="284">
        <v>3247.6000000000004</v>
      </c>
      <c r="AC48" s="284">
        <v>3866.75</v>
      </c>
      <c r="AD48" s="285">
        <v>55076.94</v>
      </c>
      <c r="AE48" s="291">
        <v>0</v>
      </c>
      <c r="AF48" s="284">
        <v>-4292.0900000030961</v>
      </c>
      <c r="AG48" s="284">
        <v>3617.69</v>
      </c>
      <c r="AH48" s="284">
        <v>3129.130000000001</v>
      </c>
      <c r="AI48" s="284">
        <v>3578.0899999999988</v>
      </c>
      <c r="AJ48" s="284">
        <v>7884.5999999999985</v>
      </c>
      <c r="AK48" s="284">
        <v>20704.360000000015</v>
      </c>
      <c r="AL48" s="284">
        <v>-11772.220000000007</v>
      </c>
      <c r="AM48" s="284">
        <v>2930.349999999999</v>
      </c>
      <c r="AN48" s="284">
        <v>3738.2099999999996</v>
      </c>
      <c r="AO48" s="284">
        <v>4589.55</v>
      </c>
      <c r="AP48" s="284">
        <v>4157.0999999999995</v>
      </c>
      <c r="AQ48" s="284">
        <v>12265.099999999995</v>
      </c>
      <c r="AR48" s="284">
        <v>-781.95999999999992</v>
      </c>
      <c r="AS48" s="285">
        <v>54039.999999999993</v>
      </c>
      <c r="AT48" s="291">
        <v>0</v>
      </c>
      <c r="AU48" s="284">
        <v>-4292.0900000030961</v>
      </c>
      <c r="AV48" s="284">
        <v>8810.1299999999992</v>
      </c>
      <c r="AW48" s="284">
        <v>3169.9500000000007</v>
      </c>
      <c r="AX48" s="284">
        <v>6726.6599999999944</v>
      </c>
      <c r="AY48" s="284">
        <v>4822.4399999999987</v>
      </c>
      <c r="AZ48" s="284">
        <v>5845.6599999999962</v>
      </c>
      <c r="BA48" s="284">
        <v>3618.59</v>
      </c>
      <c r="BB48" s="284">
        <v>8764.8299999999945</v>
      </c>
      <c r="BC48" s="284">
        <v>6327.6700000000028</v>
      </c>
      <c r="BD48" s="284">
        <v>15879.020000000006</v>
      </c>
      <c r="BE48" s="284">
        <v>18036.979999999992</v>
      </c>
      <c r="BF48" s="284">
        <v>16284.180000000002</v>
      </c>
      <c r="BG48" s="284">
        <v>10644.51</v>
      </c>
      <c r="BH48" s="285">
        <v>108930.62</v>
      </c>
      <c r="BI48" s="291">
        <v>0</v>
      </c>
      <c r="BJ48" s="284">
        <v>-4292.0900000030961</v>
      </c>
      <c r="BK48" s="284">
        <v>11431.05</v>
      </c>
      <c r="BL48" s="284">
        <v>6008.12</v>
      </c>
      <c r="BM48" s="284">
        <v>9613.2699999999986</v>
      </c>
      <c r="BN48" s="284">
        <v>1947.4200000000005</v>
      </c>
      <c r="BO48" s="284">
        <v>19817.670000000006</v>
      </c>
      <c r="BP48" s="284">
        <v>15110.490000000002</v>
      </c>
      <c r="BQ48" s="284">
        <v>9125.4399999999987</v>
      </c>
      <c r="BR48" s="284">
        <v>4951</v>
      </c>
      <c r="BS48" s="284">
        <v>12639.330000000005</v>
      </c>
      <c r="BT48" s="284">
        <v>6621.05</v>
      </c>
      <c r="BU48" s="284">
        <v>6988.9600000000019</v>
      </c>
      <c r="BV48" s="284">
        <v>0</v>
      </c>
      <c r="BW48" s="285">
        <v>104253.80000000447</v>
      </c>
      <c r="BX48" s="291">
        <v>0</v>
      </c>
      <c r="BY48" s="284">
        <v>-8584.1800000061921</v>
      </c>
      <c r="BZ48" s="284">
        <v>6950.3099999995902</v>
      </c>
      <c r="CA48" s="284">
        <v>2448</v>
      </c>
      <c r="CB48" s="284">
        <v>5161.95</v>
      </c>
      <c r="CC48" s="284">
        <v>0</v>
      </c>
      <c r="CD48" s="284">
        <v>51.45</v>
      </c>
      <c r="CE48" s="284">
        <v>3918.9900000000002</v>
      </c>
      <c r="CF48" s="284">
        <v>14247.93</v>
      </c>
      <c r="CG48" s="284">
        <v>1889.1599999999999</v>
      </c>
      <c r="CH48" s="284">
        <v>1921.6799999999998</v>
      </c>
      <c r="CI48" s="284">
        <v>561.83999999999992</v>
      </c>
      <c r="CJ48" s="284">
        <v>4301.46</v>
      </c>
      <c r="CK48" s="284">
        <v>6244.9199999999992</v>
      </c>
      <c r="CL48" s="285">
        <v>47697.689999999246</v>
      </c>
      <c r="CM48" s="291">
        <v>0</v>
      </c>
      <c r="CN48" s="284">
        <v>-12876.270000009288</v>
      </c>
      <c r="CO48" s="284">
        <v>67.64</v>
      </c>
      <c r="CP48" s="284">
        <v>2246.7599999999998</v>
      </c>
      <c r="CQ48" s="284">
        <v>8462.3699999999972</v>
      </c>
      <c r="CR48" s="284">
        <v>11178.300000000003</v>
      </c>
      <c r="CS48" s="284">
        <v>5148.71</v>
      </c>
      <c r="CT48" s="284">
        <v>4646.8500000000004</v>
      </c>
      <c r="CU48" s="284">
        <v>2693.2099999999996</v>
      </c>
      <c r="CV48" s="284">
        <v>9272729.1999999695</v>
      </c>
      <c r="CW48" s="284">
        <v>11936495.770000011</v>
      </c>
      <c r="CX48" s="284">
        <v>3604478</v>
      </c>
      <c r="CY48" s="284">
        <v>2493326.2399999946</v>
      </c>
      <c r="CZ48" s="284">
        <v>1690193.3799999973</v>
      </c>
      <c r="DA48" s="285">
        <v>29031666.429999974</v>
      </c>
      <c r="DB48" s="291">
        <v>0</v>
      </c>
      <c r="DC48" s="284">
        <v>-4292.0900000030961</v>
      </c>
      <c r="DD48" s="284">
        <v>20871.800000003095</v>
      </c>
      <c r="DE48" s="284">
        <v>21709.69999999999</v>
      </c>
      <c r="DF48" s="284">
        <v>7730.5499999999993</v>
      </c>
      <c r="DG48" s="284">
        <v>13725.949999999999</v>
      </c>
      <c r="DH48" s="284">
        <v>16583.28</v>
      </c>
      <c r="DI48" s="284">
        <v>11135.690000000002</v>
      </c>
      <c r="DJ48" s="284">
        <v>7515.010000000002</v>
      </c>
      <c r="DK48" s="284">
        <v>7020.1099999999942</v>
      </c>
      <c r="DL48" s="284">
        <v>0</v>
      </c>
      <c r="DM48" s="284">
        <v>0</v>
      </c>
      <c r="DN48" s="284">
        <v>0</v>
      </c>
      <c r="DO48" s="284">
        <v>0</v>
      </c>
      <c r="DP48" s="285">
        <v>106292.0900000031</v>
      </c>
      <c r="DQ48" s="291">
        <v>0</v>
      </c>
      <c r="DR48" s="284">
        <v>-4292.0900000030961</v>
      </c>
      <c r="DS48" s="284">
        <v>8500</v>
      </c>
      <c r="DT48" s="284">
        <v>8500</v>
      </c>
      <c r="DU48" s="284">
        <v>8500</v>
      </c>
      <c r="DV48" s="284">
        <v>8500</v>
      </c>
      <c r="DW48" s="284">
        <v>8500</v>
      </c>
      <c r="DX48" s="284">
        <v>8500</v>
      </c>
      <c r="DY48" s="284">
        <v>8500</v>
      </c>
      <c r="DZ48" s="284">
        <v>8500</v>
      </c>
      <c r="EA48" s="284">
        <v>8500</v>
      </c>
      <c r="EB48" s="284">
        <v>8500</v>
      </c>
      <c r="EC48" s="284">
        <v>8500</v>
      </c>
      <c r="ED48" s="284">
        <v>8500</v>
      </c>
      <c r="EE48" s="285">
        <v>102000</v>
      </c>
      <c r="EF48" s="291">
        <v>0</v>
      </c>
      <c r="EG48" s="311">
        <v>-4292.0900000030961</v>
      </c>
    </row>
    <row r="49" spans="2:137">
      <c r="B49" s="288" t="s">
        <v>33</v>
      </c>
      <c r="C49" s="284">
        <v>0</v>
      </c>
      <c r="D49" s="284">
        <v>0</v>
      </c>
      <c r="E49" s="284">
        <v>0</v>
      </c>
      <c r="F49" s="284">
        <v>0</v>
      </c>
      <c r="G49" s="284">
        <v>0</v>
      </c>
      <c r="H49" s="284">
        <v>0</v>
      </c>
      <c r="I49" s="284">
        <v>0</v>
      </c>
      <c r="J49" s="284">
        <v>0</v>
      </c>
      <c r="K49" s="284">
        <v>0</v>
      </c>
      <c r="L49" s="284">
        <v>16.079999999999998</v>
      </c>
      <c r="M49" s="284">
        <v>0</v>
      </c>
      <c r="N49" s="284">
        <v>0</v>
      </c>
      <c r="O49" s="285">
        <v>16.079999999999998</v>
      </c>
      <c r="P49" s="291">
        <v>0</v>
      </c>
      <c r="Q49" s="284">
        <v>-315.24</v>
      </c>
      <c r="R49" s="284">
        <v>0</v>
      </c>
      <c r="S49" s="284">
        <v>0</v>
      </c>
      <c r="T49" s="284">
        <v>0</v>
      </c>
      <c r="U49" s="284">
        <v>0</v>
      </c>
      <c r="V49" s="284">
        <v>0</v>
      </c>
      <c r="W49" s="284">
        <v>0</v>
      </c>
      <c r="X49" s="284">
        <v>0</v>
      </c>
      <c r="Y49" s="284">
        <v>0</v>
      </c>
      <c r="Z49" s="284">
        <v>0</v>
      </c>
      <c r="AA49" s="284">
        <v>0</v>
      </c>
      <c r="AB49" s="284">
        <v>0</v>
      </c>
      <c r="AC49" s="284">
        <v>0</v>
      </c>
      <c r="AD49" s="285">
        <v>0</v>
      </c>
      <c r="AE49" s="291">
        <v>0</v>
      </c>
      <c r="AF49" s="284">
        <v>0</v>
      </c>
      <c r="AG49" s="284">
        <v>0</v>
      </c>
      <c r="AH49" s="284">
        <v>0</v>
      </c>
      <c r="AI49" s="284">
        <v>0</v>
      </c>
      <c r="AJ49" s="284">
        <v>0</v>
      </c>
      <c r="AK49" s="284">
        <v>0</v>
      </c>
      <c r="AL49" s="284">
        <v>0</v>
      </c>
      <c r="AM49" s="284">
        <v>0</v>
      </c>
      <c r="AN49" s="284">
        <v>0</v>
      </c>
      <c r="AO49" s="284">
        <v>0</v>
      </c>
      <c r="AP49" s="284">
        <v>513</v>
      </c>
      <c r="AQ49" s="284">
        <v>0</v>
      </c>
      <c r="AR49" s="284">
        <v>0</v>
      </c>
      <c r="AS49" s="285">
        <v>513</v>
      </c>
      <c r="AT49" s="291">
        <v>0</v>
      </c>
      <c r="AU49" s="284">
        <v>-315.24</v>
      </c>
      <c r="AV49" s="284">
        <v>0</v>
      </c>
      <c r="AW49" s="284">
        <v>1284.97</v>
      </c>
      <c r="AX49" s="284">
        <v>0</v>
      </c>
      <c r="AY49" s="284">
        <v>0</v>
      </c>
      <c r="AZ49" s="284">
        <v>0</v>
      </c>
      <c r="BA49" s="284">
        <v>0</v>
      </c>
      <c r="BB49" s="284">
        <v>0</v>
      </c>
      <c r="BC49" s="284">
        <v>0</v>
      </c>
      <c r="BD49" s="284">
        <v>0</v>
      </c>
      <c r="BE49" s="284">
        <v>0</v>
      </c>
      <c r="BF49" s="284">
        <v>0</v>
      </c>
      <c r="BG49" s="284">
        <v>0</v>
      </c>
      <c r="BH49" s="285">
        <v>1284.97</v>
      </c>
      <c r="BI49" s="291">
        <v>0</v>
      </c>
      <c r="BJ49" s="284">
        <v>-315.24</v>
      </c>
      <c r="BK49" s="284">
        <v>0</v>
      </c>
      <c r="BL49" s="284">
        <v>0</v>
      </c>
      <c r="BM49" s="284">
        <v>0</v>
      </c>
      <c r="BN49" s="284">
        <v>0</v>
      </c>
      <c r="BO49" s="284">
        <v>439.95</v>
      </c>
      <c r="BP49" s="284">
        <v>0</v>
      </c>
      <c r="BQ49" s="284">
        <v>0</v>
      </c>
      <c r="BR49" s="284">
        <v>0</v>
      </c>
      <c r="BS49" s="284">
        <v>0</v>
      </c>
      <c r="BT49" s="284">
        <v>0</v>
      </c>
      <c r="BU49" s="284">
        <v>198</v>
      </c>
      <c r="BV49" s="284">
        <v>0</v>
      </c>
      <c r="BW49" s="285">
        <v>637.95000000000005</v>
      </c>
      <c r="BX49" s="291">
        <v>0</v>
      </c>
      <c r="BY49" s="284">
        <v>-315.24</v>
      </c>
      <c r="BZ49" s="284">
        <v>0</v>
      </c>
      <c r="CA49" s="284">
        <v>682</v>
      </c>
      <c r="CB49" s="284">
        <v>75.8</v>
      </c>
      <c r="CC49" s="284">
        <v>0</v>
      </c>
      <c r="CD49" s="284">
        <v>0</v>
      </c>
      <c r="CE49" s="284">
        <v>0</v>
      </c>
      <c r="CF49" s="284">
        <v>0</v>
      </c>
      <c r="CG49" s="284">
        <v>0</v>
      </c>
      <c r="CH49" s="284">
        <v>0</v>
      </c>
      <c r="CI49" s="284">
        <v>0</v>
      </c>
      <c r="CJ49" s="284">
        <v>0</v>
      </c>
      <c r="CK49" s="284">
        <v>626.79999999999995</v>
      </c>
      <c r="CL49" s="285">
        <v>1384.6</v>
      </c>
      <c r="CM49" s="291">
        <v>0</v>
      </c>
      <c r="CN49" s="284">
        <v>-315.24</v>
      </c>
      <c r="CO49" s="284">
        <v>0</v>
      </c>
      <c r="CP49" s="284">
        <v>0</v>
      </c>
      <c r="CQ49" s="284">
        <v>530</v>
      </c>
      <c r="CR49" s="284">
        <v>0</v>
      </c>
      <c r="CS49" s="284">
        <v>0</v>
      </c>
      <c r="CT49" s="284">
        <v>56</v>
      </c>
      <c r="CU49" s="284">
        <v>0</v>
      </c>
      <c r="CV49" s="284">
        <v>0</v>
      </c>
      <c r="CW49" s="284">
        <v>0</v>
      </c>
      <c r="CX49" s="284">
        <v>429</v>
      </c>
      <c r="CY49" s="284">
        <v>0</v>
      </c>
      <c r="CZ49" s="284">
        <v>1184.2</v>
      </c>
      <c r="DA49" s="285">
        <v>2199.1999999999998</v>
      </c>
      <c r="DB49" s="291">
        <v>0</v>
      </c>
      <c r="DC49" s="284">
        <v>-315.24</v>
      </c>
      <c r="DD49" s="284">
        <v>0</v>
      </c>
      <c r="DE49" s="284">
        <v>0</v>
      </c>
      <c r="DF49" s="284">
        <v>0</v>
      </c>
      <c r="DG49" s="284">
        <v>0</v>
      </c>
      <c r="DH49" s="284">
        <v>810.84</v>
      </c>
      <c r="DI49" s="284">
        <v>0</v>
      </c>
      <c r="DJ49" s="284">
        <v>317.39999999999998</v>
      </c>
      <c r="DK49" s="284">
        <v>0</v>
      </c>
      <c r="DL49" s="284">
        <v>0</v>
      </c>
      <c r="DM49" s="284">
        <v>0</v>
      </c>
      <c r="DN49" s="284">
        <v>0</v>
      </c>
      <c r="DO49" s="284">
        <v>0</v>
      </c>
      <c r="DP49" s="285">
        <v>1128.24</v>
      </c>
      <c r="DQ49" s="291">
        <v>0</v>
      </c>
      <c r="DR49" s="284">
        <v>-315.24</v>
      </c>
      <c r="DS49" s="284">
        <v>0</v>
      </c>
      <c r="DT49" s="284">
        <v>0</v>
      </c>
      <c r="DU49" s="284">
        <v>0</v>
      </c>
      <c r="DV49" s="284">
        <v>0</v>
      </c>
      <c r="DW49" s="284">
        <v>813</v>
      </c>
      <c r="DX49" s="284">
        <v>0</v>
      </c>
      <c r="DY49" s="284">
        <v>0</v>
      </c>
      <c r="DZ49" s="284">
        <v>0</v>
      </c>
      <c r="EA49" s="284">
        <v>0</v>
      </c>
      <c r="EB49" s="284">
        <v>0</v>
      </c>
      <c r="EC49" s="284">
        <v>0</v>
      </c>
      <c r="ED49" s="284">
        <v>0</v>
      </c>
      <c r="EE49" s="285">
        <v>813</v>
      </c>
      <c r="EF49" s="291">
        <v>0</v>
      </c>
      <c r="EG49" s="311">
        <v>-315.24</v>
      </c>
    </row>
    <row r="50" spans="2:137">
      <c r="B50" s="287" t="s">
        <v>0</v>
      </c>
      <c r="C50" s="284">
        <v>1979.83</v>
      </c>
      <c r="D50" s="284">
        <v>294.5</v>
      </c>
      <c r="E50" s="284">
        <v>227.64</v>
      </c>
      <c r="F50" s="284">
        <v>857.58999999999992</v>
      </c>
      <c r="G50" s="284">
        <v>694.17000000000007</v>
      </c>
      <c r="H50" s="284">
        <v>693.1</v>
      </c>
      <c r="I50" s="284">
        <v>2483.75</v>
      </c>
      <c r="J50" s="284">
        <v>250.53000000000003</v>
      </c>
      <c r="K50" s="284">
        <v>383.28</v>
      </c>
      <c r="L50" s="284">
        <v>335.43</v>
      </c>
      <c r="M50" s="284">
        <v>328.72</v>
      </c>
      <c r="N50" s="284">
        <v>329.81</v>
      </c>
      <c r="O50" s="285">
        <v>8858.3499999999985</v>
      </c>
      <c r="P50" s="291">
        <v>0</v>
      </c>
      <c r="Q50" s="284">
        <v>-7434.3766666666779</v>
      </c>
      <c r="R50" s="284">
        <v>498.67</v>
      </c>
      <c r="S50" s="284">
        <v>400.34000000000003</v>
      </c>
      <c r="T50" s="284">
        <v>1411.26</v>
      </c>
      <c r="U50" s="284">
        <v>485.27000000000004</v>
      </c>
      <c r="V50" s="284">
        <v>556.30000000000007</v>
      </c>
      <c r="W50" s="284">
        <v>493.62</v>
      </c>
      <c r="X50" s="284">
        <v>359.59999999999997</v>
      </c>
      <c r="Y50" s="284">
        <v>877.89</v>
      </c>
      <c r="Z50" s="284">
        <v>877.73</v>
      </c>
      <c r="AA50" s="284">
        <v>878.78</v>
      </c>
      <c r="AB50" s="284">
        <v>1345.56</v>
      </c>
      <c r="AC50" s="284">
        <v>878.6</v>
      </c>
      <c r="AD50" s="285">
        <v>9063.6200000000008</v>
      </c>
      <c r="AE50" s="291">
        <v>0</v>
      </c>
      <c r="AF50" s="284">
        <v>-7434.3766666666779</v>
      </c>
      <c r="AG50" s="284">
        <v>1792.5000000000002</v>
      </c>
      <c r="AH50" s="284">
        <v>734.01</v>
      </c>
      <c r="AI50" s="284">
        <v>616.59</v>
      </c>
      <c r="AJ50" s="284">
        <v>716.87</v>
      </c>
      <c r="AK50" s="284">
        <v>754.28000000000009</v>
      </c>
      <c r="AL50" s="284">
        <v>192.54</v>
      </c>
      <c r="AM50" s="284">
        <v>1474.47</v>
      </c>
      <c r="AN50" s="284">
        <v>769.12000000000012</v>
      </c>
      <c r="AO50" s="284">
        <v>10032.42</v>
      </c>
      <c r="AP50" s="284">
        <v>1077.21</v>
      </c>
      <c r="AQ50" s="284">
        <v>694.93000000000006</v>
      </c>
      <c r="AR50" s="284">
        <v>1203.0299999999997</v>
      </c>
      <c r="AS50" s="285">
        <v>20057.969999999998</v>
      </c>
      <c r="AT50" s="291">
        <v>0</v>
      </c>
      <c r="AU50" s="284">
        <v>-7434.3766666666779</v>
      </c>
      <c r="AV50" s="284">
        <v>1078.53</v>
      </c>
      <c r="AW50" s="284">
        <v>383.31</v>
      </c>
      <c r="AX50" s="284">
        <v>520.38</v>
      </c>
      <c r="AY50" s="284">
        <v>710.81999999999994</v>
      </c>
      <c r="AZ50" s="284">
        <v>565.35</v>
      </c>
      <c r="BA50" s="284">
        <v>698.3900000000001</v>
      </c>
      <c r="BB50" s="284">
        <v>390.18</v>
      </c>
      <c r="BC50" s="284">
        <v>1607.35</v>
      </c>
      <c r="BD50" s="284">
        <v>491.9</v>
      </c>
      <c r="BE50" s="284">
        <v>337.52000000000004</v>
      </c>
      <c r="BF50" s="284">
        <v>160.22999999999999</v>
      </c>
      <c r="BG50" s="284">
        <v>2811.1</v>
      </c>
      <c r="BH50" s="285">
        <v>9755.06</v>
      </c>
      <c r="BI50" s="291">
        <v>0</v>
      </c>
      <c r="BJ50" s="284">
        <v>-7434.3766666666779</v>
      </c>
      <c r="BK50" s="284">
        <v>27.36</v>
      </c>
      <c r="BL50" s="284">
        <v>23.97</v>
      </c>
      <c r="BM50" s="284">
        <v>86.72</v>
      </c>
      <c r="BN50" s="284">
        <v>24</v>
      </c>
      <c r="BO50" s="284">
        <v>23.87</v>
      </c>
      <c r="BP50" s="284">
        <v>22.44</v>
      </c>
      <c r="BQ50" s="284">
        <v>21.9</v>
      </c>
      <c r="BR50" s="284">
        <v>21</v>
      </c>
      <c r="BS50" s="284">
        <v>21.12</v>
      </c>
      <c r="BT50" s="284">
        <v>2882.55</v>
      </c>
      <c r="BU50" s="284">
        <v>0</v>
      </c>
      <c r="BV50" s="284">
        <v>44.260000000000005</v>
      </c>
      <c r="BW50" s="285">
        <v>3199.1900000000005</v>
      </c>
      <c r="BX50" s="291">
        <v>0</v>
      </c>
      <c r="BY50" s="284">
        <v>-7434.3766666666779</v>
      </c>
      <c r="BZ50" s="284">
        <v>21.16</v>
      </c>
      <c r="CA50" s="284">
        <v>4</v>
      </c>
      <c r="CB50" s="284">
        <v>128.79</v>
      </c>
      <c r="CC50" s="284">
        <v>24.51</v>
      </c>
      <c r="CD50" s="284">
        <v>2892.8399999999997</v>
      </c>
      <c r="CE50" s="284">
        <v>983.38</v>
      </c>
      <c r="CF50" s="284">
        <v>1511.96</v>
      </c>
      <c r="CG50" s="284">
        <v>3417.2</v>
      </c>
      <c r="CH50" s="284">
        <v>0</v>
      </c>
      <c r="CI50" s="284">
        <v>75.88</v>
      </c>
      <c r="CJ50" s="284">
        <v>30.52</v>
      </c>
      <c r="CK50" s="284">
        <v>37.520000000000003</v>
      </c>
      <c r="CL50" s="285">
        <v>9127.76</v>
      </c>
      <c r="CM50" s="291">
        <v>0</v>
      </c>
      <c r="CN50" s="284">
        <v>-7434.3766666666779</v>
      </c>
      <c r="CO50" s="284">
        <v>5957.64</v>
      </c>
      <c r="CP50" s="284">
        <v>36.68</v>
      </c>
      <c r="CQ50" s="284">
        <v>0</v>
      </c>
      <c r="CR50" s="284">
        <v>39.479999999999997</v>
      </c>
      <c r="CS50" s="284">
        <v>175.5</v>
      </c>
      <c r="CT50" s="284">
        <v>240</v>
      </c>
      <c r="CU50" s="284">
        <v>1850</v>
      </c>
      <c r="CV50" s="284">
        <v>1600.01</v>
      </c>
      <c r="CW50" s="284">
        <v>230.33</v>
      </c>
      <c r="CX50" s="284">
        <v>145</v>
      </c>
      <c r="CY50" s="284">
        <v>0</v>
      </c>
      <c r="CZ50" s="284">
        <v>0</v>
      </c>
      <c r="DA50" s="285">
        <v>10274.64</v>
      </c>
      <c r="DB50" s="291">
        <v>0</v>
      </c>
      <c r="DC50" s="284">
        <v>-7434.3766666666779</v>
      </c>
      <c r="DD50" s="284">
        <v>0</v>
      </c>
      <c r="DE50" s="284">
        <v>3000</v>
      </c>
      <c r="DF50" s="284">
        <v>4324.63</v>
      </c>
      <c r="DG50" s="284">
        <v>20824.599999999999</v>
      </c>
      <c r="DH50" s="284">
        <v>3100</v>
      </c>
      <c r="DI50" s="284">
        <v>437.14</v>
      </c>
      <c r="DJ50" s="284">
        <v>2457.5699999999997</v>
      </c>
      <c r="DK50" s="284">
        <v>0</v>
      </c>
      <c r="DL50" s="284">
        <v>822.60916666666662</v>
      </c>
      <c r="DM50" s="284">
        <v>822.60916666666662</v>
      </c>
      <c r="DN50" s="284">
        <v>822.60916666666662</v>
      </c>
      <c r="DO50" s="284">
        <v>822.60916666666662</v>
      </c>
      <c r="DP50" s="285">
        <v>37434.376666666678</v>
      </c>
      <c r="DQ50" s="291">
        <v>0</v>
      </c>
      <c r="DR50" s="284">
        <v>-7434.3766666666779</v>
      </c>
      <c r="DS50" s="284">
        <v>0</v>
      </c>
      <c r="DT50" s="284">
        <v>17200</v>
      </c>
      <c r="DU50" s="284">
        <v>1200</v>
      </c>
      <c r="DV50" s="284">
        <v>1200</v>
      </c>
      <c r="DW50" s="284">
        <v>8950</v>
      </c>
      <c r="DX50" s="284">
        <v>1200</v>
      </c>
      <c r="DY50" s="284">
        <v>0</v>
      </c>
      <c r="DZ50" s="284">
        <v>0</v>
      </c>
      <c r="EA50" s="284">
        <v>250</v>
      </c>
      <c r="EB50" s="284">
        <v>0</v>
      </c>
      <c r="EC50" s="284">
        <v>0</v>
      </c>
      <c r="ED50" s="284">
        <v>0</v>
      </c>
      <c r="EE50" s="285">
        <v>30000</v>
      </c>
      <c r="EF50" s="291">
        <v>0</v>
      </c>
      <c r="EG50" s="311">
        <v>-7434.3766666666779</v>
      </c>
    </row>
    <row r="51" spans="2:137">
      <c r="B51" s="288" t="s">
        <v>2</v>
      </c>
      <c r="C51" s="284">
        <v>1979.83</v>
      </c>
      <c r="D51" s="284">
        <v>294.5</v>
      </c>
      <c r="E51" s="284">
        <v>227.64</v>
      </c>
      <c r="F51" s="284">
        <v>857.58999999999992</v>
      </c>
      <c r="G51" s="284">
        <v>694.17000000000007</v>
      </c>
      <c r="H51" s="284">
        <v>693.1</v>
      </c>
      <c r="I51" s="284">
        <v>2483.75</v>
      </c>
      <c r="J51" s="284">
        <v>250.53000000000003</v>
      </c>
      <c r="K51" s="284">
        <v>383.28</v>
      </c>
      <c r="L51" s="284">
        <v>335.43</v>
      </c>
      <c r="M51" s="284">
        <v>328.72</v>
      </c>
      <c r="N51" s="284">
        <v>329.81</v>
      </c>
      <c r="O51" s="285">
        <v>8858.3499999999985</v>
      </c>
      <c r="P51" s="291">
        <v>0</v>
      </c>
      <c r="Q51" s="284">
        <v>-7434.3766666666779</v>
      </c>
      <c r="R51" s="284">
        <v>498.67</v>
      </c>
      <c r="S51" s="284">
        <v>400.34000000000003</v>
      </c>
      <c r="T51" s="284">
        <v>1411.26</v>
      </c>
      <c r="U51" s="284">
        <v>485.27000000000004</v>
      </c>
      <c r="V51" s="284">
        <v>556.30000000000007</v>
      </c>
      <c r="W51" s="284">
        <v>493.62</v>
      </c>
      <c r="X51" s="284">
        <v>359.59999999999997</v>
      </c>
      <c r="Y51" s="284">
        <v>877.89</v>
      </c>
      <c r="Z51" s="284">
        <v>877.73</v>
      </c>
      <c r="AA51" s="284">
        <v>878.78</v>
      </c>
      <c r="AB51" s="284">
        <v>1345.56</v>
      </c>
      <c r="AC51" s="284">
        <v>878.6</v>
      </c>
      <c r="AD51" s="285">
        <v>9063.6200000000008</v>
      </c>
      <c r="AE51" s="291">
        <v>0</v>
      </c>
      <c r="AF51" s="284">
        <v>-7434.3766666666779</v>
      </c>
      <c r="AG51" s="284">
        <v>1792.5000000000002</v>
      </c>
      <c r="AH51" s="284">
        <v>734.01</v>
      </c>
      <c r="AI51" s="284">
        <v>616.59</v>
      </c>
      <c r="AJ51" s="284">
        <v>716.87</v>
      </c>
      <c r="AK51" s="284">
        <v>754.28000000000009</v>
      </c>
      <c r="AL51" s="284">
        <v>192.54</v>
      </c>
      <c r="AM51" s="284">
        <v>1474.47</v>
      </c>
      <c r="AN51" s="284">
        <v>769.12000000000012</v>
      </c>
      <c r="AO51" s="284">
        <v>10032.42</v>
      </c>
      <c r="AP51" s="284">
        <v>1077.21</v>
      </c>
      <c r="AQ51" s="284">
        <v>694.93000000000006</v>
      </c>
      <c r="AR51" s="284">
        <v>1203.0299999999997</v>
      </c>
      <c r="AS51" s="285">
        <v>20057.969999999998</v>
      </c>
      <c r="AT51" s="291">
        <v>0</v>
      </c>
      <c r="AU51" s="284">
        <v>-7434.3766666666779</v>
      </c>
      <c r="AV51" s="284">
        <v>1078.53</v>
      </c>
      <c r="AW51" s="284">
        <v>383.31</v>
      </c>
      <c r="AX51" s="284">
        <v>520.38</v>
      </c>
      <c r="AY51" s="284">
        <v>710.81999999999994</v>
      </c>
      <c r="AZ51" s="284">
        <v>565.35</v>
      </c>
      <c r="BA51" s="284">
        <v>698.3900000000001</v>
      </c>
      <c r="BB51" s="284">
        <v>390.18</v>
      </c>
      <c r="BC51" s="284">
        <v>1607.35</v>
      </c>
      <c r="BD51" s="284">
        <v>491.9</v>
      </c>
      <c r="BE51" s="284">
        <v>337.52000000000004</v>
      </c>
      <c r="BF51" s="284">
        <v>160.22999999999999</v>
      </c>
      <c r="BG51" s="284">
        <v>2811.1</v>
      </c>
      <c r="BH51" s="285">
        <v>9755.06</v>
      </c>
      <c r="BI51" s="291">
        <v>0</v>
      </c>
      <c r="BJ51" s="284">
        <v>-7434.3766666666779</v>
      </c>
      <c r="BK51" s="284">
        <v>27.36</v>
      </c>
      <c r="BL51" s="284">
        <v>23.97</v>
      </c>
      <c r="BM51" s="284">
        <v>86.72</v>
      </c>
      <c r="BN51" s="284">
        <v>24</v>
      </c>
      <c r="BO51" s="284">
        <v>23.87</v>
      </c>
      <c r="BP51" s="284">
        <v>22.44</v>
      </c>
      <c r="BQ51" s="284">
        <v>21.9</v>
      </c>
      <c r="BR51" s="284">
        <v>21</v>
      </c>
      <c r="BS51" s="284">
        <v>21.12</v>
      </c>
      <c r="BT51" s="284">
        <v>2882.55</v>
      </c>
      <c r="BU51" s="284">
        <v>0</v>
      </c>
      <c r="BV51" s="284">
        <v>44.260000000000005</v>
      </c>
      <c r="BW51" s="285">
        <v>3199.1900000000005</v>
      </c>
      <c r="BX51" s="291">
        <v>0</v>
      </c>
      <c r="BY51" s="284">
        <v>-7434.3766666666779</v>
      </c>
      <c r="BZ51" s="284">
        <v>21.16</v>
      </c>
      <c r="CA51" s="284">
        <v>4</v>
      </c>
      <c r="CB51" s="284">
        <v>128.79</v>
      </c>
      <c r="CC51" s="284">
        <v>24.51</v>
      </c>
      <c r="CD51" s="284">
        <v>2892.8399999999997</v>
      </c>
      <c r="CE51" s="284">
        <v>983.38</v>
      </c>
      <c r="CF51" s="284">
        <v>1511.96</v>
      </c>
      <c r="CG51" s="284">
        <v>3417.2</v>
      </c>
      <c r="CH51" s="284">
        <v>0</v>
      </c>
      <c r="CI51" s="284">
        <v>75.88</v>
      </c>
      <c r="CJ51" s="284">
        <v>30.52</v>
      </c>
      <c r="CK51" s="284">
        <v>37.520000000000003</v>
      </c>
      <c r="CL51" s="285">
        <v>9127.76</v>
      </c>
      <c r="CM51" s="291">
        <v>0</v>
      </c>
      <c r="CN51" s="284">
        <v>-7434.3766666666779</v>
      </c>
      <c r="CO51" s="284">
        <v>5957.64</v>
      </c>
      <c r="CP51" s="284">
        <v>36.68</v>
      </c>
      <c r="CQ51" s="284">
        <v>0</v>
      </c>
      <c r="CR51" s="284">
        <v>39.479999999999997</v>
      </c>
      <c r="CS51" s="284">
        <v>175.5</v>
      </c>
      <c r="CT51" s="284">
        <v>240</v>
      </c>
      <c r="CU51" s="284">
        <v>1850</v>
      </c>
      <c r="CV51" s="284">
        <v>1600.01</v>
      </c>
      <c r="CW51" s="284">
        <v>230.33</v>
      </c>
      <c r="CX51" s="284">
        <v>145</v>
      </c>
      <c r="CY51" s="284">
        <v>0</v>
      </c>
      <c r="CZ51" s="284">
        <v>0</v>
      </c>
      <c r="DA51" s="285">
        <v>10274.64</v>
      </c>
      <c r="DB51" s="291">
        <v>0</v>
      </c>
      <c r="DC51" s="284">
        <v>-7434.3766666666779</v>
      </c>
      <c r="DD51" s="284">
        <v>0</v>
      </c>
      <c r="DE51" s="284">
        <v>3000</v>
      </c>
      <c r="DF51" s="284">
        <v>4324.63</v>
      </c>
      <c r="DG51" s="284">
        <v>20824.599999999999</v>
      </c>
      <c r="DH51" s="284">
        <v>3100</v>
      </c>
      <c r="DI51" s="284">
        <v>437.14</v>
      </c>
      <c r="DJ51" s="284">
        <v>2457.5699999999997</v>
      </c>
      <c r="DK51" s="284">
        <v>0</v>
      </c>
      <c r="DL51" s="284">
        <v>822.60916666666662</v>
      </c>
      <c r="DM51" s="284">
        <v>822.60916666666662</v>
      </c>
      <c r="DN51" s="284">
        <v>822.60916666666662</v>
      </c>
      <c r="DO51" s="284">
        <v>822.60916666666662</v>
      </c>
      <c r="DP51" s="285">
        <v>37434.376666666678</v>
      </c>
      <c r="DQ51" s="291">
        <v>0</v>
      </c>
      <c r="DR51" s="284">
        <v>-7434.3766666666779</v>
      </c>
      <c r="DS51" s="284">
        <v>0</v>
      </c>
      <c r="DT51" s="284">
        <v>17200</v>
      </c>
      <c r="DU51" s="284">
        <v>1200</v>
      </c>
      <c r="DV51" s="284">
        <v>1200</v>
      </c>
      <c r="DW51" s="284">
        <v>8950</v>
      </c>
      <c r="DX51" s="284">
        <v>1200</v>
      </c>
      <c r="DY51" s="284">
        <v>0</v>
      </c>
      <c r="DZ51" s="284">
        <v>0</v>
      </c>
      <c r="EA51" s="284">
        <v>250</v>
      </c>
      <c r="EB51" s="284">
        <v>0</v>
      </c>
      <c r="EC51" s="284">
        <v>0</v>
      </c>
      <c r="ED51" s="284">
        <v>0</v>
      </c>
      <c r="EE51" s="285">
        <v>30000</v>
      </c>
      <c r="EF51" s="291">
        <v>0</v>
      </c>
      <c r="EG51" s="311">
        <v>-7434.3766666666779</v>
      </c>
    </row>
    <row r="52" spans="2:137">
      <c r="B52" s="287" t="s">
        <v>107</v>
      </c>
      <c r="C52" s="284">
        <v>0</v>
      </c>
      <c r="D52" s="284">
        <v>0</v>
      </c>
      <c r="E52" s="284">
        <v>0</v>
      </c>
      <c r="F52" s="284">
        <v>0</v>
      </c>
      <c r="G52" s="284">
        <v>0</v>
      </c>
      <c r="H52" s="284">
        <v>0</v>
      </c>
      <c r="I52" s="284">
        <v>0</v>
      </c>
      <c r="J52" s="284">
        <v>0</v>
      </c>
      <c r="K52" s="284">
        <v>0</v>
      </c>
      <c r="L52" s="284">
        <v>0</v>
      </c>
      <c r="M52" s="284">
        <v>0</v>
      </c>
      <c r="N52" s="284">
        <v>0</v>
      </c>
      <c r="O52" s="285">
        <v>0</v>
      </c>
      <c r="P52" s="291">
        <v>0</v>
      </c>
      <c r="Q52" s="284">
        <v>0</v>
      </c>
      <c r="R52" s="284">
        <v>0</v>
      </c>
      <c r="S52" s="284">
        <v>0</v>
      </c>
      <c r="T52" s="284">
        <v>0</v>
      </c>
      <c r="U52" s="284">
        <v>0</v>
      </c>
      <c r="V52" s="284">
        <v>0</v>
      </c>
      <c r="W52" s="284">
        <v>0</v>
      </c>
      <c r="X52" s="284">
        <v>0</v>
      </c>
      <c r="Y52" s="284">
        <v>0</v>
      </c>
      <c r="Z52" s="284">
        <v>0</v>
      </c>
      <c r="AA52" s="284">
        <v>0</v>
      </c>
      <c r="AB52" s="284">
        <v>0</v>
      </c>
      <c r="AC52" s="284">
        <v>0</v>
      </c>
      <c r="AD52" s="285">
        <v>0</v>
      </c>
      <c r="AE52" s="291">
        <v>0</v>
      </c>
      <c r="AF52" s="284">
        <v>0</v>
      </c>
      <c r="AG52" s="284">
        <v>0</v>
      </c>
      <c r="AH52" s="284">
        <v>0</v>
      </c>
      <c r="AI52" s="284">
        <v>0</v>
      </c>
      <c r="AJ52" s="284">
        <v>0</v>
      </c>
      <c r="AK52" s="284">
        <v>0</v>
      </c>
      <c r="AL52" s="284">
        <v>0</v>
      </c>
      <c r="AM52" s="284">
        <v>0</v>
      </c>
      <c r="AN52" s="284">
        <v>0</v>
      </c>
      <c r="AO52" s="284">
        <v>0</v>
      </c>
      <c r="AP52" s="284">
        <v>0</v>
      </c>
      <c r="AQ52" s="284">
        <v>0</v>
      </c>
      <c r="AR52" s="284">
        <v>0</v>
      </c>
      <c r="AS52" s="285">
        <v>0</v>
      </c>
      <c r="AT52" s="291">
        <v>0</v>
      </c>
      <c r="AU52" s="284">
        <v>0</v>
      </c>
      <c r="AV52" s="284">
        <v>0</v>
      </c>
      <c r="AW52" s="284">
        <v>0</v>
      </c>
      <c r="AX52" s="284">
        <v>0</v>
      </c>
      <c r="AY52" s="284">
        <v>0</v>
      </c>
      <c r="AZ52" s="284">
        <v>0</v>
      </c>
      <c r="BA52" s="284">
        <v>0</v>
      </c>
      <c r="BB52" s="284">
        <v>0</v>
      </c>
      <c r="BC52" s="284">
        <v>0</v>
      </c>
      <c r="BD52" s="284">
        <v>0</v>
      </c>
      <c r="BE52" s="284">
        <v>0</v>
      </c>
      <c r="BF52" s="284">
        <v>0</v>
      </c>
      <c r="BG52" s="284">
        <v>0</v>
      </c>
      <c r="BH52" s="285">
        <v>0</v>
      </c>
      <c r="BI52" s="291">
        <v>0</v>
      </c>
      <c r="BJ52" s="284">
        <v>0</v>
      </c>
      <c r="BK52" s="284">
        <v>0</v>
      </c>
      <c r="BL52" s="284">
        <v>0</v>
      </c>
      <c r="BM52" s="284">
        <v>0</v>
      </c>
      <c r="BN52" s="284">
        <v>0</v>
      </c>
      <c r="BO52" s="284">
        <v>0</v>
      </c>
      <c r="BP52" s="284">
        <v>0</v>
      </c>
      <c r="BQ52" s="284">
        <v>0</v>
      </c>
      <c r="BR52" s="284">
        <v>0</v>
      </c>
      <c r="BS52" s="284">
        <v>0</v>
      </c>
      <c r="BT52" s="284">
        <v>0</v>
      </c>
      <c r="BU52" s="284">
        <v>0</v>
      </c>
      <c r="BV52" s="284">
        <v>0</v>
      </c>
      <c r="BW52" s="285">
        <v>0</v>
      </c>
      <c r="BX52" s="291">
        <v>0</v>
      </c>
      <c r="BY52" s="284">
        <v>0</v>
      </c>
      <c r="BZ52" s="284">
        <v>0</v>
      </c>
      <c r="CA52" s="284">
        <v>0</v>
      </c>
      <c r="CB52" s="284">
        <v>0</v>
      </c>
      <c r="CC52" s="284">
        <v>0</v>
      </c>
      <c r="CD52" s="284">
        <v>0</v>
      </c>
      <c r="CE52" s="284">
        <v>0</v>
      </c>
      <c r="CF52" s="284">
        <v>0</v>
      </c>
      <c r="CG52" s="284">
        <v>0</v>
      </c>
      <c r="CH52" s="284">
        <v>0</v>
      </c>
      <c r="CI52" s="284">
        <v>0</v>
      </c>
      <c r="CJ52" s="284">
        <v>0</v>
      </c>
      <c r="CK52" s="284">
        <v>0</v>
      </c>
      <c r="CL52" s="285">
        <v>0</v>
      </c>
      <c r="CM52" s="291">
        <v>0</v>
      </c>
      <c r="CN52" s="284">
        <v>0</v>
      </c>
      <c r="CO52" s="284">
        <v>0</v>
      </c>
      <c r="CP52" s="284">
        <v>0</v>
      </c>
      <c r="CQ52" s="284">
        <v>0</v>
      </c>
      <c r="CR52" s="284">
        <v>0</v>
      </c>
      <c r="CS52" s="284">
        <v>0</v>
      </c>
      <c r="CT52" s="284">
        <v>0</v>
      </c>
      <c r="CU52" s="284">
        <v>0</v>
      </c>
      <c r="CV52" s="284">
        <v>0</v>
      </c>
      <c r="CW52" s="284">
        <v>0</v>
      </c>
      <c r="CX52" s="284">
        <v>0</v>
      </c>
      <c r="CY52" s="284">
        <v>0</v>
      </c>
      <c r="CZ52" s="284">
        <v>0</v>
      </c>
      <c r="DA52" s="285">
        <v>0</v>
      </c>
      <c r="DB52" s="291">
        <v>0</v>
      </c>
      <c r="DC52" s="284">
        <v>0</v>
      </c>
      <c r="DD52" s="284">
        <v>0</v>
      </c>
      <c r="DE52" s="284">
        <v>0</v>
      </c>
      <c r="DF52" s="284">
        <v>0</v>
      </c>
      <c r="DG52" s="284">
        <v>0</v>
      </c>
      <c r="DH52" s="284">
        <v>0</v>
      </c>
      <c r="DI52" s="284">
        <v>0</v>
      </c>
      <c r="DJ52" s="284">
        <v>0</v>
      </c>
      <c r="DK52" s="284">
        <v>0</v>
      </c>
      <c r="DL52" s="284">
        <v>0</v>
      </c>
      <c r="DM52" s="284">
        <v>0</v>
      </c>
      <c r="DN52" s="284">
        <v>0</v>
      </c>
      <c r="DO52" s="284">
        <v>0</v>
      </c>
      <c r="DP52" s="285">
        <v>0</v>
      </c>
      <c r="DQ52" s="291">
        <v>0</v>
      </c>
      <c r="DR52" s="284">
        <v>0</v>
      </c>
      <c r="DS52" s="284">
        <v>899.80486626984134</v>
      </c>
      <c r="DT52" s="284">
        <v>899.80486626984134</v>
      </c>
      <c r="DU52" s="284">
        <v>899.80486626984134</v>
      </c>
      <c r="DV52" s="284">
        <v>899.80486626984134</v>
      </c>
      <c r="DW52" s="284">
        <v>899.80486626984134</v>
      </c>
      <c r="DX52" s="284">
        <v>899.80486626984134</v>
      </c>
      <c r="DY52" s="284">
        <v>899.80486626984134</v>
      </c>
      <c r="DZ52" s="284">
        <v>899.80486626984134</v>
      </c>
      <c r="EA52" s="284">
        <v>899.80486626984134</v>
      </c>
      <c r="EB52" s="284">
        <v>899.80486626984134</v>
      </c>
      <c r="EC52" s="284">
        <v>899.80486626984134</v>
      </c>
      <c r="ED52" s="284">
        <v>899.80486626984134</v>
      </c>
      <c r="EE52" s="285">
        <v>10797.658395238095</v>
      </c>
      <c r="EF52" s="291">
        <v>0</v>
      </c>
      <c r="EG52" s="311">
        <v>10797.658395238095</v>
      </c>
    </row>
    <row r="53" spans="2:137">
      <c r="B53" s="288" t="s">
        <v>144</v>
      </c>
      <c r="C53" s="284">
        <v>0</v>
      </c>
      <c r="D53" s="284">
        <v>0</v>
      </c>
      <c r="E53" s="284">
        <v>0</v>
      </c>
      <c r="F53" s="284">
        <v>0</v>
      </c>
      <c r="G53" s="284">
        <v>0</v>
      </c>
      <c r="H53" s="284">
        <v>0</v>
      </c>
      <c r="I53" s="284">
        <v>0</v>
      </c>
      <c r="J53" s="284">
        <v>0</v>
      </c>
      <c r="K53" s="284">
        <v>0</v>
      </c>
      <c r="L53" s="284">
        <v>0</v>
      </c>
      <c r="M53" s="284">
        <v>0</v>
      </c>
      <c r="N53" s="284">
        <v>0</v>
      </c>
      <c r="O53" s="285">
        <v>0</v>
      </c>
      <c r="P53" s="291">
        <v>0</v>
      </c>
      <c r="Q53" s="284">
        <v>0</v>
      </c>
      <c r="R53" s="284">
        <v>0</v>
      </c>
      <c r="S53" s="284">
        <v>0</v>
      </c>
      <c r="T53" s="284">
        <v>0</v>
      </c>
      <c r="U53" s="284">
        <v>0</v>
      </c>
      <c r="V53" s="284">
        <v>0</v>
      </c>
      <c r="W53" s="284">
        <v>0</v>
      </c>
      <c r="X53" s="284">
        <v>0</v>
      </c>
      <c r="Y53" s="284">
        <v>0</v>
      </c>
      <c r="Z53" s="284">
        <v>0</v>
      </c>
      <c r="AA53" s="284">
        <v>0</v>
      </c>
      <c r="AB53" s="284">
        <v>0</v>
      </c>
      <c r="AC53" s="284">
        <v>0</v>
      </c>
      <c r="AD53" s="285">
        <v>0</v>
      </c>
      <c r="AE53" s="291">
        <v>0</v>
      </c>
      <c r="AF53" s="284">
        <v>0</v>
      </c>
      <c r="AG53" s="284">
        <v>0</v>
      </c>
      <c r="AH53" s="284">
        <v>0</v>
      </c>
      <c r="AI53" s="284">
        <v>0</v>
      </c>
      <c r="AJ53" s="284">
        <v>0</v>
      </c>
      <c r="AK53" s="284">
        <v>0</v>
      </c>
      <c r="AL53" s="284">
        <v>0</v>
      </c>
      <c r="AM53" s="284">
        <v>0</v>
      </c>
      <c r="AN53" s="284">
        <v>0</v>
      </c>
      <c r="AO53" s="284">
        <v>0</v>
      </c>
      <c r="AP53" s="284">
        <v>0</v>
      </c>
      <c r="AQ53" s="284">
        <v>0</v>
      </c>
      <c r="AR53" s="284">
        <v>0</v>
      </c>
      <c r="AS53" s="285">
        <v>0</v>
      </c>
      <c r="AT53" s="291">
        <v>0</v>
      </c>
      <c r="AU53" s="284">
        <v>0</v>
      </c>
      <c r="AV53" s="284">
        <v>0</v>
      </c>
      <c r="AW53" s="284">
        <v>0</v>
      </c>
      <c r="AX53" s="284">
        <v>0</v>
      </c>
      <c r="AY53" s="284">
        <v>0</v>
      </c>
      <c r="AZ53" s="284">
        <v>0</v>
      </c>
      <c r="BA53" s="284">
        <v>0</v>
      </c>
      <c r="BB53" s="284">
        <v>0</v>
      </c>
      <c r="BC53" s="284">
        <v>0</v>
      </c>
      <c r="BD53" s="284">
        <v>0</v>
      </c>
      <c r="BE53" s="284">
        <v>0</v>
      </c>
      <c r="BF53" s="284">
        <v>0</v>
      </c>
      <c r="BG53" s="284">
        <v>0</v>
      </c>
      <c r="BH53" s="285">
        <v>0</v>
      </c>
      <c r="BI53" s="291">
        <v>0</v>
      </c>
      <c r="BJ53" s="284">
        <v>0</v>
      </c>
      <c r="BK53" s="284">
        <v>0</v>
      </c>
      <c r="BL53" s="284">
        <v>0</v>
      </c>
      <c r="BM53" s="284">
        <v>0</v>
      </c>
      <c r="BN53" s="284">
        <v>0</v>
      </c>
      <c r="BO53" s="284">
        <v>0</v>
      </c>
      <c r="BP53" s="284">
        <v>0</v>
      </c>
      <c r="BQ53" s="284">
        <v>0</v>
      </c>
      <c r="BR53" s="284">
        <v>0</v>
      </c>
      <c r="BS53" s="284">
        <v>0</v>
      </c>
      <c r="BT53" s="284">
        <v>0</v>
      </c>
      <c r="BU53" s="284">
        <v>0</v>
      </c>
      <c r="BV53" s="284">
        <v>0</v>
      </c>
      <c r="BW53" s="285">
        <v>0</v>
      </c>
      <c r="BX53" s="291">
        <v>0</v>
      </c>
      <c r="BY53" s="284">
        <v>0</v>
      </c>
      <c r="BZ53" s="284">
        <v>0</v>
      </c>
      <c r="CA53" s="284">
        <v>0</v>
      </c>
      <c r="CB53" s="284">
        <v>0</v>
      </c>
      <c r="CC53" s="284">
        <v>0</v>
      </c>
      <c r="CD53" s="284">
        <v>0</v>
      </c>
      <c r="CE53" s="284">
        <v>0</v>
      </c>
      <c r="CF53" s="284">
        <v>0</v>
      </c>
      <c r="CG53" s="284">
        <v>0</v>
      </c>
      <c r="CH53" s="284">
        <v>0</v>
      </c>
      <c r="CI53" s="284">
        <v>0</v>
      </c>
      <c r="CJ53" s="284">
        <v>0</v>
      </c>
      <c r="CK53" s="284">
        <v>0</v>
      </c>
      <c r="CL53" s="285">
        <v>0</v>
      </c>
      <c r="CM53" s="291">
        <v>0</v>
      </c>
      <c r="CN53" s="284">
        <v>0</v>
      </c>
      <c r="CO53" s="284">
        <v>0</v>
      </c>
      <c r="CP53" s="284">
        <v>0</v>
      </c>
      <c r="CQ53" s="284">
        <v>0</v>
      </c>
      <c r="CR53" s="284">
        <v>0</v>
      </c>
      <c r="CS53" s="284">
        <v>0</v>
      </c>
      <c r="CT53" s="284">
        <v>0</v>
      </c>
      <c r="CU53" s="284">
        <v>0</v>
      </c>
      <c r="CV53" s="284">
        <v>0</v>
      </c>
      <c r="CW53" s="284">
        <v>0</v>
      </c>
      <c r="CX53" s="284">
        <v>0</v>
      </c>
      <c r="CY53" s="284">
        <v>0</v>
      </c>
      <c r="CZ53" s="284">
        <v>0</v>
      </c>
      <c r="DA53" s="285">
        <v>0</v>
      </c>
      <c r="DB53" s="291">
        <v>0</v>
      </c>
      <c r="DC53" s="284">
        <v>0</v>
      </c>
      <c r="DD53" s="284">
        <v>0</v>
      </c>
      <c r="DE53" s="284">
        <v>0</v>
      </c>
      <c r="DF53" s="284">
        <v>0</v>
      </c>
      <c r="DG53" s="284">
        <v>0</v>
      </c>
      <c r="DH53" s="284">
        <v>0</v>
      </c>
      <c r="DI53" s="284">
        <v>0</v>
      </c>
      <c r="DJ53" s="284">
        <v>0</v>
      </c>
      <c r="DK53" s="284">
        <v>0</v>
      </c>
      <c r="DL53" s="284">
        <v>0</v>
      </c>
      <c r="DM53" s="284">
        <v>0</v>
      </c>
      <c r="DN53" s="284">
        <v>0</v>
      </c>
      <c r="DO53" s="284">
        <v>0</v>
      </c>
      <c r="DP53" s="285">
        <v>0</v>
      </c>
      <c r="DQ53" s="291">
        <v>0</v>
      </c>
      <c r="DR53" s="284">
        <v>0</v>
      </c>
      <c r="DS53" s="284">
        <v>481.6</v>
      </c>
      <c r="DT53" s="284">
        <v>481.6</v>
      </c>
      <c r="DU53" s="284">
        <v>481.6</v>
      </c>
      <c r="DV53" s="284">
        <v>481.6</v>
      </c>
      <c r="DW53" s="284">
        <v>481.6</v>
      </c>
      <c r="DX53" s="284">
        <v>481.6</v>
      </c>
      <c r="DY53" s="284">
        <v>481.6</v>
      </c>
      <c r="DZ53" s="284">
        <v>481.6</v>
      </c>
      <c r="EA53" s="284">
        <v>481.6</v>
      </c>
      <c r="EB53" s="284">
        <v>481.6</v>
      </c>
      <c r="EC53" s="284">
        <v>481.6</v>
      </c>
      <c r="ED53" s="284">
        <v>481.6</v>
      </c>
      <c r="EE53" s="285">
        <v>5779.2000000000007</v>
      </c>
      <c r="EF53" s="291">
        <v>0</v>
      </c>
      <c r="EG53" s="311">
        <v>5779.2000000000007</v>
      </c>
    </row>
    <row r="54" spans="2:137">
      <c r="B54" s="288" t="s">
        <v>108</v>
      </c>
      <c r="C54" s="284">
        <v>0</v>
      </c>
      <c r="D54" s="284">
        <v>0</v>
      </c>
      <c r="E54" s="284">
        <v>0</v>
      </c>
      <c r="F54" s="284">
        <v>0</v>
      </c>
      <c r="G54" s="284">
        <v>0</v>
      </c>
      <c r="H54" s="284">
        <v>0</v>
      </c>
      <c r="I54" s="284">
        <v>0</v>
      </c>
      <c r="J54" s="284">
        <v>0</v>
      </c>
      <c r="K54" s="284">
        <v>0</v>
      </c>
      <c r="L54" s="284">
        <v>0</v>
      </c>
      <c r="M54" s="284">
        <v>0</v>
      </c>
      <c r="N54" s="284">
        <v>0</v>
      </c>
      <c r="O54" s="285">
        <v>0</v>
      </c>
      <c r="P54" s="291">
        <v>0</v>
      </c>
      <c r="Q54" s="284">
        <v>0</v>
      </c>
      <c r="R54" s="284">
        <v>0</v>
      </c>
      <c r="S54" s="284">
        <v>0</v>
      </c>
      <c r="T54" s="284">
        <v>0</v>
      </c>
      <c r="U54" s="284">
        <v>0</v>
      </c>
      <c r="V54" s="284">
        <v>0</v>
      </c>
      <c r="W54" s="284">
        <v>0</v>
      </c>
      <c r="X54" s="284">
        <v>0</v>
      </c>
      <c r="Y54" s="284">
        <v>0</v>
      </c>
      <c r="Z54" s="284">
        <v>0</v>
      </c>
      <c r="AA54" s="284">
        <v>0</v>
      </c>
      <c r="AB54" s="284">
        <v>0</v>
      </c>
      <c r="AC54" s="284">
        <v>0</v>
      </c>
      <c r="AD54" s="285">
        <v>0</v>
      </c>
      <c r="AE54" s="291">
        <v>0</v>
      </c>
      <c r="AF54" s="284">
        <v>0</v>
      </c>
      <c r="AG54" s="284">
        <v>0</v>
      </c>
      <c r="AH54" s="284">
        <v>0</v>
      </c>
      <c r="AI54" s="284">
        <v>0</v>
      </c>
      <c r="AJ54" s="284">
        <v>0</v>
      </c>
      <c r="AK54" s="284">
        <v>0</v>
      </c>
      <c r="AL54" s="284">
        <v>0</v>
      </c>
      <c r="AM54" s="284">
        <v>0</v>
      </c>
      <c r="AN54" s="284">
        <v>0</v>
      </c>
      <c r="AO54" s="284">
        <v>0</v>
      </c>
      <c r="AP54" s="284">
        <v>0</v>
      </c>
      <c r="AQ54" s="284">
        <v>0</v>
      </c>
      <c r="AR54" s="284">
        <v>0</v>
      </c>
      <c r="AS54" s="285">
        <v>0</v>
      </c>
      <c r="AT54" s="291">
        <v>0</v>
      </c>
      <c r="AU54" s="284">
        <v>0</v>
      </c>
      <c r="AV54" s="284">
        <v>0</v>
      </c>
      <c r="AW54" s="284">
        <v>0</v>
      </c>
      <c r="AX54" s="284">
        <v>0</v>
      </c>
      <c r="AY54" s="284">
        <v>0</v>
      </c>
      <c r="AZ54" s="284">
        <v>0</v>
      </c>
      <c r="BA54" s="284">
        <v>0</v>
      </c>
      <c r="BB54" s="284">
        <v>0</v>
      </c>
      <c r="BC54" s="284">
        <v>0</v>
      </c>
      <c r="BD54" s="284">
        <v>0</v>
      </c>
      <c r="BE54" s="284">
        <v>0</v>
      </c>
      <c r="BF54" s="284">
        <v>0</v>
      </c>
      <c r="BG54" s="284">
        <v>0</v>
      </c>
      <c r="BH54" s="285">
        <v>0</v>
      </c>
      <c r="BI54" s="291">
        <v>0</v>
      </c>
      <c r="BJ54" s="284">
        <v>0</v>
      </c>
      <c r="BK54" s="284">
        <v>0</v>
      </c>
      <c r="BL54" s="284">
        <v>0</v>
      </c>
      <c r="BM54" s="284">
        <v>0</v>
      </c>
      <c r="BN54" s="284">
        <v>0</v>
      </c>
      <c r="BO54" s="284">
        <v>0</v>
      </c>
      <c r="BP54" s="284">
        <v>0</v>
      </c>
      <c r="BQ54" s="284">
        <v>0</v>
      </c>
      <c r="BR54" s="284">
        <v>0</v>
      </c>
      <c r="BS54" s="284">
        <v>0</v>
      </c>
      <c r="BT54" s="284">
        <v>0</v>
      </c>
      <c r="BU54" s="284">
        <v>0</v>
      </c>
      <c r="BV54" s="284">
        <v>0</v>
      </c>
      <c r="BW54" s="285">
        <v>0</v>
      </c>
      <c r="BX54" s="291">
        <v>0</v>
      </c>
      <c r="BY54" s="284">
        <v>0</v>
      </c>
      <c r="BZ54" s="284">
        <v>0</v>
      </c>
      <c r="CA54" s="284">
        <v>0</v>
      </c>
      <c r="CB54" s="284">
        <v>0</v>
      </c>
      <c r="CC54" s="284">
        <v>0</v>
      </c>
      <c r="CD54" s="284">
        <v>0</v>
      </c>
      <c r="CE54" s="284">
        <v>0</v>
      </c>
      <c r="CF54" s="284">
        <v>0</v>
      </c>
      <c r="CG54" s="284">
        <v>0</v>
      </c>
      <c r="CH54" s="284">
        <v>0</v>
      </c>
      <c r="CI54" s="284">
        <v>0</v>
      </c>
      <c r="CJ54" s="284">
        <v>0</v>
      </c>
      <c r="CK54" s="284">
        <v>0</v>
      </c>
      <c r="CL54" s="285">
        <v>0</v>
      </c>
      <c r="CM54" s="291">
        <v>0</v>
      </c>
      <c r="CN54" s="284">
        <v>0</v>
      </c>
      <c r="CO54" s="284">
        <v>0</v>
      </c>
      <c r="CP54" s="284">
        <v>0</v>
      </c>
      <c r="CQ54" s="284">
        <v>0</v>
      </c>
      <c r="CR54" s="284">
        <v>0</v>
      </c>
      <c r="CS54" s="284">
        <v>0</v>
      </c>
      <c r="CT54" s="284">
        <v>0</v>
      </c>
      <c r="CU54" s="284">
        <v>0</v>
      </c>
      <c r="CV54" s="284">
        <v>0</v>
      </c>
      <c r="CW54" s="284">
        <v>0</v>
      </c>
      <c r="CX54" s="284">
        <v>0</v>
      </c>
      <c r="CY54" s="284">
        <v>0</v>
      </c>
      <c r="CZ54" s="284">
        <v>0</v>
      </c>
      <c r="DA54" s="285">
        <v>0</v>
      </c>
      <c r="DB54" s="291">
        <v>0</v>
      </c>
      <c r="DC54" s="284">
        <v>0</v>
      </c>
      <c r="DD54" s="284">
        <v>0</v>
      </c>
      <c r="DE54" s="284">
        <v>0</v>
      </c>
      <c r="DF54" s="284">
        <v>0</v>
      </c>
      <c r="DG54" s="284">
        <v>0</v>
      </c>
      <c r="DH54" s="284">
        <v>0</v>
      </c>
      <c r="DI54" s="284">
        <v>0</v>
      </c>
      <c r="DJ54" s="284">
        <v>0</v>
      </c>
      <c r="DK54" s="284">
        <v>0</v>
      </c>
      <c r="DL54" s="284">
        <v>0</v>
      </c>
      <c r="DM54" s="284">
        <v>0</v>
      </c>
      <c r="DN54" s="284">
        <v>0</v>
      </c>
      <c r="DO54" s="284">
        <v>0</v>
      </c>
      <c r="DP54" s="285">
        <v>0</v>
      </c>
      <c r="DQ54" s="291">
        <v>0</v>
      </c>
      <c r="DR54" s="284">
        <v>0</v>
      </c>
      <c r="DS54" s="284">
        <v>218.20486626984129</v>
      </c>
      <c r="DT54" s="284">
        <v>218.20486626984129</v>
      </c>
      <c r="DU54" s="284">
        <v>218.20486626984129</v>
      </c>
      <c r="DV54" s="284">
        <v>218.20486626984129</v>
      </c>
      <c r="DW54" s="284">
        <v>218.20486626984129</v>
      </c>
      <c r="DX54" s="284">
        <v>218.20486626984129</v>
      </c>
      <c r="DY54" s="284">
        <v>218.20486626984129</v>
      </c>
      <c r="DZ54" s="284">
        <v>218.20486626984129</v>
      </c>
      <c r="EA54" s="284">
        <v>218.20486626984129</v>
      </c>
      <c r="EB54" s="284">
        <v>218.20486626984129</v>
      </c>
      <c r="EC54" s="284">
        <v>218.20486626984129</v>
      </c>
      <c r="ED54" s="284">
        <v>218.20486626984129</v>
      </c>
      <c r="EE54" s="285">
        <v>2618.4583952380949</v>
      </c>
      <c r="EF54" s="291">
        <v>0</v>
      </c>
      <c r="EG54" s="311">
        <v>2618.4583952380949</v>
      </c>
    </row>
    <row r="55" spans="2:137">
      <c r="B55" s="288" t="s">
        <v>109</v>
      </c>
      <c r="C55" s="284">
        <v>0</v>
      </c>
      <c r="D55" s="284">
        <v>0</v>
      </c>
      <c r="E55" s="284">
        <v>0</v>
      </c>
      <c r="F55" s="284">
        <v>0</v>
      </c>
      <c r="G55" s="284">
        <v>0</v>
      </c>
      <c r="H55" s="284">
        <v>0</v>
      </c>
      <c r="I55" s="284">
        <v>0</v>
      </c>
      <c r="J55" s="284">
        <v>0</v>
      </c>
      <c r="K55" s="284">
        <v>0</v>
      </c>
      <c r="L55" s="284">
        <v>0</v>
      </c>
      <c r="M55" s="284">
        <v>0</v>
      </c>
      <c r="N55" s="284">
        <v>0</v>
      </c>
      <c r="O55" s="285">
        <v>0</v>
      </c>
      <c r="P55" s="291">
        <v>0</v>
      </c>
      <c r="Q55" s="284">
        <v>0</v>
      </c>
      <c r="R55" s="284">
        <v>0</v>
      </c>
      <c r="S55" s="284">
        <v>0</v>
      </c>
      <c r="T55" s="284">
        <v>0</v>
      </c>
      <c r="U55" s="284">
        <v>0</v>
      </c>
      <c r="V55" s="284">
        <v>0</v>
      </c>
      <c r="W55" s="284">
        <v>0</v>
      </c>
      <c r="X55" s="284">
        <v>0</v>
      </c>
      <c r="Y55" s="284">
        <v>0</v>
      </c>
      <c r="Z55" s="284">
        <v>0</v>
      </c>
      <c r="AA55" s="284">
        <v>0</v>
      </c>
      <c r="AB55" s="284">
        <v>0</v>
      </c>
      <c r="AC55" s="284">
        <v>0</v>
      </c>
      <c r="AD55" s="285">
        <v>0</v>
      </c>
      <c r="AE55" s="291">
        <v>0</v>
      </c>
      <c r="AF55" s="284">
        <v>0</v>
      </c>
      <c r="AG55" s="284">
        <v>0</v>
      </c>
      <c r="AH55" s="284">
        <v>0</v>
      </c>
      <c r="AI55" s="284">
        <v>0</v>
      </c>
      <c r="AJ55" s="284">
        <v>0</v>
      </c>
      <c r="AK55" s="284">
        <v>0</v>
      </c>
      <c r="AL55" s="284">
        <v>0</v>
      </c>
      <c r="AM55" s="284">
        <v>0</v>
      </c>
      <c r="AN55" s="284">
        <v>0</v>
      </c>
      <c r="AO55" s="284">
        <v>0</v>
      </c>
      <c r="AP55" s="284">
        <v>0</v>
      </c>
      <c r="AQ55" s="284">
        <v>0</v>
      </c>
      <c r="AR55" s="284">
        <v>0</v>
      </c>
      <c r="AS55" s="285">
        <v>0</v>
      </c>
      <c r="AT55" s="291">
        <v>0</v>
      </c>
      <c r="AU55" s="284">
        <v>0</v>
      </c>
      <c r="AV55" s="284">
        <v>0</v>
      </c>
      <c r="AW55" s="284">
        <v>0</v>
      </c>
      <c r="AX55" s="284">
        <v>0</v>
      </c>
      <c r="AY55" s="284">
        <v>0</v>
      </c>
      <c r="AZ55" s="284">
        <v>0</v>
      </c>
      <c r="BA55" s="284">
        <v>0</v>
      </c>
      <c r="BB55" s="284">
        <v>0</v>
      </c>
      <c r="BC55" s="284">
        <v>0</v>
      </c>
      <c r="BD55" s="284">
        <v>0</v>
      </c>
      <c r="BE55" s="284">
        <v>0</v>
      </c>
      <c r="BF55" s="284">
        <v>0</v>
      </c>
      <c r="BG55" s="284">
        <v>0</v>
      </c>
      <c r="BH55" s="285">
        <v>0</v>
      </c>
      <c r="BI55" s="291">
        <v>0</v>
      </c>
      <c r="BJ55" s="284">
        <v>0</v>
      </c>
      <c r="BK55" s="284">
        <v>0</v>
      </c>
      <c r="BL55" s="284">
        <v>0</v>
      </c>
      <c r="BM55" s="284">
        <v>0</v>
      </c>
      <c r="BN55" s="284">
        <v>0</v>
      </c>
      <c r="BO55" s="284">
        <v>0</v>
      </c>
      <c r="BP55" s="284">
        <v>0</v>
      </c>
      <c r="BQ55" s="284">
        <v>0</v>
      </c>
      <c r="BR55" s="284">
        <v>0</v>
      </c>
      <c r="BS55" s="284">
        <v>0</v>
      </c>
      <c r="BT55" s="284">
        <v>0</v>
      </c>
      <c r="BU55" s="284">
        <v>0</v>
      </c>
      <c r="BV55" s="284">
        <v>0</v>
      </c>
      <c r="BW55" s="285">
        <v>0</v>
      </c>
      <c r="BX55" s="291">
        <v>0</v>
      </c>
      <c r="BY55" s="284">
        <v>0</v>
      </c>
      <c r="BZ55" s="284">
        <v>0</v>
      </c>
      <c r="CA55" s="284">
        <v>0</v>
      </c>
      <c r="CB55" s="284">
        <v>0</v>
      </c>
      <c r="CC55" s="284">
        <v>0</v>
      </c>
      <c r="CD55" s="284">
        <v>0</v>
      </c>
      <c r="CE55" s="284">
        <v>0</v>
      </c>
      <c r="CF55" s="284">
        <v>0</v>
      </c>
      <c r="CG55" s="284">
        <v>0</v>
      </c>
      <c r="CH55" s="284">
        <v>0</v>
      </c>
      <c r="CI55" s="284">
        <v>0</v>
      </c>
      <c r="CJ55" s="284">
        <v>0</v>
      </c>
      <c r="CK55" s="284">
        <v>0</v>
      </c>
      <c r="CL55" s="285">
        <v>0</v>
      </c>
      <c r="CM55" s="291">
        <v>0</v>
      </c>
      <c r="CN55" s="284">
        <v>0</v>
      </c>
      <c r="CO55" s="284">
        <v>0</v>
      </c>
      <c r="CP55" s="284">
        <v>0</v>
      </c>
      <c r="CQ55" s="284">
        <v>0</v>
      </c>
      <c r="CR55" s="284">
        <v>0</v>
      </c>
      <c r="CS55" s="284">
        <v>0</v>
      </c>
      <c r="CT55" s="284">
        <v>0</v>
      </c>
      <c r="CU55" s="284">
        <v>0</v>
      </c>
      <c r="CV55" s="284">
        <v>0</v>
      </c>
      <c r="CW55" s="284">
        <v>0</v>
      </c>
      <c r="CX55" s="284">
        <v>0</v>
      </c>
      <c r="CY55" s="284">
        <v>0</v>
      </c>
      <c r="CZ55" s="284">
        <v>0</v>
      </c>
      <c r="DA55" s="285">
        <v>0</v>
      </c>
      <c r="DB55" s="291">
        <v>0</v>
      </c>
      <c r="DC55" s="284">
        <v>0</v>
      </c>
      <c r="DD55" s="284">
        <v>0</v>
      </c>
      <c r="DE55" s="284">
        <v>0</v>
      </c>
      <c r="DF55" s="284">
        <v>0</v>
      </c>
      <c r="DG55" s="284">
        <v>0</v>
      </c>
      <c r="DH55" s="284">
        <v>0</v>
      </c>
      <c r="DI55" s="284">
        <v>0</v>
      </c>
      <c r="DJ55" s="284">
        <v>0</v>
      </c>
      <c r="DK55" s="284">
        <v>0</v>
      </c>
      <c r="DL55" s="284">
        <v>0</v>
      </c>
      <c r="DM55" s="284">
        <v>0</v>
      </c>
      <c r="DN55" s="284">
        <v>0</v>
      </c>
      <c r="DO55" s="284">
        <v>0</v>
      </c>
      <c r="DP55" s="285">
        <v>0</v>
      </c>
      <c r="DQ55" s="291">
        <v>0</v>
      </c>
      <c r="DR55" s="284">
        <v>0</v>
      </c>
      <c r="DS55" s="284">
        <v>0</v>
      </c>
      <c r="DT55" s="284">
        <v>0</v>
      </c>
      <c r="DU55" s="284">
        <v>0</v>
      </c>
      <c r="DV55" s="284">
        <v>0</v>
      </c>
      <c r="DW55" s="284">
        <v>0</v>
      </c>
      <c r="DX55" s="284">
        <v>0</v>
      </c>
      <c r="DY55" s="284">
        <v>0</v>
      </c>
      <c r="DZ55" s="284">
        <v>0</v>
      </c>
      <c r="EA55" s="284">
        <v>0</v>
      </c>
      <c r="EB55" s="284">
        <v>0</v>
      </c>
      <c r="EC55" s="284">
        <v>0</v>
      </c>
      <c r="ED55" s="284">
        <v>0</v>
      </c>
      <c r="EE55" s="285">
        <v>0</v>
      </c>
      <c r="EF55" s="291">
        <v>0</v>
      </c>
      <c r="EG55" s="311">
        <v>0</v>
      </c>
    </row>
    <row r="56" spans="2:137">
      <c r="B56" s="288" t="s">
        <v>268</v>
      </c>
      <c r="C56" s="284">
        <v>0</v>
      </c>
      <c r="D56" s="284">
        <v>0</v>
      </c>
      <c r="E56" s="284">
        <v>0</v>
      </c>
      <c r="F56" s="284">
        <v>0</v>
      </c>
      <c r="G56" s="284">
        <v>0</v>
      </c>
      <c r="H56" s="284">
        <v>0</v>
      </c>
      <c r="I56" s="284">
        <v>0</v>
      </c>
      <c r="J56" s="284">
        <v>0</v>
      </c>
      <c r="K56" s="284">
        <v>0</v>
      </c>
      <c r="L56" s="284">
        <v>0</v>
      </c>
      <c r="M56" s="284">
        <v>0</v>
      </c>
      <c r="N56" s="284">
        <v>0</v>
      </c>
      <c r="O56" s="285">
        <v>0</v>
      </c>
      <c r="P56" s="291">
        <v>0</v>
      </c>
      <c r="Q56" s="284">
        <v>0</v>
      </c>
      <c r="R56" s="284">
        <v>0</v>
      </c>
      <c r="S56" s="284">
        <v>0</v>
      </c>
      <c r="T56" s="284">
        <v>0</v>
      </c>
      <c r="U56" s="284">
        <v>0</v>
      </c>
      <c r="V56" s="284">
        <v>0</v>
      </c>
      <c r="W56" s="284">
        <v>0</v>
      </c>
      <c r="X56" s="284">
        <v>0</v>
      </c>
      <c r="Y56" s="284">
        <v>0</v>
      </c>
      <c r="Z56" s="284">
        <v>0</v>
      </c>
      <c r="AA56" s="284">
        <v>0</v>
      </c>
      <c r="AB56" s="284">
        <v>0</v>
      </c>
      <c r="AC56" s="284">
        <v>0</v>
      </c>
      <c r="AD56" s="285">
        <v>0</v>
      </c>
      <c r="AE56" s="291">
        <v>0</v>
      </c>
      <c r="AF56" s="284">
        <v>0</v>
      </c>
      <c r="AG56" s="284">
        <v>0</v>
      </c>
      <c r="AH56" s="284">
        <v>0</v>
      </c>
      <c r="AI56" s="284">
        <v>0</v>
      </c>
      <c r="AJ56" s="284">
        <v>0</v>
      </c>
      <c r="AK56" s="284">
        <v>0</v>
      </c>
      <c r="AL56" s="284">
        <v>0</v>
      </c>
      <c r="AM56" s="284">
        <v>0</v>
      </c>
      <c r="AN56" s="284">
        <v>0</v>
      </c>
      <c r="AO56" s="284">
        <v>0</v>
      </c>
      <c r="AP56" s="284">
        <v>0</v>
      </c>
      <c r="AQ56" s="284">
        <v>0</v>
      </c>
      <c r="AR56" s="284">
        <v>0</v>
      </c>
      <c r="AS56" s="285">
        <v>0</v>
      </c>
      <c r="AT56" s="291">
        <v>0</v>
      </c>
      <c r="AU56" s="284">
        <v>0</v>
      </c>
      <c r="AV56" s="284">
        <v>0</v>
      </c>
      <c r="AW56" s="284">
        <v>0</v>
      </c>
      <c r="AX56" s="284">
        <v>0</v>
      </c>
      <c r="AY56" s="284">
        <v>0</v>
      </c>
      <c r="AZ56" s="284">
        <v>0</v>
      </c>
      <c r="BA56" s="284">
        <v>0</v>
      </c>
      <c r="BB56" s="284">
        <v>0</v>
      </c>
      <c r="BC56" s="284">
        <v>0</v>
      </c>
      <c r="BD56" s="284">
        <v>0</v>
      </c>
      <c r="BE56" s="284">
        <v>0</v>
      </c>
      <c r="BF56" s="284">
        <v>0</v>
      </c>
      <c r="BG56" s="284">
        <v>0</v>
      </c>
      <c r="BH56" s="285">
        <v>0</v>
      </c>
      <c r="BI56" s="291">
        <v>0</v>
      </c>
      <c r="BJ56" s="284">
        <v>0</v>
      </c>
      <c r="BK56" s="284">
        <v>0</v>
      </c>
      <c r="BL56" s="284">
        <v>0</v>
      </c>
      <c r="BM56" s="284">
        <v>0</v>
      </c>
      <c r="BN56" s="284">
        <v>0</v>
      </c>
      <c r="BO56" s="284">
        <v>0</v>
      </c>
      <c r="BP56" s="284">
        <v>0</v>
      </c>
      <c r="BQ56" s="284">
        <v>0</v>
      </c>
      <c r="BR56" s="284">
        <v>0</v>
      </c>
      <c r="BS56" s="284">
        <v>0</v>
      </c>
      <c r="BT56" s="284">
        <v>0</v>
      </c>
      <c r="BU56" s="284">
        <v>0</v>
      </c>
      <c r="BV56" s="284">
        <v>0</v>
      </c>
      <c r="BW56" s="285">
        <v>0</v>
      </c>
      <c r="BX56" s="291">
        <v>0</v>
      </c>
      <c r="BY56" s="284">
        <v>0</v>
      </c>
      <c r="BZ56" s="284">
        <v>0</v>
      </c>
      <c r="CA56" s="284">
        <v>0</v>
      </c>
      <c r="CB56" s="284">
        <v>0</v>
      </c>
      <c r="CC56" s="284">
        <v>0</v>
      </c>
      <c r="CD56" s="284">
        <v>0</v>
      </c>
      <c r="CE56" s="284">
        <v>0</v>
      </c>
      <c r="CF56" s="284">
        <v>0</v>
      </c>
      <c r="CG56" s="284">
        <v>0</v>
      </c>
      <c r="CH56" s="284">
        <v>0</v>
      </c>
      <c r="CI56" s="284">
        <v>0</v>
      </c>
      <c r="CJ56" s="284">
        <v>0</v>
      </c>
      <c r="CK56" s="284">
        <v>0</v>
      </c>
      <c r="CL56" s="285">
        <v>0</v>
      </c>
      <c r="CM56" s="291">
        <v>0</v>
      </c>
      <c r="CN56" s="284">
        <v>0</v>
      </c>
      <c r="CO56" s="284">
        <v>0</v>
      </c>
      <c r="CP56" s="284">
        <v>0</v>
      </c>
      <c r="CQ56" s="284">
        <v>0</v>
      </c>
      <c r="CR56" s="284">
        <v>0</v>
      </c>
      <c r="CS56" s="284">
        <v>0</v>
      </c>
      <c r="CT56" s="284">
        <v>0</v>
      </c>
      <c r="CU56" s="284">
        <v>0</v>
      </c>
      <c r="CV56" s="284">
        <v>0</v>
      </c>
      <c r="CW56" s="284">
        <v>0</v>
      </c>
      <c r="CX56" s="284">
        <v>0</v>
      </c>
      <c r="CY56" s="284">
        <v>0</v>
      </c>
      <c r="CZ56" s="284">
        <v>0</v>
      </c>
      <c r="DA56" s="285">
        <v>0</v>
      </c>
      <c r="DB56" s="291">
        <v>0</v>
      </c>
      <c r="DC56" s="284">
        <v>0</v>
      </c>
      <c r="DD56" s="284">
        <v>0</v>
      </c>
      <c r="DE56" s="284">
        <v>0</v>
      </c>
      <c r="DF56" s="284">
        <v>0</v>
      </c>
      <c r="DG56" s="284">
        <v>0</v>
      </c>
      <c r="DH56" s="284">
        <v>0</v>
      </c>
      <c r="DI56" s="284">
        <v>0</v>
      </c>
      <c r="DJ56" s="284">
        <v>0</v>
      </c>
      <c r="DK56" s="284">
        <v>0</v>
      </c>
      <c r="DL56" s="284">
        <v>0</v>
      </c>
      <c r="DM56" s="284">
        <v>0</v>
      </c>
      <c r="DN56" s="284">
        <v>0</v>
      </c>
      <c r="DO56" s="284">
        <v>0</v>
      </c>
      <c r="DP56" s="285">
        <v>0</v>
      </c>
      <c r="DQ56" s="291">
        <v>0</v>
      </c>
      <c r="DR56" s="284">
        <v>0</v>
      </c>
      <c r="DS56" s="284">
        <v>0</v>
      </c>
      <c r="DT56" s="284">
        <v>0</v>
      </c>
      <c r="DU56" s="284">
        <v>0</v>
      </c>
      <c r="DV56" s="284">
        <v>0</v>
      </c>
      <c r="DW56" s="284">
        <v>0</v>
      </c>
      <c r="DX56" s="284">
        <v>0</v>
      </c>
      <c r="DY56" s="284">
        <v>0</v>
      </c>
      <c r="DZ56" s="284">
        <v>0</v>
      </c>
      <c r="EA56" s="284">
        <v>0</v>
      </c>
      <c r="EB56" s="284">
        <v>0</v>
      </c>
      <c r="EC56" s="284">
        <v>0</v>
      </c>
      <c r="ED56" s="284">
        <v>0</v>
      </c>
      <c r="EE56" s="285">
        <v>0</v>
      </c>
      <c r="EF56" s="291">
        <v>0</v>
      </c>
      <c r="EG56" s="311">
        <v>0</v>
      </c>
    </row>
    <row r="57" spans="2:137">
      <c r="B57" s="288" t="s">
        <v>110</v>
      </c>
      <c r="C57" s="284">
        <v>0</v>
      </c>
      <c r="D57" s="284">
        <v>0</v>
      </c>
      <c r="E57" s="284">
        <v>0</v>
      </c>
      <c r="F57" s="284">
        <v>0</v>
      </c>
      <c r="G57" s="284">
        <v>0</v>
      </c>
      <c r="H57" s="284">
        <v>0</v>
      </c>
      <c r="I57" s="284">
        <v>0</v>
      </c>
      <c r="J57" s="284">
        <v>0</v>
      </c>
      <c r="K57" s="284">
        <v>0</v>
      </c>
      <c r="L57" s="284">
        <v>0</v>
      </c>
      <c r="M57" s="284">
        <v>0</v>
      </c>
      <c r="N57" s="284">
        <v>0</v>
      </c>
      <c r="O57" s="285">
        <v>0</v>
      </c>
      <c r="P57" s="291">
        <v>0</v>
      </c>
      <c r="Q57" s="284">
        <v>0</v>
      </c>
      <c r="R57" s="284">
        <v>0</v>
      </c>
      <c r="S57" s="284">
        <v>0</v>
      </c>
      <c r="T57" s="284">
        <v>0</v>
      </c>
      <c r="U57" s="284">
        <v>0</v>
      </c>
      <c r="V57" s="284">
        <v>0</v>
      </c>
      <c r="W57" s="284">
        <v>0</v>
      </c>
      <c r="X57" s="284">
        <v>0</v>
      </c>
      <c r="Y57" s="284">
        <v>0</v>
      </c>
      <c r="Z57" s="284">
        <v>0</v>
      </c>
      <c r="AA57" s="284">
        <v>0</v>
      </c>
      <c r="AB57" s="284">
        <v>0</v>
      </c>
      <c r="AC57" s="284">
        <v>0</v>
      </c>
      <c r="AD57" s="285">
        <v>0</v>
      </c>
      <c r="AE57" s="291">
        <v>0</v>
      </c>
      <c r="AF57" s="284">
        <v>0</v>
      </c>
      <c r="AG57" s="284">
        <v>0</v>
      </c>
      <c r="AH57" s="284">
        <v>0</v>
      </c>
      <c r="AI57" s="284">
        <v>0</v>
      </c>
      <c r="AJ57" s="284">
        <v>0</v>
      </c>
      <c r="AK57" s="284">
        <v>0</v>
      </c>
      <c r="AL57" s="284">
        <v>0</v>
      </c>
      <c r="AM57" s="284">
        <v>0</v>
      </c>
      <c r="AN57" s="284">
        <v>0</v>
      </c>
      <c r="AO57" s="284">
        <v>0</v>
      </c>
      <c r="AP57" s="284">
        <v>0</v>
      </c>
      <c r="AQ57" s="284">
        <v>0</v>
      </c>
      <c r="AR57" s="284">
        <v>0</v>
      </c>
      <c r="AS57" s="285">
        <v>0</v>
      </c>
      <c r="AT57" s="291">
        <v>0</v>
      </c>
      <c r="AU57" s="284">
        <v>0</v>
      </c>
      <c r="AV57" s="284">
        <v>0</v>
      </c>
      <c r="AW57" s="284">
        <v>0</v>
      </c>
      <c r="AX57" s="284">
        <v>0</v>
      </c>
      <c r="AY57" s="284">
        <v>0</v>
      </c>
      <c r="AZ57" s="284">
        <v>0</v>
      </c>
      <c r="BA57" s="284">
        <v>0</v>
      </c>
      <c r="BB57" s="284">
        <v>0</v>
      </c>
      <c r="BC57" s="284">
        <v>0</v>
      </c>
      <c r="BD57" s="284">
        <v>0</v>
      </c>
      <c r="BE57" s="284">
        <v>0</v>
      </c>
      <c r="BF57" s="284">
        <v>0</v>
      </c>
      <c r="BG57" s="284">
        <v>0</v>
      </c>
      <c r="BH57" s="285">
        <v>0</v>
      </c>
      <c r="BI57" s="291">
        <v>0</v>
      </c>
      <c r="BJ57" s="284">
        <v>0</v>
      </c>
      <c r="BK57" s="284">
        <v>0</v>
      </c>
      <c r="BL57" s="284">
        <v>0</v>
      </c>
      <c r="BM57" s="284">
        <v>0</v>
      </c>
      <c r="BN57" s="284">
        <v>0</v>
      </c>
      <c r="BO57" s="284">
        <v>0</v>
      </c>
      <c r="BP57" s="284">
        <v>0</v>
      </c>
      <c r="BQ57" s="284">
        <v>0</v>
      </c>
      <c r="BR57" s="284">
        <v>0</v>
      </c>
      <c r="BS57" s="284">
        <v>0</v>
      </c>
      <c r="BT57" s="284">
        <v>0</v>
      </c>
      <c r="BU57" s="284">
        <v>0</v>
      </c>
      <c r="BV57" s="284">
        <v>0</v>
      </c>
      <c r="BW57" s="285">
        <v>0</v>
      </c>
      <c r="BX57" s="291">
        <v>0</v>
      </c>
      <c r="BY57" s="284">
        <v>0</v>
      </c>
      <c r="BZ57" s="284">
        <v>0</v>
      </c>
      <c r="CA57" s="284">
        <v>0</v>
      </c>
      <c r="CB57" s="284">
        <v>0</v>
      </c>
      <c r="CC57" s="284">
        <v>0</v>
      </c>
      <c r="CD57" s="284">
        <v>0</v>
      </c>
      <c r="CE57" s="284">
        <v>0</v>
      </c>
      <c r="CF57" s="284">
        <v>0</v>
      </c>
      <c r="CG57" s="284">
        <v>0</v>
      </c>
      <c r="CH57" s="284">
        <v>0</v>
      </c>
      <c r="CI57" s="284">
        <v>0</v>
      </c>
      <c r="CJ57" s="284">
        <v>0</v>
      </c>
      <c r="CK57" s="284">
        <v>0</v>
      </c>
      <c r="CL57" s="285">
        <v>0</v>
      </c>
      <c r="CM57" s="291">
        <v>0</v>
      </c>
      <c r="CN57" s="284">
        <v>0</v>
      </c>
      <c r="CO57" s="284">
        <v>0</v>
      </c>
      <c r="CP57" s="284">
        <v>0</v>
      </c>
      <c r="CQ57" s="284">
        <v>0</v>
      </c>
      <c r="CR57" s="284">
        <v>0</v>
      </c>
      <c r="CS57" s="284">
        <v>0</v>
      </c>
      <c r="CT57" s="284">
        <v>0</v>
      </c>
      <c r="CU57" s="284">
        <v>0</v>
      </c>
      <c r="CV57" s="284">
        <v>0</v>
      </c>
      <c r="CW57" s="284">
        <v>0</v>
      </c>
      <c r="CX57" s="284">
        <v>0</v>
      </c>
      <c r="CY57" s="284">
        <v>0</v>
      </c>
      <c r="CZ57" s="284">
        <v>0</v>
      </c>
      <c r="DA57" s="285">
        <v>0</v>
      </c>
      <c r="DB57" s="291">
        <v>0</v>
      </c>
      <c r="DC57" s="284">
        <v>0</v>
      </c>
      <c r="DD57" s="284">
        <v>0</v>
      </c>
      <c r="DE57" s="284">
        <v>0</v>
      </c>
      <c r="DF57" s="284">
        <v>0</v>
      </c>
      <c r="DG57" s="284">
        <v>0</v>
      </c>
      <c r="DH57" s="284">
        <v>0</v>
      </c>
      <c r="DI57" s="284">
        <v>0</v>
      </c>
      <c r="DJ57" s="284">
        <v>0</v>
      </c>
      <c r="DK57" s="284">
        <v>0</v>
      </c>
      <c r="DL57" s="284">
        <v>0</v>
      </c>
      <c r="DM57" s="284">
        <v>0</v>
      </c>
      <c r="DN57" s="284">
        <v>0</v>
      </c>
      <c r="DO57" s="284">
        <v>0</v>
      </c>
      <c r="DP57" s="285">
        <v>0</v>
      </c>
      <c r="DQ57" s="291">
        <v>0</v>
      </c>
      <c r="DR57" s="284">
        <v>0</v>
      </c>
      <c r="DS57" s="284">
        <v>0</v>
      </c>
      <c r="DT57" s="284">
        <v>0</v>
      </c>
      <c r="DU57" s="284">
        <v>0</v>
      </c>
      <c r="DV57" s="284">
        <v>0</v>
      </c>
      <c r="DW57" s="284">
        <v>0</v>
      </c>
      <c r="DX57" s="284">
        <v>0</v>
      </c>
      <c r="DY57" s="284">
        <v>0</v>
      </c>
      <c r="DZ57" s="284">
        <v>0</v>
      </c>
      <c r="EA57" s="284">
        <v>0</v>
      </c>
      <c r="EB57" s="284">
        <v>0</v>
      </c>
      <c r="EC57" s="284">
        <v>0</v>
      </c>
      <c r="ED57" s="284">
        <v>0</v>
      </c>
      <c r="EE57" s="285">
        <v>0</v>
      </c>
      <c r="EF57" s="291">
        <v>0</v>
      </c>
      <c r="EG57" s="311">
        <v>0</v>
      </c>
    </row>
    <row r="58" spans="2:137">
      <c r="B58" s="288" t="s">
        <v>781</v>
      </c>
      <c r="C58" s="284">
        <v>0</v>
      </c>
      <c r="D58" s="284">
        <v>0</v>
      </c>
      <c r="E58" s="284">
        <v>0</v>
      </c>
      <c r="F58" s="284">
        <v>0</v>
      </c>
      <c r="G58" s="284">
        <v>0</v>
      </c>
      <c r="H58" s="284">
        <v>0</v>
      </c>
      <c r="I58" s="284">
        <v>0</v>
      </c>
      <c r="J58" s="284">
        <v>0</v>
      </c>
      <c r="K58" s="284">
        <v>0</v>
      </c>
      <c r="L58" s="284">
        <v>0</v>
      </c>
      <c r="M58" s="284">
        <v>0</v>
      </c>
      <c r="N58" s="284">
        <v>0</v>
      </c>
      <c r="O58" s="285">
        <v>0</v>
      </c>
      <c r="P58" s="291">
        <v>0</v>
      </c>
      <c r="Q58" s="284">
        <v>0</v>
      </c>
      <c r="R58" s="284">
        <v>0</v>
      </c>
      <c r="S58" s="284">
        <v>0</v>
      </c>
      <c r="T58" s="284">
        <v>0</v>
      </c>
      <c r="U58" s="284">
        <v>0</v>
      </c>
      <c r="V58" s="284">
        <v>0</v>
      </c>
      <c r="W58" s="284">
        <v>0</v>
      </c>
      <c r="X58" s="284">
        <v>0</v>
      </c>
      <c r="Y58" s="284">
        <v>0</v>
      </c>
      <c r="Z58" s="284">
        <v>0</v>
      </c>
      <c r="AA58" s="284">
        <v>0</v>
      </c>
      <c r="AB58" s="284">
        <v>0</v>
      </c>
      <c r="AC58" s="284">
        <v>0</v>
      </c>
      <c r="AD58" s="285">
        <v>0</v>
      </c>
      <c r="AE58" s="291">
        <v>0</v>
      </c>
      <c r="AF58" s="284">
        <v>0</v>
      </c>
      <c r="AG58" s="284">
        <v>0</v>
      </c>
      <c r="AH58" s="284">
        <v>0</v>
      </c>
      <c r="AI58" s="284">
        <v>0</v>
      </c>
      <c r="AJ58" s="284">
        <v>0</v>
      </c>
      <c r="AK58" s="284">
        <v>0</v>
      </c>
      <c r="AL58" s="284">
        <v>0</v>
      </c>
      <c r="AM58" s="284">
        <v>0</v>
      </c>
      <c r="AN58" s="284">
        <v>0</v>
      </c>
      <c r="AO58" s="284">
        <v>0</v>
      </c>
      <c r="AP58" s="284">
        <v>0</v>
      </c>
      <c r="AQ58" s="284">
        <v>0</v>
      </c>
      <c r="AR58" s="284">
        <v>0</v>
      </c>
      <c r="AS58" s="285">
        <v>0</v>
      </c>
      <c r="AT58" s="291">
        <v>0</v>
      </c>
      <c r="AU58" s="284">
        <v>0</v>
      </c>
      <c r="AV58" s="284">
        <v>0</v>
      </c>
      <c r="AW58" s="284">
        <v>0</v>
      </c>
      <c r="AX58" s="284">
        <v>0</v>
      </c>
      <c r="AY58" s="284">
        <v>0</v>
      </c>
      <c r="AZ58" s="284">
        <v>0</v>
      </c>
      <c r="BA58" s="284">
        <v>0</v>
      </c>
      <c r="BB58" s="284">
        <v>0</v>
      </c>
      <c r="BC58" s="284">
        <v>0</v>
      </c>
      <c r="BD58" s="284">
        <v>0</v>
      </c>
      <c r="BE58" s="284">
        <v>0</v>
      </c>
      <c r="BF58" s="284">
        <v>0</v>
      </c>
      <c r="BG58" s="284">
        <v>0</v>
      </c>
      <c r="BH58" s="285">
        <v>0</v>
      </c>
      <c r="BI58" s="291">
        <v>0</v>
      </c>
      <c r="BJ58" s="284">
        <v>0</v>
      </c>
      <c r="BK58" s="284">
        <v>0</v>
      </c>
      <c r="BL58" s="284">
        <v>0</v>
      </c>
      <c r="BM58" s="284">
        <v>0</v>
      </c>
      <c r="BN58" s="284">
        <v>0</v>
      </c>
      <c r="BO58" s="284">
        <v>0</v>
      </c>
      <c r="BP58" s="284">
        <v>0</v>
      </c>
      <c r="BQ58" s="284">
        <v>0</v>
      </c>
      <c r="BR58" s="284">
        <v>0</v>
      </c>
      <c r="BS58" s="284">
        <v>0</v>
      </c>
      <c r="BT58" s="284">
        <v>0</v>
      </c>
      <c r="BU58" s="284">
        <v>0</v>
      </c>
      <c r="BV58" s="284">
        <v>0</v>
      </c>
      <c r="BW58" s="285">
        <v>0</v>
      </c>
      <c r="BX58" s="291">
        <v>0</v>
      </c>
      <c r="BY58" s="284">
        <v>0</v>
      </c>
      <c r="BZ58" s="284">
        <v>0</v>
      </c>
      <c r="CA58" s="284">
        <v>0</v>
      </c>
      <c r="CB58" s="284">
        <v>0</v>
      </c>
      <c r="CC58" s="284">
        <v>0</v>
      </c>
      <c r="CD58" s="284">
        <v>0</v>
      </c>
      <c r="CE58" s="284">
        <v>0</v>
      </c>
      <c r="CF58" s="284">
        <v>0</v>
      </c>
      <c r="CG58" s="284">
        <v>0</v>
      </c>
      <c r="CH58" s="284">
        <v>0</v>
      </c>
      <c r="CI58" s="284">
        <v>0</v>
      </c>
      <c r="CJ58" s="284">
        <v>0</v>
      </c>
      <c r="CK58" s="284">
        <v>0</v>
      </c>
      <c r="CL58" s="285">
        <v>0</v>
      </c>
      <c r="CM58" s="291">
        <v>0</v>
      </c>
      <c r="CN58" s="284">
        <v>0</v>
      </c>
      <c r="CO58" s="284">
        <v>0</v>
      </c>
      <c r="CP58" s="284">
        <v>0</v>
      </c>
      <c r="CQ58" s="284">
        <v>0</v>
      </c>
      <c r="CR58" s="284">
        <v>0</v>
      </c>
      <c r="CS58" s="284">
        <v>0</v>
      </c>
      <c r="CT58" s="284">
        <v>0</v>
      </c>
      <c r="CU58" s="284">
        <v>0</v>
      </c>
      <c r="CV58" s="284">
        <v>0</v>
      </c>
      <c r="CW58" s="284">
        <v>0</v>
      </c>
      <c r="CX58" s="284">
        <v>0</v>
      </c>
      <c r="CY58" s="284">
        <v>0</v>
      </c>
      <c r="CZ58" s="284">
        <v>0</v>
      </c>
      <c r="DA58" s="285">
        <v>0</v>
      </c>
      <c r="DB58" s="291">
        <v>0</v>
      </c>
      <c r="DC58" s="284">
        <v>0</v>
      </c>
      <c r="DD58" s="284">
        <v>0</v>
      </c>
      <c r="DE58" s="284">
        <v>0</v>
      </c>
      <c r="DF58" s="284">
        <v>0</v>
      </c>
      <c r="DG58" s="284">
        <v>0</v>
      </c>
      <c r="DH58" s="284">
        <v>0</v>
      </c>
      <c r="DI58" s="284">
        <v>0</v>
      </c>
      <c r="DJ58" s="284">
        <v>0</v>
      </c>
      <c r="DK58" s="284">
        <v>0</v>
      </c>
      <c r="DL58" s="284">
        <v>0</v>
      </c>
      <c r="DM58" s="284">
        <v>0</v>
      </c>
      <c r="DN58" s="284">
        <v>0</v>
      </c>
      <c r="DO58" s="284">
        <v>0</v>
      </c>
      <c r="DP58" s="285">
        <v>0</v>
      </c>
      <c r="DQ58" s="291">
        <v>0</v>
      </c>
      <c r="DR58" s="284">
        <v>0</v>
      </c>
      <c r="DS58" s="284">
        <v>200</v>
      </c>
      <c r="DT58" s="284">
        <v>200</v>
      </c>
      <c r="DU58" s="284">
        <v>200</v>
      </c>
      <c r="DV58" s="284">
        <v>200</v>
      </c>
      <c r="DW58" s="284">
        <v>200</v>
      </c>
      <c r="DX58" s="284">
        <v>200</v>
      </c>
      <c r="DY58" s="284">
        <v>200</v>
      </c>
      <c r="DZ58" s="284">
        <v>200</v>
      </c>
      <c r="EA58" s="284">
        <v>200</v>
      </c>
      <c r="EB58" s="284">
        <v>200</v>
      </c>
      <c r="EC58" s="284">
        <v>200</v>
      </c>
      <c r="ED58" s="284">
        <v>200</v>
      </c>
      <c r="EE58" s="285">
        <v>2400</v>
      </c>
      <c r="EF58" s="291">
        <v>0</v>
      </c>
      <c r="EG58" s="311">
        <v>2400</v>
      </c>
    </row>
    <row r="59" spans="2:137">
      <c r="B59" s="283" t="s">
        <v>53</v>
      </c>
      <c r="C59" s="284">
        <v>-172709.37000000002</v>
      </c>
      <c r="D59" s="284">
        <v>328986.87000000011</v>
      </c>
      <c r="E59" s="284">
        <v>445259.00999999995</v>
      </c>
      <c r="F59" s="284">
        <v>465769.72000000015</v>
      </c>
      <c r="G59" s="284">
        <v>459303.72999999992</v>
      </c>
      <c r="H59" s="284">
        <v>502720.15</v>
      </c>
      <c r="I59" s="284">
        <v>597911.16999999993</v>
      </c>
      <c r="J59" s="284">
        <v>437942.76000000013</v>
      </c>
      <c r="K59" s="284">
        <v>1349477.1499999992</v>
      </c>
      <c r="L59" s="284">
        <v>-391153.61000000022</v>
      </c>
      <c r="M59" s="284">
        <v>520917.05999999988</v>
      </c>
      <c r="N59" s="284">
        <v>483339.54999999981</v>
      </c>
      <c r="O59" s="285">
        <v>5027764.1899999995</v>
      </c>
      <c r="P59" s="291">
        <v>0</v>
      </c>
      <c r="Q59" s="284">
        <v>1277922.9101962531</v>
      </c>
      <c r="R59" s="284">
        <v>353778.92000000004</v>
      </c>
      <c r="S59" s="284">
        <v>617737.95000000019</v>
      </c>
      <c r="T59" s="284">
        <v>700682.66</v>
      </c>
      <c r="U59" s="284">
        <v>647173.56999999995</v>
      </c>
      <c r="V59" s="284">
        <v>769794.47000000032</v>
      </c>
      <c r="W59" s="284">
        <v>735600.9</v>
      </c>
      <c r="X59" s="284">
        <v>1344289.4200000004</v>
      </c>
      <c r="Y59" s="284">
        <v>741516.81</v>
      </c>
      <c r="Z59" s="284">
        <v>363169.73000000056</v>
      </c>
      <c r="AA59" s="284">
        <v>940781.89</v>
      </c>
      <c r="AB59" s="284">
        <v>824238.04000000015</v>
      </c>
      <c r="AC59" s="284">
        <v>1024472.1099999998</v>
      </c>
      <c r="AD59" s="285">
        <v>9063236.4700000007</v>
      </c>
      <c r="AE59" s="291">
        <v>0</v>
      </c>
      <c r="AF59" s="284">
        <v>1273164.290196253</v>
      </c>
      <c r="AG59" s="284">
        <v>54873.26000000006</v>
      </c>
      <c r="AH59" s="284">
        <v>572007.09999999974</v>
      </c>
      <c r="AI59" s="284">
        <v>644682.91999999923</v>
      </c>
      <c r="AJ59" s="284">
        <v>464091.05999999971</v>
      </c>
      <c r="AK59" s="284">
        <v>439219.01000000024</v>
      </c>
      <c r="AL59" s="284">
        <v>489749.00000000012</v>
      </c>
      <c r="AM59" s="284">
        <v>710859.65999999957</v>
      </c>
      <c r="AN59" s="284">
        <v>738038.01</v>
      </c>
      <c r="AO59" s="284">
        <v>691410.45000000019</v>
      </c>
      <c r="AP59" s="284">
        <v>787081.43999999983</v>
      </c>
      <c r="AQ59" s="284">
        <v>790296.05999999982</v>
      </c>
      <c r="AR59" s="284">
        <v>611314.88</v>
      </c>
      <c r="AS59" s="285">
        <v>6993622.8499999978</v>
      </c>
      <c r="AT59" s="291">
        <v>0</v>
      </c>
      <c r="AU59" s="284">
        <v>1134243.510196253</v>
      </c>
      <c r="AV59" s="284">
        <v>785715.06000000017</v>
      </c>
      <c r="AW59" s="284">
        <v>691434.94999999984</v>
      </c>
      <c r="AX59" s="284">
        <v>830625.90000000026</v>
      </c>
      <c r="AY59" s="284">
        <v>950577.60999999952</v>
      </c>
      <c r="AZ59" s="284">
        <v>980059.21999999986</v>
      </c>
      <c r="BA59" s="284">
        <v>719365.72000000032</v>
      </c>
      <c r="BB59" s="284">
        <v>832356.4</v>
      </c>
      <c r="BC59" s="284">
        <v>1016010.1099999996</v>
      </c>
      <c r="BD59" s="284">
        <v>885374.73999999964</v>
      </c>
      <c r="BE59" s="284">
        <v>939528.72000000032</v>
      </c>
      <c r="BF59" s="284">
        <v>1067742.27</v>
      </c>
      <c r="BG59" s="284">
        <v>1476275.8099999994</v>
      </c>
      <c r="BH59" s="285">
        <v>11175066.509999998</v>
      </c>
      <c r="BI59" s="291">
        <v>0</v>
      </c>
      <c r="BJ59" s="284">
        <v>1272849.050196253</v>
      </c>
      <c r="BK59" s="284">
        <v>891374.36999999953</v>
      </c>
      <c r="BL59" s="284">
        <v>22993.019999999789</v>
      </c>
      <c r="BM59" s="284">
        <v>1032389.9600000001</v>
      </c>
      <c r="BN59" s="284">
        <v>884894.69000000041</v>
      </c>
      <c r="BO59" s="284">
        <v>978961.78999999957</v>
      </c>
      <c r="BP59" s="284">
        <v>1048815.6599999999</v>
      </c>
      <c r="BQ59" s="284">
        <v>823023.54999999958</v>
      </c>
      <c r="BR59" s="284">
        <v>1377270</v>
      </c>
      <c r="BS59" s="284">
        <v>529551.99999999953</v>
      </c>
      <c r="BT59" s="284">
        <v>1361824.0100000002</v>
      </c>
      <c r="BU59" s="284">
        <v>924637.65999999922</v>
      </c>
      <c r="BV59" s="284">
        <v>734976.91000000411</v>
      </c>
      <c r="BW59" s="285">
        <v>10610713.620000005</v>
      </c>
      <c r="BX59" s="291">
        <v>0</v>
      </c>
      <c r="BY59" s="284">
        <v>1255777.7401962499</v>
      </c>
      <c r="BZ59" s="284">
        <v>1276427.6699999992</v>
      </c>
      <c r="CA59" s="284">
        <v>1034403</v>
      </c>
      <c r="CB59" s="284">
        <v>1201783.48</v>
      </c>
      <c r="CC59" s="284">
        <v>1062943.0500000003</v>
      </c>
      <c r="CD59" s="284">
        <v>1248131.6600000006</v>
      </c>
      <c r="CE59" s="284">
        <v>1478304.2199999993</v>
      </c>
      <c r="CF59" s="284">
        <v>1443757.8799999997</v>
      </c>
      <c r="CG59" s="284">
        <v>1284599.8299999998</v>
      </c>
      <c r="CH59" s="284">
        <v>887154.27000000014</v>
      </c>
      <c r="CI59" s="284">
        <v>1121263.93</v>
      </c>
      <c r="CJ59" s="284">
        <v>1112251.9099999995</v>
      </c>
      <c r="CK59" s="284">
        <v>1363564.1000000003</v>
      </c>
      <c r="CL59" s="285">
        <v>14514585</v>
      </c>
      <c r="CM59" s="291">
        <v>0</v>
      </c>
      <c r="CN59" s="284">
        <v>1253586.7301962469</v>
      </c>
      <c r="CO59" s="284">
        <v>640047.34999999986</v>
      </c>
      <c r="CP59" s="284">
        <v>1303100.3799999994</v>
      </c>
      <c r="CQ59" s="284">
        <v>924332.91999999864</v>
      </c>
      <c r="CR59" s="284">
        <v>1404865.4299999997</v>
      </c>
      <c r="CS59" s="284">
        <v>1151889.9500000004</v>
      </c>
      <c r="CT59" s="284">
        <v>721217.27000000048</v>
      </c>
      <c r="CU59" s="284">
        <v>871206.1800000004</v>
      </c>
      <c r="CV59" s="284">
        <v>10487429.42999997</v>
      </c>
      <c r="CW59" s="284">
        <v>12683477.98000001</v>
      </c>
      <c r="CX59" s="284">
        <v>5153673</v>
      </c>
      <c r="CY59" s="284">
        <v>3659580.6699999934</v>
      </c>
      <c r="CZ59" s="284">
        <v>3126082.8799999971</v>
      </c>
      <c r="DA59" s="285">
        <v>42126903.439999975</v>
      </c>
      <c r="DB59" s="291">
        <v>0</v>
      </c>
      <c r="DC59" s="284">
        <v>1272600.7901962532</v>
      </c>
      <c r="DD59" s="284">
        <v>1102977.3500000015</v>
      </c>
      <c r="DE59" s="284">
        <v>1220274.2899999998</v>
      </c>
      <c r="DF59" s="284">
        <v>1193740.6000000003</v>
      </c>
      <c r="DG59" s="284">
        <v>909120.85999999859</v>
      </c>
      <c r="DH59" s="284">
        <v>789163.22999999858</v>
      </c>
      <c r="DI59" s="284">
        <v>1629978.9399999995</v>
      </c>
      <c r="DJ59" s="284">
        <v>799250.65999999968</v>
      </c>
      <c r="DK59" s="284">
        <v>2039484.5799999998</v>
      </c>
      <c r="DL59" s="284">
        <v>1149431.1057368137</v>
      </c>
      <c r="DM59" s="284">
        <v>1217077.1197173651</v>
      </c>
      <c r="DN59" s="284">
        <v>1151329.8466726898</v>
      </c>
      <c r="DO59" s="284">
        <v>1052802.5394476885</v>
      </c>
      <c r="DP59" s="285">
        <v>14254631.121574556</v>
      </c>
      <c r="DQ59" s="291">
        <v>0</v>
      </c>
      <c r="DR59" s="284">
        <v>1304761.0001962532</v>
      </c>
      <c r="DS59" s="284">
        <v>1391486.2158812359</v>
      </c>
      <c r="DT59" s="284">
        <v>1214366.8256843744</v>
      </c>
      <c r="DU59" s="284">
        <v>1176863.5102453576</v>
      </c>
      <c r="DV59" s="284">
        <v>1208285.9696424259</v>
      </c>
      <c r="DW59" s="284">
        <v>1232931.2402469679</v>
      </c>
      <c r="DX59" s="284">
        <v>1300929.8715530783</v>
      </c>
      <c r="DY59" s="284">
        <v>1380739.8581025172</v>
      </c>
      <c r="DZ59" s="284">
        <v>1277134.4457772321</v>
      </c>
      <c r="EA59" s="284">
        <v>1420900.760824855</v>
      </c>
      <c r="EB59" s="284">
        <v>1476312.9112237461</v>
      </c>
      <c r="EC59" s="284">
        <v>1339451.7397948401</v>
      </c>
      <c r="ED59" s="284">
        <v>1150786.4311894176</v>
      </c>
      <c r="EE59" s="285">
        <v>15570189.780166049</v>
      </c>
      <c r="EF59" s="291">
        <v>0</v>
      </c>
      <c r="EG59" s="311">
        <v>1315558.6585914912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FEDF3-DFF3-4D78-8F92-FF3FC232AD16}">
  <sheetPr codeName="Planilha2">
    <tabColor theme="4" tint="-0.499984740745262"/>
    <pageSetUpPr autoPageBreaks="0"/>
  </sheetPr>
  <dimension ref="A1:EV89"/>
  <sheetViews>
    <sheetView showGridLines="0" topLeftCell="BI1" workbookViewId="0">
      <pane ySplit="8" topLeftCell="A12" activePane="bottomLeft" state="frozen"/>
      <selection activeCell="B21" sqref="B21"/>
      <selection pane="bottomLeft" activeCell="EH16" sqref="EH16"/>
    </sheetView>
  </sheetViews>
  <sheetFormatPr defaultRowHeight="15" outlineLevelCol="1"/>
  <cols>
    <col min="1" max="1" width="0.7109375" style="3" customWidth="1"/>
    <col min="2" max="2" width="43.7109375" customWidth="1"/>
    <col min="3" max="14" width="10.140625" hidden="1" customWidth="1" outlineLevel="1"/>
    <col min="15" max="15" width="12.28515625" customWidth="1" collapsed="1"/>
    <col min="16" max="16" width="1" customWidth="1"/>
    <col min="17" max="17" width="26.140625" hidden="1" customWidth="1"/>
    <col min="18" max="29" width="10.140625" hidden="1" customWidth="1" outlineLevel="1"/>
    <col min="30" max="30" width="12.28515625" customWidth="1" collapsed="1"/>
    <col min="31" max="31" width="1" customWidth="1"/>
    <col min="32" max="32" width="26.140625" hidden="1" customWidth="1"/>
    <col min="33" max="44" width="10.140625" hidden="1" customWidth="1" outlineLevel="1"/>
    <col min="45" max="45" width="12.28515625" customWidth="1" collapsed="1"/>
    <col min="46" max="46" width="1" customWidth="1"/>
    <col min="47" max="47" width="26.140625" hidden="1" customWidth="1"/>
    <col min="48" max="59" width="10.140625" hidden="1" customWidth="1" outlineLevel="1"/>
    <col min="60" max="60" width="12.28515625" customWidth="1" collapsed="1"/>
    <col min="61" max="61" width="1" customWidth="1"/>
    <col min="62" max="62" width="26.140625" hidden="1" customWidth="1"/>
    <col min="63" max="74" width="10.140625" hidden="1" customWidth="1" outlineLevel="1"/>
    <col min="75" max="75" width="12.28515625" customWidth="1" collapsed="1"/>
    <col min="76" max="76" width="1" customWidth="1"/>
    <col min="77" max="77" width="26.140625" hidden="1" customWidth="1"/>
    <col min="78" max="89" width="10.140625" hidden="1" customWidth="1" outlineLevel="1"/>
    <col min="90" max="90" width="12.28515625" customWidth="1" collapsed="1"/>
    <col min="91" max="91" width="1" customWidth="1"/>
    <col min="92" max="92" width="26.140625" hidden="1" customWidth="1"/>
    <col min="93" max="104" width="10.140625" hidden="1" customWidth="1" outlineLevel="1"/>
    <col min="105" max="105" width="12.28515625" customWidth="1" collapsed="1"/>
    <col min="106" max="106" width="1" customWidth="1"/>
    <col min="107" max="107" width="26.140625" hidden="1" customWidth="1"/>
    <col min="108" max="119" width="10.140625" hidden="1" customWidth="1" outlineLevel="1"/>
    <col min="120" max="120" width="12.28515625" customWidth="1" collapsed="1"/>
    <col min="121" max="121" width="1" customWidth="1"/>
    <col min="122" max="122" width="26.140625" hidden="1" customWidth="1"/>
    <col min="123" max="134" width="10.140625" hidden="1" customWidth="1" outlineLevel="1"/>
    <col min="135" max="135" width="12.28515625" customWidth="1" collapsed="1"/>
    <col min="136" max="136" width="1" customWidth="1"/>
    <col min="137" max="137" width="20.140625" bestFit="1" customWidth="1"/>
    <col min="138" max="138" width="9.28515625" customWidth="1"/>
    <col min="139" max="149" width="11.28515625" customWidth="1"/>
    <col min="150" max="150" width="12.28515625" customWidth="1"/>
    <col min="151" max="151" width="1" customWidth="1"/>
    <col min="152" max="152" width="20.140625" bestFit="1" customWidth="1"/>
    <col min="153" max="372" width="4.140625" bestFit="1" customWidth="1"/>
    <col min="373" max="535" width="5.7109375" bestFit="1" customWidth="1"/>
    <col min="536" max="609" width="6.7109375" bestFit="1" customWidth="1"/>
    <col min="610" max="634" width="7.85546875" bestFit="1" customWidth="1"/>
    <col min="635" max="638" width="9.42578125" bestFit="1" customWidth="1"/>
    <col min="639" max="640" width="10.42578125" bestFit="1" customWidth="1"/>
    <col min="641" max="641" width="10" bestFit="1" customWidth="1"/>
    <col min="642" max="644" width="7.42578125" bestFit="1" customWidth="1"/>
    <col min="645" max="647" width="4.85546875" bestFit="1" customWidth="1"/>
    <col min="648" max="649" width="3.85546875" bestFit="1" customWidth="1"/>
    <col min="650" max="650" width="2.7109375" bestFit="1" customWidth="1"/>
    <col min="651" max="680" width="2.140625" bestFit="1" customWidth="1"/>
    <col min="681" max="799" width="3.140625" bestFit="1" customWidth="1"/>
    <col min="800" max="1043" width="4.140625" bestFit="1" customWidth="1"/>
    <col min="1044" max="1208" width="5.7109375" bestFit="1" customWidth="1"/>
    <col min="1209" max="1277" width="6.7109375" bestFit="1" customWidth="1"/>
    <col min="1278" max="1303" width="7.85546875" bestFit="1" customWidth="1"/>
    <col min="1304" max="1309" width="9.42578125" bestFit="1" customWidth="1"/>
    <col min="1310" max="1311" width="10.42578125" bestFit="1" customWidth="1"/>
    <col min="1312" max="1312" width="10" bestFit="1" customWidth="1"/>
    <col min="1313" max="1313" width="7.42578125" bestFit="1" customWidth="1"/>
    <col min="1314" max="1316" width="6.42578125" bestFit="1" customWidth="1"/>
    <col min="1317" max="1318" width="4.85546875" bestFit="1" customWidth="1"/>
    <col min="1319" max="1319" width="3.85546875" bestFit="1" customWidth="1"/>
    <col min="1320" max="1320" width="2.7109375" bestFit="1" customWidth="1"/>
    <col min="1321" max="1332" width="2.140625" bestFit="1" customWidth="1"/>
    <col min="1333" max="1429" width="3.140625" bestFit="1" customWidth="1"/>
    <col min="1430" max="1604" width="4.140625" bestFit="1" customWidth="1"/>
    <col min="1605" max="1749" width="5.7109375" bestFit="1" customWidth="1"/>
    <col min="1750" max="1814" width="6.7109375" bestFit="1" customWidth="1"/>
    <col min="1815" max="1846" width="7.85546875" bestFit="1" customWidth="1"/>
    <col min="1847" max="1853" width="9.42578125" bestFit="1" customWidth="1"/>
    <col min="1854" max="1855" width="10.42578125" bestFit="1" customWidth="1"/>
    <col min="1856" max="1856" width="10" bestFit="1" customWidth="1"/>
    <col min="1857" max="1857" width="7.28515625" bestFit="1" customWidth="1"/>
    <col min="1858" max="1863" width="2.140625" bestFit="1" customWidth="1"/>
    <col min="1864" max="1930" width="3.140625" bestFit="1" customWidth="1"/>
    <col min="1931" max="2086" width="4.140625" bestFit="1" customWidth="1"/>
    <col min="2087" max="2217" width="5.7109375" bestFit="1" customWidth="1"/>
    <col min="2218" max="2281" width="6.7109375" bestFit="1" customWidth="1"/>
    <col min="2282" max="2318" width="7.85546875" bestFit="1" customWidth="1"/>
    <col min="2319" max="2326" width="9.42578125" bestFit="1" customWidth="1"/>
    <col min="2327" max="2328" width="10.42578125" bestFit="1" customWidth="1"/>
    <col min="2329" max="2329" width="10" bestFit="1" customWidth="1"/>
    <col min="2330" max="2330" width="10.7109375" bestFit="1" customWidth="1"/>
  </cols>
  <sheetData>
    <row r="1" spans="1:152" ht="4.5" customHeight="1" thickBot="1">
      <c r="C1" t="s">
        <v>52</v>
      </c>
    </row>
    <row r="2" spans="1:152" s="2" customFormat="1" ht="42" customHeight="1" thickTop="1" thickBot="1">
      <c r="A2" s="20"/>
      <c r="B2" s="1" t="str">
        <f>Geral!B2</f>
        <v>Planejamento Financeiro 2026 | ASSIST. TÉCNICA - LOGÍSTICA</v>
      </c>
      <c r="C2" s="1"/>
      <c r="Q2" s="1"/>
      <c r="R2" s="1"/>
      <c r="AE2" s="1"/>
      <c r="AG2" s="1"/>
      <c r="AV2" s="1"/>
      <c r="BK2" s="1"/>
      <c r="BZ2" s="1"/>
      <c r="CO2" s="1"/>
      <c r="DD2" s="1"/>
      <c r="DS2" s="1"/>
    </row>
    <row r="3" spans="1:152" ht="3.75" customHeight="1" thickTop="1"/>
    <row r="4" spans="1:152" ht="7.5" customHeight="1"/>
    <row r="5" spans="1:152" ht="15" hidden="1" customHeight="1">
      <c r="C5" s="11">
        <v>43101</v>
      </c>
      <c r="D5" s="11">
        <v>43132</v>
      </c>
      <c r="E5" s="11">
        <v>43160</v>
      </c>
      <c r="F5" s="11">
        <v>43191</v>
      </c>
      <c r="G5" s="11">
        <v>43221</v>
      </c>
      <c r="H5" s="11">
        <v>43252</v>
      </c>
      <c r="I5" s="11">
        <v>43282</v>
      </c>
      <c r="J5" s="11">
        <v>43313</v>
      </c>
      <c r="K5" s="11">
        <v>43344</v>
      </c>
      <c r="L5" s="11">
        <v>43374</v>
      </c>
      <c r="M5" s="11">
        <v>43405</v>
      </c>
      <c r="N5" s="11">
        <v>43435</v>
      </c>
      <c r="O5" s="11">
        <v>2018</v>
      </c>
      <c r="P5" s="21" t="str">
        <f>"% "&amp;MID(O5,3,10)</f>
        <v>% 18</v>
      </c>
      <c r="Q5" s="11"/>
      <c r="R5" s="11">
        <v>43466</v>
      </c>
      <c r="S5" s="11">
        <v>43497</v>
      </c>
      <c r="T5" s="11">
        <v>43525</v>
      </c>
      <c r="U5" s="11">
        <v>43556</v>
      </c>
      <c r="V5" s="11">
        <v>43586</v>
      </c>
      <c r="W5" s="11">
        <v>43617</v>
      </c>
      <c r="X5" s="11">
        <v>43647</v>
      </c>
      <c r="Y5" s="11">
        <v>43678</v>
      </c>
      <c r="Z5" s="11">
        <v>43709</v>
      </c>
      <c r="AA5" s="11">
        <v>43739</v>
      </c>
      <c r="AB5" s="11">
        <v>43770</v>
      </c>
      <c r="AC5" s="11">
        <v>43800</v>
      </c>
      <c r="AD5" s="11">
        <v>2019</v>
      </c>
      <c r="AE5" s="11" t="str">
        <f>"% "&amp;MID(AD5,3,10)</f>
        <v>% 19</v>
      </c>
      <c r="AF5" s="11"/>
      <c r="AG5" s="11">
        <v>43831</v>
      </c>
      <c r="AH5" s="11">
        <v>43862</v>
      </c>
      <c r="AI5" s="11">
        <v>43891</v>
      </c>
      <c r="AJ5" s="11">
        <v>43922</v>
      </c>
      <c r="AK5" s="11">
        <v>43952</v>
      </c>
      <c r="AL5" s="11">
        <v>43983</v>
      </c>
      <c r="AM5" s="11">
        <v>44013</v>
      </c>
      <c r="AN5" s="11">
        <v>44044</v>
      </c>
      <c r="AO5" s="11">
        <v>44075</v>
      </c>
      <c r="AP5" s="11">
        <v>44105</v>
      </c>
      <c r="AQ5" s="11">
        <v>44136</v>
      </c>
      <c r="AR5" s="11">
        <v>44166</v>
      </c>
      <c r="AS5" s="11">
        <v>2020</v>
      </c>
      <c r="AT5" s="11" t="str">
        <f>"% "&amp;MID(AS5,3,10)</f>
        <v>% 20</v>
      </c>
      <c r="AU5" s="11"/>
      <c r="AV5" s="11">
        <v>44197</v>
      </c>
      <c r="AW5" s="11">
        <v>44228</v>
      </c>
      <c r="AX5" s="11">
        <v>44256</v>
      </c>
      <c r="AY5" s="11">
        <v>44287</v>
      </c>
      <c r="AZ5" s="11">
        <v>44317</v>
      </c>
      <c r="BA5" s="11">
        <v>44348</v>
      </c>
      <c r="BB5" s="11">
        <v>44378</v>
      </c>
      <c r="BC5" s="11">
        <v>44409</v>
      </c>
      <c r="BD5" s="11">
        <v>44440</v>
      </c>
      <c r="BE5" s="11">
        <v>44470</v>
      </c>
      <c r="BF5" s="11">
        <v>44501</v>
      </c>
      <c r="BG5" s="11">
        <v>44531</v>
      </c>
      <c r="BH5" s="11">
        <v>2021</v>
      </c>
      <c r="BI5" s="11" t="str">
        <f>"% "&amp;MID(BH5,3,10)</f>
        <v>% 21</v>
      </c>
      <c r="BJ5" s="11"/>
      <c r="BK5" s="11">
        <v>44562</v>
      </c>
      <c r="BL5" s="11">
        <v>44593</v>
      </c>
      <c r="BM5" s="11">
        <v>44621</v>
      </c>
      <c r="BN5" s="11">
        <v>44652</v>
      </c>
      <c r="BO5" s="11">
        <v>44682</v>
      </c>
      <c r="BP5" s="11">
        <v>44713</v>
      </c>
      <c r="BQ5" s="11">
        <v>44743</v>
      </c>
      <c r="BR5" s="11">
        <v>44774</v>
      </c>
      <c r="BS5" s="11">
        <v>44805</v>
      </c>
      <c r="BT5" s="11">
        <v>44835</v>
      </c>
      <c r="BU5" s="11">
        <v>44866</v>
      </c>
      <c r="BV5" s="11">
        <v>44896</v>
      </c>
      <c r="BW5" s="11">
        <v>2022</v>
      </c>
      <c r="BX5" s="11" t="str">
        <f>"% "&amp;MID(BW5,3,10)</f>
        <v>% 22</v>
      </c>
      <c r="BY5" s="11"/>
      <c r="BZ5" s="11">
        <v>44927</v>
      </c>
      <c r="CA5" s="11">
        <v>44958</v>
      </c>
      <c r="CB5" s="11">
        <v>44986</v>
      </c>
      <c r="CC5" s="11">
        <v>45017</v>
      </c>
      <c r="CD5" s="11">
        <v>45047</v>
      </c>
      <c r="CE5" s="11">
        <v>45078</v>
      </c>
      <c r="CF5" s="11">
        <v>45108</v>
      </c>
      <c r="CG5" s="11">
        <v>45139</v>
      </c>
      <c r="CH5" s="11">
        <v>45170</v>
      </c>
      <c r="CI5" s="11">
        <v>45200</v>
      </c>
      <c r="CJ5" s="11">
        <v>45231</v>
      </c>
      <c r="CK5" s="11">
        <v>45261</v>
      </c>
      <c r="CL5" s="11">
        <v>2023</v>
      </c>
      <c r="CM5" s="11" t="str">
        <f>"% "&amp;MID(CL5,3,10)</f>
        <v>% 23</v>
      </c>
      <c r="CN5" s="11"/>
      <c r="CO5" s="11">
        <v>44562</v>
      </c>
      <c r="CP5" s="11">
        <v>44593</v>
      </c>
      <c r="CQ5" s="11">
        <v>44621</v>
      </c>
      <c r="CR5" s="11">
        <v>44652</v>
      </c>
      <c r="CS5" s="11">
        <v>44682</v>
      </c>
      <c r="CT5" s="11">
        <v>44713</v>
      </c>
      <c r="CU5" s="11">
        <v>44743</v>
      </c>
      <c r="CV5" s="11">
        <v>44774</v>
      </c>
      <c r="CW5" s="11">
        <v>44805</v>
      </c>
      <c r="CX5" s="11">
        <v>44835</v>
      </c>
      <c r="CY5" s="11">
        <v>44866</v>
      </c>
      <c r="CZ5" s="11">
        <v>44896</v>
      </c>
      <c r="DA5" s="11" t="s">
        <v>74</v>
      </c>
      <c r="DB5" s="11" t="str">
        <f>"% "&amp;MID(DA5,3,10)</f>
        <v>% 22 YTD</v>
      </c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T5" s="11"/>
    </row>
    <row r="6" spans="1:152" hidden="1">
      <c r="B6" s="279"/>
      <c r="C6" s="280" t="s">
        <v>55</v>
      </c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305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305"/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279"/>
      <c r="AS6" s="279"/>
      <c r="AT6" s="279"/>
      <c r="AU6" s="305"/>
      <c r="AV6" s="279"/>
      <c r="AW6" s="279"/>
      <c r="AX6" s="279"/>
      <c r="AY6" s="279"/>
      <c r="AZ6" s="279"/>
      <c r="BA6" s="279"/>
      <c r="BB6" s="279"/>
      <c r="BC6" s="279"/>
      <c r="BD6" s="279"/>
      <c r="BE6" s="279"/>
      <c r="BF6" s="279"/>
      <c r="BG6" s="279"/>
      <c r="BH6" s="279"/>
      <c r="BI6" s="279"/>
      <c r="BJ6" s="305"/>
      <c r="BK6" s="279"/>
      <c r="BL6" s="279"/>
      <c r="BM6" s="279"/>
      <c r="BN6" s="279"/>
      <c r="BO6" s="279"/>
      <c r="BP6" s="279"/>
      <c r="BQ6" s="279"/>
      <c r="BR6" s="279"/>
      <c r="BS6" s="279"/>
      <c r="BT6" s="279"/>
      <c r="BU6" s="279"/>
      <c r="BV6" s="279"/>
      <c r="BW6" s="279"/>
      <c r="BX6" s="279"/>
      <c r="BY6" s="305"/>
      <c r="BZ6" s="279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305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279"/>
      <c r="CZ6" s="279"/>
      <c r="DA6" s="279"/>
      <c r="DB6" s="279"/>
      <c r="DC6" s="279"/>
      <c r="DD6" s="279"/>
      <c r="DE6" s="279"/>
      <c r="DF6" s="279"/>
      <c r="DG6" s="279"/>
      <c r="DH6" s="279"/>
      <c r="DI6" s="279"/>
      <c r="DJ6" s="279"/>
      <c r="DK6" s="279"/>
      <c r="DL6" s="279"/>
      <c r="DM6" s="279"/>
      <c r="DN6" s="279"/>
      <c r="DO6" s="279"/>
      <c r="DP6" s="279"/>
      <c r="DQ6" s="279"/>
      <c r="DR6" s="279"/>
      <c r="DS6" s="279"/>
      <c r="DT6" s="279"/>
      <c r="DU6" s="279"/>
      <c r="DV6" s="279"/>
      <c r="DW6" s="279"/>
      <c r="DX6" s="279"/>
      <c r="DY6" s="279"/>
      <c r="DZ6" s="279"/>
      <c r="EA6" s="279"/>
      <c r="EB6" s="279"/>
      <c r="EC6" s="279"/>
      <c r="ED6" s="279"/>
      <c r="EE6" s="279"/>
      <c r="EF6" s="279"/>
      <c r="EG6" s="279"/>
    </row>
    <row r="7" spans="1:152" s="34" customFormat="1">
      <c r="A7" s="33"/>
      <c r="B7" s="279"/>
      <c r="C7" s="281">
        <v>2018</v>
      </c>
      <c r="D7" s="281">
        <v>2018</v>
      </c>
      <c r="E7" s="281">
        <v>2018</v>
      </c>
      <c r="F7" s="281">
        <v>2018</v>
      </c>
      <c r="G7" s="281">
        <v>2018</v>
      </c>
      <c r="H7" s="281">
        <v>2018</v>
      </c>
      <c r="I7" s="281">
        <v>2018</v>
      </c>
      <c r="J7" s="281">
        <v>2018</v>
      </c>
      <c r="K7" s="281">
        <v>2018</v>
      </c>
      <c r="L7" s="281">
        <v>2018</v>
      </c>
      <c r="M7" s="281">
        <v>2018</v>
      </c>
      <c r="N7" s="281">
        <v>2018</v>
      </c>
      <c r="O7" s="281">
        <v>2018</v>
      </c>
      <c r="P7" s="289">
        <v>2018</v>
      </c>
      <c r="Q7" s="281">
        <v>2018</v>
      </c>
      <c r="R7" s="281">
        <v>2019</v>
      </c>
      <c r="S7" s="281">
        <v>2019</v>
      </c>
      <c r="T7" s="281">
        <v>2019</v>
      </c>
      <c r="U7" s="281">
        <v>2019</v>
      </c>
      <c r="V7" s="281">
        <v>2019</v>
      </c>
      <c r="W7" s="281">
        <v>2019</v>
      </c>
      <c r="X7" s="281">
        <v>2019</v>
      </c>
      <c r="Y7" s="281">
        <v>2019</v>
      </c>
      <c r="Z7" s="281">
        <v>2019</v>
      </c>
      <c r="AA7" s="281">
        <v>2019</v>
      </c>
      <c r="AB7" s="281">
        <v>2019</v>
      </c>
      <c r="AC7" s="281">
        <v>2019</v>
      </c>
      <c r="AD7" s="281">
        <v>2019</v>
      </c>
      <c r="AE7" s="289">
        <v>2019</v>
      </c>
      <c r="AF7" s="289">
        <v>2019</v>
      </c>
      <c r="AG7" s="281">
        <v>2020</v>
      </c>
      <c r="AH7" s="281">
        <v>2020</v>
      </c>
      <c r="AI7" s="281">
        <v>2020</v>
      </c>
      <c r="AJ7" s="281">
        <v>2020</v>
      </c>
      <c r="AK7" s="281">
        <v>2020</v>
      </c>
      <c r="AL7" s="281">
        <v>2020</v>
      </c>
      <c r="AM7" s="281">
        <v>2020</v>
      </c>
      <c r="AN7" s="281">
        <v>2020</v>
      </c>
      <c r="AO7" s="281">
        <v>2020</v>
      </c>
      <c r="AP7" s="281">
        <v>2020</v>
      </c>
      <c r="AQ7" s="281">
        <v>2020</v>
      </c>
      <c r="AR7" s="281">
        <v>2020</v>
      </c>
      <c r="AS7" s="281">
        <v>2020</v>
      </c>
      <c r="AT7" s="289">
        <v>2020</v>
      </c>
      <c r="AU7" s="289">
        <v>2020</v>
      </c>
      <c r="AV7" s="281">
        <v>2021</v>
      </c>
      <c r="AW7" s="281">
        <v>2021</v>
      </c>
      <c r="AX7" s="281">
        <v>2021</v>
      </c>
      <c r="AY7" s="281">
        <v>2021</v>
      </c>
      <c r="AZ7" s="281">
        <v>2021</v>
      </c>
      <c r="BA7" s="281">
        <v>2021</v>
      </c>
      <c r="BB7" s="281">
        <v>2021</v>
      </c>
      <c r="BC7" s="281">
        <v>2021</v>
      </c>
      <c r="BD7" s="281">
        <v>2021</v>
      </c>
      <c r="BE7" s="281">
        <v>2021</v>
      </c>
      <c r="BF7" s="281">
        <v>2021</v>
      </c>
      <c r="BG7" s="281">
        <v>2021</v>
      </c>
      <c r="BH7" s="281">
        <v>2021</v>
      </c>
      <c r="BI7" s="289">
        <v>2021</v>
      </c>
      <c r="BJ7" s="289">
        <v>2021</v>
      </c>
      <c r="BK7" s="281">
        <v>2022</v>
      </c>
      <c r="BL7" s="281">
        <v>2022</v>
      </c>
      <c r="BM7" s="281">
        <v>2022</v>
      </c>
      <c r="BN7" s="281">
        <v>2022</v>
      </c>
      <c r="BO7" s="281">
        <v>2022</v>
      </c>
      <c r="BP7" s="281">
        <v>2022</v>
      </c>
      <c r="BQ7" s="281">
        <v>2022</v>
      </c>
      <c r="BR7" s="281">
        <v>2022</v>
      </c>
      <c r="BS7" s="281">
        <v>2022</v>
      </c>
      <c r="BT7" s="281">
        <v>2022</v>
      </c>
      <c r="BU7" s="281">
        <v>2022</v>
      </c>
      <c r="BV7" s="281">
        <v>2022</v>
      </c>
      <c r="BW7" s="281">
        <v>2022</v>
      </c>
      <c r="BX7" s="289">
        <v>2022</v>
      </c>
      <c r="BY7" s="292">
        <v>2022</v>
      </c>
      <c r="BZ7" s="281">
        <v>2023</v>
      </c>
      <c r="CA7" s="281">
        <v>2023</v>
      </c>
      <c r="CB7" s="281">
        <v>2023</v>
      </c>
      <c r="CC7" s="281">
        <v>2023</v>
      </c>
      <c r="CD7" s="281">
        <v>2023</v>
      </c>
      <c r="CE7" s="281">
        <v>2023</v>
      </c>
      <c r="CF7" s="281">
        <v>2023</v>
      </c>
      <c r="CG7" s="281">
        <v>2023</v>
      </c>
      <c r="CH7" s="281">
        <v>2023</v>
      </c>
      <c r="CI7" s="281">
        <v>2023</v>
      </c>
      <c r="CJ7" s="281">
        <v>2023</v>
      </c>
      <c r="CK7" s="281">
        <v>2023</v>
      </c>
      <c r="CL7" s="281">
        <v>2023</v>
      </c>
      <c r="CM7" s="289">
        <v>2023</v>
      </c>
      <c r="CN7" s="289">
        <v>2023</v>
      </c>
      <c r="CO7" s="281">
        <v>2024</v>
      </c>
      <c r="CP7" s="281">
        <v>2024</v>
      </c>
      <c r="CQ7" s="281">
        <v>2024</v>
      </c>
      <c r="CR7" s="281">
        <v>2024</v>
      </c>
      <c r="CS7" s="281">
        <v>2024</v>
      </c>
      <c r="CT7" s="281">
        <v>2024</v>
      </c>
      <c r="CU7" s="281">
        <v>2024</v>
      </c>
      <c r="CV7" s="281">
        <v>2024</v>
      </c>
      <c r="CW7" s="281">
        <v>2024</v>
      </c>
      <c r="CX7" s="281">
        <v>2024</v>
      </c>
      <c r="CY7" s="281">
        <v>2024</v>
      </c>
      <c r="CZ7" s="281">
        <v>2024</v>
      </c>
      <c r="DA7" s="281">
        <v>2024</v>
      </c>
      <c r="DB7" s="289">
        <v>2024</v>
      </c>
      <c r="DC7" s="289">
        <v>2024</v>
      </c>
      <c r="DD7" s="281">
        <v>2025</v>
      </c>
      <c r="DE7" s="281">
        <v>2025</v>
      </c>
      <c r="DF7" s="281">
        <v>2025</v>
      </c>
      <c r="DG7" s="281">
        <v>2025</v>
      </c>
      <c r="DH7" s="281">
        <v>2025</v>
      </c>
      <c r="DI7" s="281">
        <v>2025</v>
      </c>
      <c r="DJ7" s="281">
        <v>2025</v>
      </c>
      <c r="DK7" s="281">
        <v>2025</v>
      </c>
      <c r="DL7" s="281">
        <v>2025</v>
      </c>
      <c r="DM7" s="281">
        <v>2025</v>
      </c>
      <c r="DN7" s="281">
        <v>2025</v>
      </c>
      <c r="DO7" s="281">
        <v>2025</v>
      </c>
      <c r="DP7" s="281">
        <v>2025</v>
      </c>
      <c r="DQ7" s="289">
        <v>2025</v>
      </c>
      <c r="DR7" s="289">
        <v>2025</v>
      </c>
      <c r="DS7" s="281" t="s">
        <v>103</v>
      </c>
      <c r="DT7" s="281" t="s">
        <v>103</v>
      </c>
      <c r="DU7" s="281" t="s">
        <v>103</v>
      </c>
      <c r="DV7" s="281" t="s">
        <v>103</v>
      </c>
      <c r="DW7" s="281" t="s">
        <v>103</v>
      </c>
      <c r="DX7" s="281" t="s">
        <v>103</v>
      </c>
      <c r="DY7" s="281" t="s">
        <v>103</v>
      </c>
      <c r="DZ7" s="281" t="s">
        <v>103</v>
      </c>
      <c r="EA7" s="281" t="s">
        <v>103</v>
      </c>
      <c r="EB7" s="281" t="s">
        <v>103</v>
      </c>
      <c r="EC7" s="281" t="s">
        <v>103</v>
      </c>
      <c r="ED7" s="281" t="s">
        <v>103</v>
      </c>
      <c r="EE7" s="281" t="s">
        <v>103</v>
      </c>
      <c r="EF7" s="289" t="s">
        <v>103</v>
      </c>
      <c r="EG7" s="289" t="s">
        <v>103</v>
      </c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</row>
    <row r="8" spans="1:152" s="32" customFormat="1">
      <c r="A8" s="31"/>
      <c r="B8" s="313" t="s">
        <v>72</v>
      </c>
      <c r="C8" s="279" t="s">
        <v>56</v>
      </c>
      <c r="D8" s="279" t="s">
        <v>57</v>
      </c>
      <c r="E8" s="279" t="s">
        <v>58</v>
      </c>
      <c r="F8" s="279" t="s">
        <v>59</v>
      </c>
      <c r="G8" s="279" t="s">
        <v>60</v>
      </c>
      <c r="H8" s="279" t="s">
        <v>61</v>
      </c>
      <c r="I8" s="279" t="s">
        <v>62</v>
      </c>
      <c r="J8" s="279" t="s">
        <v>63</v>
      </c>
      <c r="K8" s="279" t="s">
        <v>64</v>
      </c>
      <c r="L8" s="279" t="s">
        <v>65</v>
      </c>
      <c r="M8" s="279" t="s">
        <v>66</v>
      </c>
      <c r="N8" s="279" t="s">
        <v>67</v>
      </c>
      <c r="O8" s="282" t="s">
        <v>68</v>
      </c>
      <c r="P8" s="291" t="s">
        <v>52</v>
      </c>
      <c r="Q8" s="279" t="s">
        <v>313</v>
      </c>
      <c r="R8" s="290" t="s">
        <v>56</v>
      </c>
      <c r="S8" s="290" t="s">
        <v>57</v>
      </c>
      <c r="T8" s="290" t="s">
        <v>58</v>
      </c>
      <c r="U8" s="290" t="s">
        <v>59</v>
      </c>
      <c r="V8" s="290" t="s">
        <v>60</v>
      </c>
      <c r="W8" s="290" t="s">
        <v>61</v>
      </c>
      <c r="X8" s="290" t="s">
        <v>62</v>
      </c>
      <c r="Y8" s="290" t="s">
        <v>63</v>
      </c>
      <c r="Z8" s="290" t="s">
        <v>64</v>
      </c>
      <c r="AA8" s="290" t="s">
        <v>65</v>
      </c>
      <c r="AB8" s="290" t="s">
        <v>66</v>
      </c>
      <c r="AC8" s="290" t="s">
        <v>67</v>
      </c>
      <c r="AD8" s="294" t="s">
        <v>68</v>
      </c>
      <c r="AE8" s="293" t="s">
        <v>52</v>
      </c>
      <c r="AF8" s="279" t="s">
        <v>313</v>
      </c>
      <c r="AG8" s="290" t="s">
        <v>56</v>
      </c>
      <c r="AH8" s="290" t="s">
        <v>57</v>
      </c>
      <c r="AI8" s="290" t="s">
        <v>58</v>
      </c>
      <c r="AJ8" s="290" t="s">
        <v>59</v>
      </c>
      <c r="AK8" s="290" t="s">
        <v>60</v>
      </c>
      <c r="AL8" s="290" t="s">
        <v>61</v>
      </c>
      <c r="AM8" s="290" t="s">
        <v>62</v>
      </c>
      <c r="AN8" s="290" t="s">
        <v>63</v>
      </c>
      <c r="AO8" s="290" t="s">
        <v>64</v>
      </c>
      <c r="AP8" s="290" t="s">
        <v>65</v>
      </c>
      <c r="AQ8" s="290" t="s">
        <v>66</v>
      </c>
      <c r="AR8" s="290" t="s">
        <v>67</v>
      </c>
      <c r="AS8" s="294" t="s">
        <v>68</v>
      </c>
      <c r="AT8" s="293" t="s">
        <v>52</v>
      </c>
      <c r="AU8" s="279" t="s">
        <v>313</v>
      </c>
      <c r="AV8" s="290" t="s">
        <v>56</v>
      </c>
      <c r="AW8" s="290" t="s">
        <v>57</v>
      </c>
      <c r="AX8" s="290" t="s">
        <v>58</v>
      </c>
      <c r="AY8" s="290" t="s">
        <v>59</v>
      </c>
      <c r="AZ8" s="290" t="s">
        <v>60</v>
      </c>
      <c r="BA8" s="290" t="s">
        <v>61</v>
      </c>
      <c r="BB8" s="290" t="s">
        <v>62</v>
      </c>
      <c r="BC8" s="290" t="s">
        <v>63</v>
      </c>
      <c r="BD8" s="290" t="s">
        <v>64</v>
      </c>
      <c r="BE8" s="290" t="s">
        <v>65</v>
      </c>
      <c r="BF8" s="290" t="s">
        <v>66</v>
      </c>
      <c r="BG8" s="290" t="s">
        <v>67</v>
      </c>
      <c r="BH8" s="294" t="s">
        <v>68</v>
      </c>
      <c r="BI8" s="293" t="s">
        <v>52</v>
      </c>
      <c r="BJ8" s="279" t="s">
        <v>313</v>
      </c>
      <c r="BK8" s="290" t="s">
        <v>56</v>
      </c>
      <c r="BL8" s="290" t="s">
        <v>57</v>
      </c>
      <c r="BM8" s="290" t="s">
        <v>58</v>
      </c>
      <c r="BN8" s="290" t="s">
        <v>59</v>
      </c>
      <c r="BO8" s="290" t="s">
        <v>60</v>
      </c>
      <c r="BP8" s="290" t="s">
        <v>61</v>
      </c>
      <c r="BQ8" s="290" t="s">
        <v>62</v>
      </c>
      <c r="BR8" s="290" t="s">
        <v>63</v>
      </c>
      <c r="BS8" s="290" t="s">
        <v>64</v>
      </c>
      <c r="BT8" s="290" t="s">
        <v>65</v>
      </c>
      <c r="BU8" s="290" t="s">
        <v>66</v>
      </c>
      <c r="BV8" s="290" t="s">
        <v>67</v>
      </c>
      <c r="BW8" s="294" t="s">
        <v>68</v>
      </c>
      <c r="BX8" s="293" t="s">
        <v>52</v>
      </c>
      <c r="BY8" s="279" t="s">
        <v>313</v>
      </c>
      <c r="BZ8" s="290" t="s">
        <v>56</v>
      </c>
      <c r="CA8" s="290" t="s">
        <v>57</v>
      </c>
      <c r="CB8" s="290" t="s">
        <v>58</v>
      </c>
      <c r="CC8" s="290" t="s">
        <v>59</v>
      </c>
      <c r="CD8" s="290" t="s">
        <v>60</v>
      </c>
      <c r="CE8" s="290" t="s">
        <v>61</v>
      </c>
      <c r="CF8" s="290" t="s">
        <v>62</v>
      </c>
      <c r="CG8" s="290" t="s">
        <v>63</v>
      </c>
      <c r="CH8" s="290" t="s">
        <v>64</v>
      </c>
      <c r="CI8" s="290" t="s">
        <v>65</v>
      </c>
      <c r="CJ8" s="290" t="s">
        <v>66</v>
      </c>
      <c r="CK8" s="290" t="s">
        <v>67</v>
      </c>
      <c r="CL8" s="294" t="s">
        <v>68</v>
      </c>
      <c r="CM8" s="314" t="s">
        <v>52</v>
      </c>
      <c r="CN8" s="279" t="s">
        <v>313</v>
      </c>
      <c r="CO8" s="315" t="s">
        <v>56</v>
      </c>
      <c r="CP8" s="315" t="s">
        <v>57</v>
      </c>
      <c r="CQ8" s="315" t="s">
        <v>58</v>
      </c>
      <c r="CR8" s="315" t="s">
        <v>59</v>
      </c>
      <c r="CS8" s="315" t="s">
        <v>60</v>
      </c>
      <c r="CT8" s="315" t="s">
        <v>61</v>
      </c>
      <c r="CU8" s="315" t="s">
        <v>62</v>
      </c>
      <c r="CV8" s="315" t="s">
        <v>63</v>
      </c>
      <c r="CW8" s="315" t="s">
        <v>64</v>
      </c>
      <c r="CX8" s="315" t="s">
        <v>65</v>
      </c>
      <c r="CY8" s="315" t="s">
        <v>66</v>
      </c>
      <c r="CZ8" s="315" t="s">
        <v>67</v>
      </c>
      <c r="DA8" s="316" t="s">
        <v>68</v>
      </c>
      <c r="DB8" s="314" t="s">
        <v>52</v>
      </c>
      <c r="DC8" s="279" t="s">
        <v>313</v>
      </c>
      <c r="DD8" s="279" t="s">
        <v>56</v>
      </c>
      <c r="DE8" s="279" t="s">
        <v>57</v>
      </c>
      <c r="DF8" s="279" t="s">
        <v>58</v>
      </c>
      <c r="DG8" s="279" t="s">
        <v>59</v>
      </c>
      <c r="DH8" s="279" t="s">
        <v>60</v>
      </c>
      <c r="DI8" s="279" t="s">
        <v>61</v>
      </c>
      <c r="DJ8" s="279" t="s">
        <v>62</v>
      </c>
      <c r="DK8" s="279" t="s">
        <v>63</v>
      </c>
      <c r="DL8" s="279" t="s">
        <v>64</v>
      </c>
      <c r="DM8" s="279" t="s">
        <v>65</v>
      </c>
      <c r="DN8" s="279" t="s">
        <v>66</v>
      </c>
      <c r="DO8" s="279" t="s">
        <v>67</v>
      </c>
      <c r="DP8" s="282" t="s">
        <v>68</v>
      </c>
      <c r="DQ8" s="291" t="s">
        <v>52</v>
      </c>
      <c r="DR8" s="279" t="s">
        <v>313</v>
      </c>
      <c r="DS8" s="279" t="s">
        <v>56</v>
      </c>
      <c r="DT8" s="279" t="s">
        <v>57</v>
      </c>
      <c r="DU8" s="279" t="s">
        <v>58</v>
      </c>
      <c r="DV8" s="279" t="s">
        <v>59</v>
      </c>
      <c r="DW8" s="279" t="s">
        <v>60</v>
      </c>
      <c r="DX8" s="279" t="s">
        <v>61</v>
      </c>
      <c r="DY8" s="279" t="s">
        <v>62</v>
      </c>
      <c r="DZ8" s="279" t="s">
        <v>63</v>
      </c>
      <c r="EA8" s="279" t="s">
        <v>64</v>
      </c>
      <c r="EB8" s="279" t="s">
        <v>65</v>
      </c>
      <c r="EC8" s="279" t="s">
        <v>66</v>
      </c>
      <c r="ED8" s="279" t="s">
        <v>67</v>
      </c>
      <c r="EE8" s="282" t="s">
        <v>68</v>
      </c>
      <c r="EF8" s="291" t="s">
        <v>52</v>
      </c>
      <c r="EG8" s="279" t="s">
        <v>313</v>
      </c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</row>
    <row r="9" spans="1:152">
      <c r="B9" s="297" t="s">
        <v>1</v>
      </c>
      <c r="C9" s="298">
        <v>-172709.37000000002</v>
      </c>
      <c r="D9" s="298">
        <v>328986.87000000017</v>
      </c>
      <c r="E9" s="298">
        <v>445259.00999999995</v>
      </c>
      <c r="F9" s="298">
        <v>465769.72000000015</v>
      </c>
      <c r="G9" s="298">
        <v>459303.72999999992</v>
      </c>
      <c r="H9" s="298">
        <v>502720.15</v>
      </c>
      <c r="I9" s="298">
        <v>597911.16999999993</v>
      </c>
      <c r="J9" s="298">
        <v>437942.76000000013</v>
      </c>
      <c r="K9" s="298">
        <v>1349477.1499999992</v>
      </c>
      <c r="L9" s="298">
        <v>-391153.61000000016</v>
      </c>
      <c r="M9" s="298">
        <v>520917.05999999988</v>
      </c>
      <c r="N9" s="298">
        <v>483339.54999999981</v>
      </c>
      <c r="O9" s="299">
        <v>5027764.1900000004</v>
      </c>
      <c r="P9" s="291">
        <v>0</v>
      </c>
      <c r="Q9" s="298">
        <v>1277922.9101962531</v>
      </c>
      <c r="R9" s="298">
        <v>353778.92000000004</v>
      </c>
      <c r="S9" s="298">
        <v>617737.95000000019</v>
      </c>
      <c r="T9" s="298">
        <v>700682.66</v>
      </c>
      <c r="U9" s="298">
        <v>647173.56999999995</v>
      </c>
      <c r="V9" s="298">
        <v>769794.47000000009</v>
      </c>
      <c r="W9" s="298">
        <v>735600.89999999991</v>
      </c>
      <c r="X9" s="298">
        <v>1344289.4200000002</v>
      </c>
      <c r="Y9" s="298">
        <v>741516.80999999994</v>
      </c>
      <c r="Z9" s="298">
        <v>363169.73000000056</v>
      </c>
      <c r="AA9" s="298">
        <v>940781.89</v>
      </c>
      <c r="AB9" s="298">
        <v>824238.04000000015</v>
      </c>
      <c r="AC9" s="298">
        <v>1024472.1099999998</v>
      </c>
      <c r="AD9" s="299">
        <v>9063236.4700000025</v>
      </c>
      <c r="AE9" s="291">
        <v>0</v>
      </c>
      <c r="AF9" s="298">
        <v>1273164.290196253</v>
      </c>
      <c r="AG9" s="298">
        <v>54873.26000000006</v>
      </c>
      <c r="AH9" s="298">
        <v>572007.09999999963</v>
      </c>
      <c r="AI9" s="298">
        <v>644682.91999999911</v>
      </c>
      <c r="AJ9" s="298">
        <v>464091.05999999976</v>
      </c>
      <c r="AK9" s="298">
        <v>439219.01000000024</v>
      </c>
      <c r="AL9" s="298">
        <v>489749.00000000006</v>
      </c>
      <c r="AM9" s="298">
        <v>710859.65999999957</v>
      </c>
      <c r="AN9" s="298">
        <v>738038.01</v>
      </c>
      <c r="AO9" s="298">
        <v>691410.45000000007</v>
      </c>
      <c r="AP9" s="298">
        <v>787081.43999999983</v>
      </c>
      <c r="AQ9" s="298">
        <v>790296.05999999982</v>
      </c>
      <c r="AR9" s="298">
        <v>611314.88</v>
      </c>
      <c r="AS9" s="299">
        <v>6993622.8499999978</v>
      </c>
      <c r="AT9" s="291">
        <v>0</v>
      </c>
      <c r="AU9" s="298">
        <v>1134243.510196253</v>
      </c>
      <c r="AV9" s="298">
        <v>785715.06000000017</v>
      </c>
      <c r="AW9" s="298">
        <v>691434.94999999984</v>
      </c>
      <c r="AX9" s="298">
        <v>830625.90000000026</v>
      </c>
      <c r="AY9" s="298">
        <v>950577.60999999952</v>
      </c>
      <c r="AZ9" s="298">
        <v>980059.21999999986</v>
      </c>
      <c r="BA9" s="298">
        <v>719365.72000000032</v>
      </c>
      <c r="BB9" s="298">
        <v>832356.4</v>
      </c>
      <c r="BC9" s="298">
        <v>1016010.1099999996</v>
      </c>
      <c r="BD9" s="298">
        <v>885374.73999999964</v>
      </c>
      <c r="BE9" s="298">
        <v>939528.72000000032</v>
      </c>
      <c r="BF9" s="298">
        <v>1067742.27</v>
      </c>
      <c r="BG9" s="298">
        <v>1476275.8099999994</v>
      </c>
      <c r="BH9" s="299">
        <v>11175066.509999998</v>
      </c>
      <c r="BI9" s="291">
        <v>0</v>
      </c>
      <c r="BJ9" s="298">
        <v>1272849.050196253</v>
      </c>
      <c r="BK9" s="298">
        <v>891374.36999999953</v>
      </c>
      <c r="BL9" s="298">
        <v>22993.019999999789</v>
      </c>
      <c r="BM9" s="298">
        <v>1032389.9600000001</v>
      </c>
      <c r="BN9" s="298">
        <v>884894.69000000041</v>
      </c>
      <c r="BO9" s="298">
        <v>978961.78999999957</v>
      </c>
      <c r="BP9" s="298">
        <v>1048815.6599999999</v>
      </c>
      <c r="BQ9" s="298">
        <v>823023.54999999958</v>
      </c>
      <c r="BR9" s="298">
        <v>1377270</v>
      </c>
      <c r="BS9" s="298">
        <v>529551.99999999942</v>
      </c>
      <c r="BT9" s="298">
        <v>1361824.0100000002</v>
      </c>
      <c r="BU9" s="298">
        <v>924637.65999999922</v>
      </c>
      <c r="BV9" s="298">
        <v>734976.91000000411</v>
      </c>
      <c r="BW9" s="299">
        <v>10610713.620000005</v>
      </c>
      <c r="BX9" s="291">
        <v>0</v>
      </c>
      <c r="BY9" s="298">
        <v>1255777.7401962499</v>
      </c>
      <c r="BZ9" s="298">
        <v>1276427.6699999992</v>
      </c>
      <c r="CA9" s="298">
        <v>1034403</v>
      </c>
      <c r="CB9" s="298">
        <v>1201783.48</v>
      </c>
      <c r="CC9" s="298">
        <v>1062943.0500000003</v>
      </c>
      <c r="CD9" s="298">
        <v>1248131.6600000006</v>
      </c>
      <c r="CE9" s="298">
        <v>1478304.2199999993</v>
      </c>
      <c r="CF9" s="298">
        <v>1443757.8799999997</v>
      </c>
      <c r="CG9" s="298">
        <v>1284599.8299999998</v>
      </c>
      <c r="CH9" s="298">
        <v>887154.27000000014</v>
      </c>
      <c r="CI9" s="298">
        <v>1121263.93</v>
      </c>
      <c r="CJ9" s="298">
        <v>1112251.9099999995</v>
      </c>
      <c r="CK9" s="298">
        <v>1363564.1000000003</v>
      </c>
      <c r="CL9" s="299">
        <v>14514585</v>
      </c>
      <c r="CM9" s="291">
        <v>0</v>
      </c>
      <c r="CN9" s="298">
        <v>1253586.7301962469</v>
      </c>
      <c r="CO9" s="298">
        <v>640047.34999999986</v>
      </c>
      <c r="CP9" s="298">
        <v>1303100.3799999994</v>
      </c>
      <c r="CQ9" s="298">
        <v>924332.91999999864</v>
      </c>
      <c r="CR9" s="298">
        <v>1404865.4299999997</v>
      </c>
      <c r="CS9" s="298">
        <v>1151889.9500000004</v>
      </c>
      <c r="CT9" s="298">
        <v>721217.27000000048</v>
      </c>
      <c r="CU9" s="298">
        <v>871206.1800000004</v>
      </c>
      <c r="CV9" s="298">
        <v>10487429.42999997</v>
      </c>
      <c r="CW9" s="298">
        <v>12683477.98000001</v>
      </c>
      <c r="CX9" s="298">
        <v>5153673</v>
      </c>
      <c r="CY9" s="298">
        <v>3659580.6699999934</v>
      </c>
      <c r="CZ9" s="298">
        <v>3126082.8799999971</v>
      </c>
      <c r="DA9" s="299">
        <v>42126903.439999975</v>
      </c>
      <c r="DB9" s="291">
        <v>0</v>
      </c>
      <c r="DC9" s="298">
        <v>1272600.7901962532</v>
      </c>
      <c r="DD9" s="298">
        <v>1102977.3500000015</v>
      </c>
      <c r="DE9" s="298">
        <v>1220274.2899999998</v>
      </c>
      <c r="DF9" s="298">
        <v>1193740.6000000003</v>
      </c>
      <c r="DG9" s="298">
        <v>909120.85999999859</v>
      </c>
      <c r="DH9" s="298">
        <v>789163.22999999858</v>
      </c>
      <c r="DI9" s="298">
        <v>1629978.9399999995</v>
      </c>
      <c r="DJ9" s="298">
        <v>799250.65999999968</v>
      </c>
      <c r="DK9" s="298">
        <v>2039484.5799999998</v>
      </c>
      <c r="DL9" s="298">
        <v>1149431.1057368137</v>
      </c>
      <c r="DM9" s="298">
        <v>1217077.1197173651</v>
      </c>
      <c r="DN9" s="298">
        <v>1151329.8466726898</v>
      </c>
      <c r="DO9" s="298">
        <v>1052802.5394476885</v>
      </c>
      <c r="DP9" s="299">
        <v>14254631.121574556</v>
      </c>
      <c r="DQ9" s="291">
        <v>0</v>
      </c>
      <c r="DR9" s="298">
        <v>1304761.0001962532</v>
      </c>
      <c r="DS9" s="298">
        <v>1391486.2158812359</v>
      </c>
      <c r="DT9" s="298">
        <v>1214366.8256843744</v>
      </c>
      <c r="DU9" s="298">
        <v>1176863.5102453576</v>
      </c>
      <c r="DV9" s="298">
        <v>1208285.9696424259</v>
      </c>
      <c r="DW9" s="298">
        <v>1232931.2402469679</v>
      </c>
      <c r="DX9" s="298">
        <v>1300929.8715530783</v>
      </c>
      <c r="DY9" s="298">
        <v>1380739.8581025172</v>
      </c>
      <c r="DZ9" s="298">
        <v>1277134.4457772321</v>
      </c>
      <c r="EA9" s="298">
        <v>1420900.760824855</v>
      </c>
      <c r="EB9" s="298">
        <v>1476312.9112237461</v>
      </c>
      <c r="EC9" s="298">
        <v>1339451.7397948401</v>
      </c>
      <c r="ED9" s="298">
        <v>1150786.4311894176</v>
      </c>
      <c r="EE9" s="299">
        <v>15570189.780166049</v>
      </c>
      <c r="EF9" s="291">
        <v>0</v>
      </c>
      <c r="EG9" s="310">
        <v>1315558.6585914912</v>
      </c>
    </row>
    <row r="10" spans="1:152">
      <c r="B10" s="286" t="s">
        <v>719</v>
      </c>
      <c r="C10" s="284">
        <v>-172709.37000000002</v>
      </c>
      <c r="D10" s="284">
        <v>328986.87000000017</v>
      </c>
      <c r="E10" s="284">
        <v>445259.00999999995</v>
      </c>
      <c r="F10" s="284">
        <v>465769.72000000015</v>
      </c>
      <c r="G10" s="284">
        <v>459303.72999999992</v>
      </c>
      <c r="H10" s="284">
        <v>502720.15</v>
      </c>
      <c r="I10" s="284">
        <v>597911.16999999993</v>
      </c>
      <c r="J10" s="284">
        <v>437942.76000000013</v>
      </c>
      <c r="K10" s="284">
        <v>1349477.1499999992</v>
      </c>
      <c r="L10" s="284">
        <v>-391153.61000000016</v>
      </c>
      <c r="M10" s="284">
        <v>520917.05999999988</v>
      </c>
      <c r="N10" s="284">
        <v>483339.54999999981</v>
      </c>
      <c r="O10" s="285">
        <v>5027764.1900000004</v>
      </c>
      <c r="P10" s="291">
        <v>0</v>
      </c>
      <c r="Q10" s="284">
        <v>1277922.9101962531</v>
      </c>
      <c r="R10" s="284">
        <v>353778.92000000004</v>
      </c>
      <c r="S10" s="284">
        <v>617737.95000000019</v>
      </c>
      <c r="T10" s="284">
        <v>700682.66</v>
      </c>
      <c r="U10" s="284">
        <v>647173.56999999995</v>
      </c>
      <c r="V10" s="284">
        <v>769794.47000000009</v>
      </c>
      <c r="W10" s="284">
        <v>735600.89999999991</v>
      </c>
      <c r="X10" s="284">
        <v>1344289.4200000002</v>
      </c>
      <c r="Y10" s="284">
        <v>741516.80999999994</v>
      </c>
      <c r="Z10" s="284">
        <v>363169.73000000056</v>
      </c>
      <c r="AA10" s="284">
        <v>940781.89</v>
      </c>
      <c r="AB10" s="284">
        <v>824238.04000000015</v>
      </c>
      <c r="AC10" s="284">
        <v>1024472.1099999998</v>
      </c>
      <c r="AD10" s="285">
        <v>9063236.4700000025</v>
      </c>
      <c r="AE10" s="291">
        <v>0</v>
      </c>
      <c r="AF10" s="284">
        <v>1273164.290196253</v>
      </c>
      <c r="AG10" s="284">
        <v>54873.26000000006</v>
      </c>
      <c r="AH10" s="284">
        <v>572007.09999999963</v>
      </c>
      <c r="AI10" s="284">
        <v>644682.91999999911</v>
      </c>
      <c r="AJ10" s="284">
        <v>464091.05999999976</v>
      </c>
      <c r="AK10" s="284">
        <v>439219.01000000024</v>
      </c>
      <c r="AL10" s="284">
        <v>489749.00000000006</v>
      </c>
      <c r="AM10" s="284">
        <v>710859.65999999957</v>
      </c>
      <c r="AN10" s="284">
        <v>738038.01</v>
      </c>
      <c r="AO10" s="284">
        <v>691410.45000000007</v>
      </c>
      <c r="AP10" s="284">
        <v>787081.43999999983</v>
      </c>
      <c r="AQ10" s="284">
        <v>790296.05999999982</v>
      </c>
      <c r="AR10" s="284">
        <v>611314.88</v>
      </c>
      <c r="AS10" s="285">
        <v>6993622.8499999978</v>
      </c>
      <c r="AT10" s="291">
        <v>0</v>
      </c>
      <c r="AU10" s="284">
        <v>1134243.510196253</v>
      </c>
      <c r="AV10" s="284">
        <v>785715.06000000017</v>
      </c>
      <c r="AW10" s="284">
        <v>691434.94999999984</v>
      </c>
      <c r="AX10" s="284">
        <v>830625.90000000026</v>
      </c>
      <c r="AY10" s="284">
        <v>950577.60999999952</v>
      </c>
      <c r="AZ10" s="284">
        <v>980059.21999999986</v>
      </c>
      <c r="BA10" s="284">
        <v>719365.72000000032</v>
      </c>
      <c r="BB10" s="284">
        <v>832356.4</v>
      </c>
      <c r="BC10" s="284">
        <v>1016010.1099999996</v>
      </c>
      <c r="BD10" s="284">
        <v>885374.73999999964</v>
      </c>
      <c r="BE10" s="284">
        <v>939528.72000000032</v>
      </c>
      <c r="BF10" s="284">
        <v>1067742.27</v>
      </c>
      <c r="BG10" s="284">
        <v>1476275.8099999994</v>
      </c>
      <c r="BH10" s="285">
        <v>11175066.509999998</v>
      </c>
      <c r="BI10" s="291">
        <v>0</v>
      </c>
      <c r="BJ10" s="284">
        <v>1272849.050196253</v>
      </c>
      <c r="BK10" s="284">
        <v>891374.36999999953</v>
      </c>
      <c r="BL10" s="284">
        <v>22993.019999999789</v>
      </c>
      <c r="BM10" s="284">
        <v>1032389.9600000001</v>
      </c>
      <c r="BN10" s="284">
        <v>884894.69000000041</v>
      </c>
      <c r="BO10" s="284">
        <v>978961.78999999957</v>
      </c>
      <c r="BP10" s="284">
        <v>1048815.6599999999</v>
      </c>
      <c r="BQ10" s="284">
        <v>823023.54999999958</v>
      </c>
      <c r="BR10" s="284">
        <v>1377270</v>
      </c>
      <c r="BS10" s="284">
        <v>529551.99999999942</v>
      </c>
      <c r="BT10" s="284">
        <v>1361824.0100000002</v>
      </c>
      <c r="BU10" s="284">
        <v>924637.65999999922</v>
      </c>
      <c r="BV10" s="284">
        <v>734976.91000000411</v>
      </c>
      <c r="BW10" s="285">
        <v>10610713.620000005</v>
      </c>
      <c r="BX10" s="291">
        <v>0</v>
      </c>
      <c r="BY10" s="284">
        <v>1255777.7401962499</v>
      </c>
      <c r="BZ10" s="284">
        <v>1276427.6699999992</v>
      </c>
      <c r="CA10" s="284">
        <v>1034403</v>
      </c>
      <c r="CB10" s="284">
        <v>1201783.48</v>
      </c>
      <c r="CC10" s="284">
        <v>1062943.0500000003</v>
      </c>
      <c r="CD10" s="284">
        <v>1248131.6600000006</v>
      </c>
      <c r="CE10" s="284">
        <v>1478304.2199999993</v>
      </c>
      <c r="CF10" s="284">
        <v>1443757.8799999997</v>
      </c>
      <c r="CG10" s="284">
        <v>1284599.8299999998</v>
      </c>
      <c r="CH10" s="284">
        <v>887154.27000000014</v>
      </c>
      <c r="CI10" s="284">
        <v>1121263.93</v>
      </c>
      <c r="CJ10" s="284">
        <v>1112251.9099999995</v>
      </c>
      <c r="CK10" s="284">
        <v>1363564.1000000003</v>
      </c>
      <c r="CL10" s="285">
        <v>14514585</v>
      </c>
      <c r="CM10" s="291">
        <v>0</v>
      </c>
      <c r="CN10" s="284">
        <v>1253586.7301962469</v>
      </c>
      <c r="CO10" s="284">
        <v>640047.34999999986</v>
      </c>
      <c r="CP10" s="284">
        <v>1303100.3799999994</v>
      </c>
      <c r="CQ10" s="284">
        <v>924332.91999999864</v>
      </c>
      <c r="CR10" s="284">
        <v>1404865.4299999997</v>
      </c>
      <c r="CS10" s="284">
        <v>1151889.9500000004</v>
      </c>
      <c r="CT10" s="284">
        <v>721217.27000000048</v>
      </c>
      <c r="CU10" s="284">
        <v>871206.1800000004</v>
      </c>
      <c r="CV10" s="284">
        <v>10487429.42999997</v>
      </c>
      <c r="CW10" s="284">
        <v>12683477.98000001</v>
      </c>
      <c r="CX10" s="284">
        <v>5153673</v>
      </c>
      <c r="CY10" s="284">
        <v>3659580.6699999934</v>
      </c>
      <c r="CZ10" s="284">
        <v>3126082.8799999971</v>
      </c>
      <c r="DA10" s="285">
        <v>42126903.439999975</v>
      </c>
      <c r="DB10" s="291">
        <v>0</v>
      </c>
      <c r="DC10" s="284">
        <v>1272600.7901962532</v>
      </c>
      <c r="DD10" s="284">
        <v>1102977.3500000015</v>
      </c>
      <c r="DE10" s="284">
        <v>1220274.2899999998</v>
      </c>
      <c r="DF10" s="284">
        <v>1193740.6000000003</v>
      </c>
      <c r="DG10" s="284">
        <v>909120.85999999859</v>
      </c>
      <c r="DH10" s="284">
        <v>789163.22999999858</v>
      </c>
      <c r="DI10" s="284">
        <v>1629978.9399999995</v>
      </c>
      <c r="DJ10" s="284">
        <v>799250.65999999968</v>
      </c>
      <c r="DK10" s="284">
        <v>2039484.5799999998</v>
      </c>
      <c r="DL10" s="284">
        <v>1149431.1057368137</v>
      </c>
      <c r="DM10" s="284">
        <v>1217077.1197173651</v>
      </c>
      <c r="DN10" s="284">
        <v>1151329.8466726898</v>
      </c>
      <c r="DO10" s="284">
        <v>1052802.5394476885</v>
      </c>
      <c r="DP10" s="285">
        <v>14254631.121574556</v>
      </c>
      <c r="DQ10" s="291">
        <v>0</v>
      </c>
      <c r="DR10" s="284">
        <v>1304761.0001962532</v>
      </c>
      <c r="DS10" s="284">
        <v>1391486.2158812359</v>
      </c>
      <c r="DT10" s="284">
        <v>1214366.8256843744</v>
      </c>
      <c r="DU10" s="284">
        <v>1176863.5102453576</v>
      </c>
      <c r="DV10" s="284">
        <v>1208285.9696424259</v>
      </c>
      <c r="DW10" s="284">
        <v>1232931.2402469679</v>
      </c>
      <c r="DX10" s="284">
        <v>1300929.8715530783</v>
      </c>
      <c r="DY10" s="284">
        <v>1380739.8581025172</v>
      </c>
      <c r="DZ10" s="284">
        <v>1277134.4457772321</v>
      </c>
      <c r="EA10" s="284">
        <v>1420900.760824855</v>
      </c>
      <c r="EB10" s="284">
        <v>1476312.9112237461</v>
      </c>
      <c r="EC10" s="284">
        <v>1339451.7397948401</v>
      </c>
      <c r="ED10" s="284">
        <v>1150786.4311894176</v>
      </c>
      <c r="EE10" s="285">
        <v>15570189.780166049</v>
      </c>
      <c r="EF10" s="291">
        <v>0</v>
      </c>
      <c r="EG10" s="311">
        <v>1315558.6585914912</v>
      </c>
    </row>
    <row r="11" spans="1:152">
      <c r="B11" s="287" t="s">
        <v>720</v>
      </c>
      <c r="C11" s="284">
        <v>-177817.76</v>
      </c>
      <c r="D11" s="284">
        <v>321016.44000000018</v>
      </c>
      <c r="E11" s="284">
        <v>444019.58999999997</v>
      </c>
      <c r="F11" s="284">
        <v>458685.12000000017</v>
      </c>
      <c r="G11" s="284">
        <v>455756.06999999995</v>
      </c>
      <c r="H11" s="284">
        <v>488792.92000000004</v>
      </c>
      <c r="I11" s="284">
        <v>594848.03999999992</v>
      </c>
      <c r="J11" s="284">
        <v>487788.21000000014</v>
      </c>
      <c r="K11" s="284">
        <v>1347263.7999999991</v>
      </c>
      <c r="L11" s="284">
        <v>-398586.52000000014</v>
      </c>
      <c r="M11" s="284">
        <v>520559.2099999999</v>
      </c>
      <c r="N11" s="284">
        <v>478916.25999999983</v>
      </c>
      <c r="O11" s="285">
        <v>5021241.379999999</v>
      </c>
      <c r="P11" s="291">
        <v>0</v>
      </c>
      <c r="Q11" s="284">
        <v>1277922.9101962531</v>
      </c>
      <c r="R11" s="284">
        <v>347637.17000000004</v>
      </c>
      <c r="S11" s="284">
        <v>576826.68000000017</v>
      </c>
      <c r="T11" s="284">
        <v>642946.12</v>
      </c>
      <c r="U11" s="284">
        <v>583240.07000000007</v>
      </c>
      <c r="V11" s="284">
        <v>675979.06000000029</v>
      </c>
      <c r="W11" s="284">
        <v>675620.49999999988</v>
      </c>
      <c r="X11" s="284">
        <v>1296050.4100000004</v>
      </c>
      <c r="Y11" s="284">
        <v>711428.62</v>
      </c>
      <c r="Z11" s="284">
        <v>342602.25000000052</v>
      </c>
      <c r="AA11" s="284">
        <v>885712.39</v>
      </c>
      <c r="AB11" s="284">
        <v>782099.8400000002</v>
      </c>
      <c r="AC11" s="284">
        <v>1017200.5499999998</v>
      </c>
      <c r="AD11" s="285">
        <v>8537343.660000002</v>
      </c>
      <c r="AE11" s="291">
        <v>0</v>
      </c>
      <c r="AF11" s="284">
        <v>1273164.290196253</v>
      </c>
      <c r="AG11" s="284">
        <v>31757.220000000052</v>
      </c>
      <c r="AH11" s="284">
        <v>561802.61999999965</v>
      </c>
      <c r="AI11" s="284">
        <v>620673.90999999922</v>
      </c>
      <c r="AJ11" s="284">
        <v>457679.71999999974</v>
      </c>
      <c r="AK11" s="284">
        <v>430902.49000000022</v>
      </c>
      <c r="AL11" s="284">
        <v>481866.91000000009</v>
      </c>
      <c r="AM11" s="284">
        <v>679216.59999999963</v>
      </c>
      <c r="AN11" s="284">
        <v>720542.58</v>
      </c>
      <c r="AO11" s="284">
        <v>690224.03000000014</v>
      </c>
      <c r="AP11" s="284">
        <v>784676.75999999989</v>
      </c>
      <c r="AQ11" s="284">
        <v>790296.05999999982</v>
      </c>
      <c r="AR11" s="284">
        <v>611314.88</v>
      </c>
      <c r="AS11" s="285">
        <v>6860953.7799999984</v>
      </c>
      <c r="AT11" s="291">
        <v>0</v>
      </c>
      <c r="AU11" s="284">
        <v>1134243.510196253</v>
      </c>
      <c r="AV11" s="284">
        <v>785715.06000000017</v>
      </c>
      <c r="AW11" s="284">
        <v>691434.94999999984</v>
      </c>
      <c r="AX11" s="284">
        <v>830625.90000000026</v>
      </c>
      <c r="AY11" s="284">
        <v>950577.60999999952</v>
      </c>
      <c r="AZ11" s="284">
        <v>980059.21999999986</v>
      </c>
      <c r="BA11" s="284">
        <v>719365.72000000032</v>
      </c>
      <c r="BB11" s="284">
        <v>832356.4</v>
      </c>
      <c r="BC11" s="284">
        <v>1016010.1099999996</v>
      </c>
      <c r="BD11" s="284">
        <v>885374.73999999964</v>
      </c>
      <c r="BE11" s="284">
        <v>939528.72000000032</v>
      </c>
      <c r="BF11" s="284">
        <v>1067742.27</v>
      </c>
      <c r="BG11" s="284">
        <v>1476275.8099999994</v>
      </c>
      <c r="BH11" s="285">
        <v>11175066.509999998</v>
      </c>
      <c r="BI11" s="291">
        <v>0</v>
      </c>
      <c r="BJ11" s="284">
        <v>1272849.050196253</v>
      </c>
      <c r="BK11" s="284">
        <v>891374.36999999953</v>
      </c>
      <c r="BL11" s="284">
        <v>22993.019999999789</v>
      </c>
      <c r="BM11" s="284">
        <v>1032389.9600000001</v>
      </c>
      <c r="BN11" s="284">
        <v>884894.69000000041</v>
      </c>
      <c r="BO11" s="284">
        <v>978961.78999999957</v>
      </c>
      <c r="BP11" s="284">
        <v>1048815.6599999999</v>
      </c>
      <c r="BQ11" s="284">
        <v>823023.54999999958</v>
      </c>
      <c r="BR11" s="284">
        <v>1377270</v>
      </c>
      <c r="BS11" s="284">
        <v>529502.91999999946</v>
      </c>
      <c r="BT11" s="284">
        <v>1362034.5200000003</v>
      </c>
      <c r="BU11" s="284">
        <v>924637.65999999922</v>
      </c>
      <c r="BV11" s="284">
        <v>734976.91000000411</v>
      </c>
      <c r="BW11" s="285">
        <v>10610875.050000004</v>
      </c>
      <c r="BX11" s="291">
        <v>0</v>
      </c>
      <c r="BY11" s="284">
        <v>1255777.7401962499</v>
      </c>
      <c r="BZ11" s="284">
        <v>1276427.6699999992</v>
      </c>
      <c r="CA11" s="284">
        <v>1034403</v>
      </c>
      <c r="CB11" s="284">
        <v>1201783.48</v>
      </c>
      <c r="CC11" s="284">
        <v>1062943.0500000003</v>
      </c>
      <c r="CD11" s="284">
        <v>1248131.6600000006</v>
      </c>
      <c r="CE11" s="284">
        <v>1478304.2199999993</v>
      </c>
      <c r="CF11" s="284">
        <v>1443757.8799999997</v>
      </c>
      <c r="CG11" s="284">
        <v>1284599.8299999998</v>
      </c>
      <c r="CH11" s="284">
        <v>887154.27000000014</v>
      </c>
      <c r="CI11" s="284">
        <v>1121263.93</v>
      </c>
      <c r="CJ11" s="284">
        <v>1112251.9099999995</v>
      </c>
      <c r="CK11" s="284">
        <v>1363564.1000000003</v>
      </c>
      <c r="CL11" s="285">
        <v>14514585</v>
      </c>
      <c r="CM11" s="291">
        <v>0</v>
      </c>
      <c r="CN11" s="284">
        <v>1253586.7301962469</v>
      </c>
      <c r="CO11" s="284">
        <v>640047.34999999986</v>
      </c>
      <c r="CP11" s="284">
        <v>1303100.3799999994</v>
      </c>
      <c r="CQ11" s="284">
        <v>924332.91999999864</v>
      </c>
      <c r="CR11" s="284">
        <v>1404865.4299999997</v>
      </c>
      <c r="CS11" s="284">
        <v>1151889.9500000004</v>
      </c>
      <c r="CT11" s="284">
        <v>721217.27000000048</v>
      </c>
      <c r="CU11" s="284">
        <v>871206.1800000004</v>
      </c>
      <c r="CV11" s="284">
        <v>10487429.42999997</v>
      </c>
      <c r="CW11" s="284">
        <v>12683477.98000001</v>
      </c>
      <c r="CX11" s="284">
        <v>5153673</v>
      </c>
      <c r="CY11" s="284">
        <v>3659580.6699999934</v>
      </c>
      <c r="CZ11" s="284">
        <v>3126082.8799999971</v>
      </c>
      <c r="DA11" s="285">
        <v>42126903.439999975</v>
      </c>
      <c r="DB11" s="291">
        <v>0</v>
      </c>
      <c r="DC11" s="284">
        <v>1272600.7901962532</v>
      </c>
      <c r="DD11" s="284">
        <v>1102977.3500000015</v>
      </c>
      <c r="DE11" s="284">
        <v>1220274.2899999998</v>
      </c>
      <c r="DF11" s="284">
        <v>1193740.6000000003</v>
      </c>
      <c r="DG11" s="284">
        <v>909120.85999999859</v>
      </c>
      <c r="DH11" s="284">
        <v>789163.22999999858</v>
      </c>
      <c r="DI11" s="284">
        <v>1629978.9399999995</v>
      </c>
      <c r="DJ11" s="284">
        <v>799250.65999999968</v>
      </c>
      <c r="DK11" s="284">
        <v>2039484.5799999998</v>
      </c>
      <c r="DL11" s="284">
        <v>1149431.1057368137</v>
      </c>
      <c r="DM11" s="284">
        <v>1217077.1197173651</v>
      </c>
      <c r="DN11" s="284">
        <v>1151329.8466726898</v>
      </c>
      <c r="DO11" s="284">
        <v>1052802.5394476885</v>
      </c>
      <c r="DP11" s="285">
        <v>14254631.121574556</v>
      </c>
      <c r="DQ11" s="291">
        <v>0</v>
      </c>
      <c r="DR11" s="284">
        <v>1304761.0001962532</v>
      </c>
      <c r="DS11" s="284">
        <v>1391486.2158812359</v>
      </c>
      <c r="DT11" s="284">
        <v>1214366.8256843744</v>
      </c>
      <c r="DU11" s="284">
        <v>1176863.5102453576</v>
      </c>
      <c r="DV11" s="284">
        <v>1208285.9696424259</v>
      </c>
      <c r="DW11" s="284">
        <v>1232931.2402469679</v>
      </c>
      <c r="DX11" s="284">
        <v>1300929.8715530783</v>
      </c>
      <c r="DY11" s="284">
        <v>1380739.8581025172</v>
      </c>
      <c r="DZ11" s="284">
        <v>1277134.4457772321</v>
      </c>
      <c r="EA11" s="284">
        <v>1420900.760824855</v>
      </c>
      <c r="EB11" s="284">
        <v>1476312.9112237461</v>
      </c>
      <c r="EC11" s="284">
        <v>1339451.7397948401</v>
      </c>
      <c r="ED11" s="284">
        <v>1150786.4311894176</v>
      </c>
      <c r="EE11" s="285">
        <v>15570189.780166049</v>
      </c>
      <c r="EF11" s="291">
        <v>0</v>
      </c>
      <c r="EG11" s="311">
        <v>1315558.6585914912</v>
      </c>
    </row>
    <row r="12" spans="1:152">
      <c r="B12" s="288" t="s">
        <v>7</v>
      </c>
      <c r="C12" s="284">
        <v>-275197.87</v>
      </c>
      <c r="D12" s="284">
        <v>220034.70000000013</v>
      </c>
      <c r="E12" s="284">
        <v>380854.46000000008</v>
      </c>
      <c r="F12" s="284">
        <v>392342.86000000016</v>
      </c>
      <c r="G12" s="284">
        <v>375765.74999999994</v>
      </c>
      <c r="H12" s="284">
        <v>415472.2300000001</v>
      </c>
      <c r="I12" s="284">
        <v>506477.14999999997</v>
      </c>
      <c r="J12" s="284">
        <v>409567.35000000009</v>
      </c>
      <c r="K12" s="284">
        <v>1288521.5599999991</v>
      </c>
      <c r="L12" s="284">
        <v>-435338.63000000012</v>
      </c>
      <c r="M12" s="284">
        <v>429215.08999999997</v>
      </c>
      <c r="N12" s="284">
        <v>427275.36999999982</v>
      </c>
      <c r="O12" s="285">
        <v>4134990.0199999996</v>
      </c>
      <c r="P12" s="291">
        <v>0</v>
      </c>
      <c r="Q12" s="284">
        <v>880699.28108721506</v>
      </c>
      <c r="R12" s="284">
        <v>302342.37000000005</v>
      </c>
      <c r="S12" s="284">
        <v>507634.94000000018</v>
      </c>
      <c r="T12" s="284">
        <v>574554.87999999989</v>
      </c>
      <c r="U12" s="284">
        <v>534018.42000000004</v>
      </c>
      <c r="V12" s="284">
        <v>636336.65000000037</v>
      </c>
      <c r="W12" s="284">
        <v>616603.30000000005</v>
      </c>
      <c r="X12" s="284">
        <v>1202120.9100000004</v>
      </c>
      <c r="Y12" s="284">
        <v>633356.89999999991</v>
      </c>
      <c r="Z12" s="284">
        <v>299544.94000000053</v>
      </c>
      <c r="AA12" s="284">
        <v>808781.77</v>
      </c>
      <c r="AB12" s="284">
        <v>722717.64000000025</v>
      </c>
      <c r="AC12" s="284">
        <v>966798.44999999984</v>
      </c>
      <c r="AD12" s="285">
        <v>7804811.1700000018</v>
      </c>
      <c r="AE12" s="291">
        <v>0</v>
      </c>
      <c r="AF12" s="284">
        <v>880699.28108721506</v>
      </c>
      <c r="AG12" s="284">
        <v>-75667.989999999947</v>
      </c>
      <c r="AH12" s="284">
        <v>505945.6199999997</v>
      </c>
      <c r="AI12" s="284">
        <v>566792.78999999934</v>
      </c>
      <c r="AJ12" s="284">
        <v>399150.06999999972</v>
      </c>
      <c r="AK12" s="284">
        <v>372458.43000000017</v>
      </c>
      <c r="AL12" s="284">
        <v>446554.11000000016</v>
      </c>
      <c r="AM12" s="284">
        <v>606032.75999999966</v>
      </c>
      <c r="AN12" s="284">
        <v>648502.4800000001</v>
      </c>
      <c r="AO12" s="284">
        <v>651249.45000000007</v>
      </c>
      <c r="AP12" s="284">
        <v>685439.22999999986</v>
      </c>
      <c r="AQ12" s="284">
        <v>705571.31999999972</v>
      </c>
      <c r="AR12" s="284">
        <v>584106.58999999985</v>
      </c>
      <c r="AS12" s="285">
        <v>6096134.8599999985</v>
      </c>
      <c r="AT12" s="291">
        <v>0</v>
      </c>
      <c r="AU12" s="284">
        <v>880699.28108721506</v>
      </c>
      <c r="AV12" s="284">
        <v>634439.6</v>
      </c>
      <c r="AW12" s="284">
        <v>628117.97999999986</v>
      </c>
      <c r="AX12" s="284">
        <v>778748.23000000033</v>
      </c>
      <c r="AY12" s="284">
        <v>884680.24999999965</v>
      </c>
      <c r="AZ12" s="284">
        <v>835286.44999999984</v>
      </c>
      <c r="BA12" s="284">
        <v>699648.76000000036</v>
      </c>
      <c r="BB12" s="284">
        <v>723494.59</v>
      </c>
      <c r="BC12" s="284">
        <v>808910.01999999967</v>
      </c>
      <c r="BD12" s="284">
        <v>653141.6999999996</v>
      </c>
      <c r="BE12" s="284">
        <v>609086.76</v>
      </c>
      <c r="BF12" s="284">
        <v>790391.04</v>
      </c>
      <c r="BG12" s="284">
        <v>1247116.0599999994</v>
      </c>
      <c r="BH12" s="285">
        <v>9293061.4399999976</v>
      </c>
      <c r="BI12" s="291">
        <v>0</v>
      </c>
      <c r="BJ12" s="284">
        <v>880699.28108721506</v>
      </c>
      <c r="BK12" s="284">
        <v>784779.40999999957</v>
      </c>
      <c r="BL12" s="284">
        <v>-77614.540000000212</v>
      </c>
      <c r="BM12" s="284">
        <v>894883.44000000018</v>
      </c>
      <c r="BN12" s="284">
        <v>663281.89000000036</v>
      </c>
      <c r="BO12" s="284">
        <v>819644.83999999962</v>
      </c>
      <c r="BP12" s="284">
        <v>858292.19000000006</v>
      </c>
      <c r="BQ12" s="284">
        <v>697967.71999999962</v>
      </c>
      <c r="BR12" s="284">
        <v>1212843</v>
      </c>
      <c r="BS12" s="284">
        <v>325247.49999999953</v>
      </c>
      <c r="BT12" s="284">
        <v>1269321.3400000003</v>
      </c>
      <c r="BU12" s="284">
        <v>757563.0199999992</v>
      </c>
      <c r="BV12" s="284">
        <v>613677.81000000029</v>
      </c>
      <c r="BW12" s="285">
        <v>8819887.6199999992</v>
      </c>
      <c r="BX12" s="291">
        <v>0</v>
      </c>
      <c r="BY12" s="284">
        <v>880699.28108721506</v>
      </c>
      <c r="BZ12" s="284">
        <v>1036778.8299999995</v>
      </c>
      <c r="CA12" s="284">
        <v>916097</v>
      </c>
      <c r="CB12" s="284">
        <v>1070225.7</v>
      </c>
      <c r="CC12" s="284">
        <v>968629.18000000028</v>
      </c>
      <c r="CD12" s="284">
        <v>1181976.2400000007</v>
      </c>
      <c r="CE12" s="284">
        <v>1270270.9299999992</v>
      </c>
      <c r="CF12" s="284">
        <v>1228270.8099999998</v>
      </c>
      <c r="CG12" s="284">
        <v>1129901.1599999999</v>
      </c>
      <c r="CH12" s="284">
        <v>792229.63</v>
      </c>
      <c r="CI12" s="284">
        <v>982784.89999999991</v>
      </c>
      <c r="CJ12" s="284">
        <v>941881.87999999942</v>
      </c>
      <c r="CK12" s="284">
        <v>1190593.3400000003</v>
      </c>
      <c r="CL12" s="285">
        <v>12709639.600000001</v>
      </c>
      <c r="CM12" s="291">
        <v>0</v>
      </c>
      <c r="CN12" s="284">
        <v>880699.28108721506</v>
      </c>
      <c r="CO12" s="284">
        <v>474383.83999999973</v>
      </c>
      <c r="CP12" s="284">
        <v>1098917.1799999992</v>
      </c>
      <c r="CQ12" s="284">
        <v>764248.28999999864</v>
      </c>
      <c r="CR12" s="284">
        <v>1303732.0099999998</v>
      </c>
      <c r="CS12" s="284">
        <v>902712.51000000047</v>
      </c>
      <c r="CT12" s="284">
        <v>629009.85000000044</v>
      </c>
      <c r="CU12" s="284">
        <v>680416.01000000036</v>
      </c>
      <c r="CV12" s="284">
        <v>990550.54000000108</v>
      </c>
      <c r="CW12" s="284">
        <v>616508.95999999926</v>
      </c>
      <c r="CX12" s="284">
        <v>1350434</v>
      </c>
      <c r="CY12" s="284">
        <v>997760.32999999856</v>
      </c>
      <c r="CZ12" s="284">
        <v>1305551.2799999996</v>
      </c>
      <c r="DA12" s="285">
        <v>11114224.799999995</v>
      </c>
      <c r="DB12" s="291">
        <v>0</v>
      </c>
      <c r="DC12" s="284">
        <v>880699.28108721506</v>
      </c>
      <c r="DD12" s="284">
        <v>1004741.8199999983</v>
      </c>
      <c r="DE12" s="284">
        <v>945639.24</v>
      </c>
      <c r="DF12" s="284">
        <v>951274.92000000039</v>
      </c>
      <c r="DG12" s="284">
        <v>723204.8699999986</v>
      </c>
      <c r="DH12" s="284">
        <v>654641.96999999869</v>
      </c>
      <c r="DI12" s="284">
        <v>1451279.7599999998</v>
      </c>
      <c r="DJ12" s="284">
        <v>608102.00999999978</v>
      </c>
      <c r="DK12" s="284">
        <v>1854976.7599999998</v>
      </c>
      <c r="DL12" s="284">
        <v>942319.74457414716</v>
      </c>
      <c r="DM12" s="284">
        <v>1022920.6098206986</v>
      </c>
      <c r="DN12" s="284">
        <v>965397.56907202327</v>
      </c>
      <c r="DO12" s="284">
        <v>882112.64415102196</v>
      </c>
      <c r="DP12" s="285">
        <v>12006611.917617887</v>
      </c>
      <c r="DQ12" s="291">
        <v>0</v>
      </c>
      <c r="DR12" s="284">
        <v>907437.61108721502</v>
      </c>
      <c r="DS12" s="284">
        <v>1210768.4382140199</v>
      </c>
      <c r="DT12" s="284">
        <v>939724.62511322403</v>
      </c>
      <c r="DU12" s="284">
        <v>950719.33886737237</v>
      </c>
      <c r="DV12" s="284">
        <v>1001549.3366357783</v>
      </c>
      <c r="DW12" s="284">
        <v>954885.07356236188</v>
      </c>
      <c r="DX12" s="284">
        <v>1107997.6009711635</v>
      </c>
      <c r="DY12" s="284">
        <v>1168098.4112318507</v>
      </c>
      <c r="DZ12" s="284">
        <v>1081644.3913076399</v>
      </c>
      <c r="EA12" s="284">
        <v>1196427.8108318739</v>
      </c>
      <c r="EB12" s="284">
        <v>1228137.3955009151</v>
      </c>
      <c r="EC12" s="284">
        <v>1113452.0075853423</v>
      </c>
      <c r="ED12" s="284">
        <v>960645.098883559</v>
      </c>
      <c r="EE12" s="285">
        <v>12914049.528705101</v>
      </c>
      <c r="EF12" s="291">
        <v>0</v>
      </c>
      <c r="EG12" s="311">
        <v>907437.61108721502</v>
      </c>
    </row>
    <row r="13" spans="1:152">
      <c r="B13" s="312" t="s">
        <v>8</v>
      </c>
      <c r="C13" s="284">
        <v>-275737.87</v>
      </c>
      <c r="D13" s="284">
        <v>70253.27000000012</v>
      </c>
      <c r="E13" s="284">
        <v>240656.04000000004</v>
      </c>
      <c r="F13" s="284">
        <v>195423.51000000015</v>
      </c>
      <c r="G13" s="284">
        <v>178189.48999999993</v>
      </c>
      <c r="H13" s="284">
        <v>286493.81000000011</v>
      </c>
      <c r="I13" s="284">
        <v>226220.89999999997</v>
      </c>
      <c r="J13" s="284">
        <v>226085.4800000001</v>
      </c>
      <c r="K13" s="284">
        <v>1094014.6999999993</v>
      </c>
      <c r="L13" s="284">
        <v>-602814.28000000014</v>
      </c>
      <c r="M13" s="284">
        <v>248557.8</v>
      </c>
      <c r="N13" s="284">
        <v>247833.71999999983</v>
      </c>
      <c r="O13" s="285">
        <v>2135176.5699999994</v>
      </c>
      <c r="P13" s="291">
        <v>0</v>
      </c>
      <c r="Q13" s="284">
        <v>592026.12508031353</v>
      </c>
      <c r="R13" s="284">
        <v>302233.37000000005</v>
      </c>
      <c r="S13" s="284">
        <v>320311.05000000016</v>
      </c>
      <c r="T13" s="284">
        <v>391103.96999999991</v>
      </c>
      <c r="U13" s="284">
        <v>348097.2900000001</v>
      </c>
      <c r="V13" s="284">
        <v>421495.89000000042</v>
      </c>
      <c r="W13" s="284">
        <v>432488.35</v>
      </c>
      <c r="X13" s="284">
        <v>1065531.1300000004</v>
      </c>
      <c r="Y13" s="284">
        <v>455104.29999999993</v>
      </c>
      <c r="Z13" s="284">
        <v>166498.24000000051</v>
      </c>
      <c r="AA13" s="284">
        <v>662269.26000000013</v>
      </c>
      <c r="AB13" s="284">
        <v>577520.73000000021</v>
      </c>
      <c r="AC13" s="284">
        <v>841731.19999999984</v>
      </c>
      <c r="AD13" s="285">
        <v>5984384.7800000021</v>
      </c>
      <c r="AE13" s="291">
        <v>0</v>
      </c>
      <c r="AF13" s="284">
        <v>592026.12508031353</v>
      </c>
      <c r="AG13" s="284">
        <v>-76136.989999999947</v>
      </c>
      <c r="AH13" s="284">
        <v>403108.0499999997</v>
      </c>
      <c r="AI13" s="284">
        <v>479927.85999999929</v>
      </c>
      <c r="AJ13" s="284">
        <v>320184.76999999973</v>
      </c>
      <c r="AK13" s="284">
        <v>315204.5900000002</v>
      </c>
      <c r="AL13" s="284">
        <v>364921.05000000016</v>
      </c>
      <c r="AM13" s="284">
        <v>523906.74999999977</v>
      </c>
      <c r="AN13" s="284">
        <v>568696.4800000001</v>
      </c>
      <c r="AO13" s="284">
        <v>561175.91</v>
      </c>
      <c r="AP13" s="284">
        <v>592545.89999999991</v>
      </c>
      <c r="AQ13" s="284">
        <v>596878.26999999979</v>
      </c>
      <c r="AR13" s="284">
        <v>493590.23999999993</v>
      </c>
      <c r="AS13" s="285">
        <v>5144002.879999999</v>
      </c>
      <c r="AT13" s="291">
        <v>0</v>
      </c>
      <c r="AU13" s="284">
        <v>592026.12508031353</v>
      </c>
      <c r="AV13" s="284">
        <v>560599.89</v>
      </c>
      <c r="AW13" s="284">
        <v>562271.56999999983</v>
      </c>
      <c r="AX13" s="284">
        <v>702740.92000000027</v>
      </c>
      <c r="AY13" s="284">
        <v>774154.61999999965</v>
      </c>
      <c r="AZ13" s="284">
        <v>722537.97999999986</v>
      </c>
      <c r="BA13" s="284">
        <v>597255.65000000037</v>
      </c>
      <c r="BB13" s="284">
        <v>627285.26</v>
      </c>
      <c r="BC13" s="284">
        <v>684374.77999999968</v>
      </c>
      <c r="BD13" s="284">
        <v>558289.95999999961</v>
      </c>
      <c r="BE13" s="284">
        <v>514808.08</v>
      </c>
      <c r="BF13" s="284">
        <v>699451.26</v>
      </c>
      <c r="BG13" s="284">
        <v>1170070.4999999993</v>
      </c>
      <c r="BH13" s="285">
        <v>8173840.4699999988</v>
      </c>
      <c r="BI13" s="291">
        <v>0</v>
      </c>
      <c r="BJ13" s="284">
        <v>592026.12508031353</v>
      </c>
      <c r="BK13" s="284">
        <v>704410.38999999955</v>
      </c>
      <c r="BL13" s="284">
        <v>-157803.48000000021</v>
      </c>
      <c r="BM13" s="284">
        <v>842680.79000000015</v>
      </c>
      <c r="BN13" s="284">
        <v>616269.22000000032</v>
      </c>
      <c r="BO13" s="284">
        <v>761663.59999999963</v>
      </c>
      <c r="BP13" s="284">
        <v>801845.06</v>
      </c>
      <c r="BQ13" s="284">
        <v>639848.63999999966</v>
      </c>
      <c r="BR13" s="284">
        <v>1161089</v>
      </c>
      <c r="BS13" s="284">
        <v>275211.08999999956</v>
      </c>
      <c r="BT13" s="284">
        <v>1220497.0500000003</v>
      </c>
      <c r="BU13" s="284">
        <v>715423.55999999924</v>
      </c>
      <c r="BV13" s="284">
        <v>576623.81000000029</v>
      </c>
      <c r="BW13" s="285">
        <v>8157758.7299999995</v>
      </c>
      <c r="BX13" s="291">
        <v>0</v>
      </c>
      <c r="BY13" s="284">
        <v>592026.12508031353</v>
      </c>
      <c r="BZ13" s="284">
        <v>986359.74999999953</v>
      </c>
      <c r="CA13" s="284">
        <v>870166</v>
      </c>
      <c r="CB13" s="284">
        <v>1007654.74</v>
      </c>
      <c r="CC13" s="284">
        <v>903147.24000000022</v>
      </c>
      <c r="CD13" s="284">
        <v>1082557.8800000006</v>
      </c>
      <c r="CE13" s="284">
        <v>1175186.5299999993</v>
      </c>
      <c r="CF13" s="284">
        <v>1106893.4499999997</v>
      </c>
      <c r="CG13" s="284">
        <v>1019088.5499999999</v>
      </c>
      <c r="CH13" s="284">
        <v>662911.77</v>
      </c>
      <c r="CI13" s="284">
        <v>873950.49999999988</v>
      </c>
      <c r="CJ13" s="284">
        <v>802567.41999999946</v>
      </c>
      <c r="CK13" s="284">
        <v>1047454.8700000002</v>
      </c>
      <c r="CL13" s="285">
        <v>11537938.700000001</v>
      </c>
      <c r="CM13" s="291">
        <v>0</v>
      </c>
      <c r="CN13" s="284">
        <v>592026.12508031353</v>
      </c>
      <c r="CO13" s="284">
        <v>335722.47999999975</v>
      </c>
      <c r="CP13" s="284">
        <v>950760.20999999926</v>
      </c>
      <c r="CQ13" s="284">
        <v>629248.92999999865</v>
      </c>
      <c r="CR13" s="284">
        <v>1223273.6499999997</v>
      </c>
      <c r="CS13" s="284">
        <v>896326.12000000046</v>
      </c>
      <c r="CT13" s="284">
        <v>624784.75000000047</v>
      </c>
      <c r="CU13" s="284">
        <v>677482.91000000038</v>
      </c>
      <c r="CV13" s="284">
        <v>986648.13000000105</v>
      </c>
      <c r="CW13" s="284">
        <v>612564.50999999931</v>
      </c>
      <c r="CX13" s="284">
        <v>1253044</v>
      </c>
      <c r="CY13" s="284">
        <v>880350.23999999859</v>
      </c>
      <c r="CZ13" s="284">
        <v>1302006.8799999994</v>
      </c>
      <c r="DA13" s="285">
        <v>10372212.809999997</v>
      </c>
      <c r="DB13" s="291">
        <v>0</v>
      </c>
      <c r="DC13" s="284">
        <v>592026.12508031353</v>
      </c>
      <c r="DD13" s="284">
        <v>1001898.0499999983</v>
      </c>
      <c r="DE13" s="284">
        <v>809656.21</v>
      </c>
      <c r="DF13" s="284">
        <v>819691.6800000004</v>
      </c>
      <c r="DG13" s="284">
        <v>716399.90999999864</v>
      </c>
      <c r="DH13" s="284">
        <v>654641.94999999867</v>
      </c>
      <c r="DI13" s="284">
        <v>1447312.2599999998</v>
      </c>
      <c r="DJ13" s="284">
        <v>432813.59999999974</v>
      </c>
      <c r="DK13" s="284">
        <v>1619438.41</v>
      </c>
      <c r="DL13" s="284">
        <v>846491.2192872701</v>
      </c>
      <c r="DM13" s="284">
        <v>924461.08702511596</v>
      </c>
      <c r="DN13" s="284">
        <v>871686.64668879029</v>
      </c>
      <c r="DO13" s="284">
        <v>803145.04919961595</v>
      </c>
      <c r="DP13" s="285">
        <v>10947636.072200788</v>
      </c>
      <c r="DQ13" s="291">
        <v>0</v>
      </c>
      <c r="DR13" s="284">
        <v>592026.12508031353</v>
      </c>
      <c r="DS13" s="284">
        <v>1076366.1274940199</v>
      </c>
      <c r="DT13" s="284">
        <v>841026.85935322405</v>
      </c>
      <c r="DU13" s="284">
        <v>850826.9273473724</v>
      </c>
      <c r="DV13" s="284">
        <v>900514.93279577827</v>
      </c>
      <c r="DW13" s="284">
        <v>859509.62652236188</v>
      </c>
      <c r="DX13" s="284">
        <v>991266.03201116342</v>
      </c>
      <c r="DY13" s="284">
        <v>1042865.0994558508</v>
      </c>
      <c r="DZ13" s="284">
        <v>966995.17831563985</v>
      </c>
      <c r="EA13" s="284">
        <v>1065977.3478942739</v>
      </c>
      <c r="EB13" s="284">
        <v>1092872.6234945152</v>
      </c>
      <c r="EC13" s="284">
        <v>992356.68432134227</v>
      </c>
      <c r="ED13" s="284">
        <v>859084.75827555894</v>
      </c>
      <c r="EE13" s="285">
        <v>11539662.197281102</v>
      </c>
      <c r="EF13" s="291">
        <v>0</v>
      </c>
      <c r="EG13" s="311">
        <v>592026.12508031353</v>
      </c>
      <c r="EH13" t="s">
        <v>837</v>
      </c>
    </row>
    <row r="14" spans="1:152">
      <c r="B14" s="312" t="s">
        <v>9</v>
      </c>
      <c r="C14" s="284">
        <v>540</v>
      </c>
      <c r="D14" s="284">
        <v>149781.43000000002</v>
      </c>
      <c r="E14" s="284">
        <v>140198.42000000001</v>
      </c>
      <c r="F14" s="284">
        <v>196919.35</v>
      </c>
      <c r="G14" s="284">
        <v>197576.26</v>
      </c>
      <c r="H14" s="284">
        <v>128978.42</v>
      </c>
      <c r="I14" s="284">
        <v>280256.25</v>
      </c>
      <c r="J14" s="284">
        <v>183481.87000000002</v>
      </c>
      <c r="K14" s="284">
        <v>194506.86</v>
      </c>
      <c r="L14" s="284">
        <v>167475.65</v>
      </c>
      <c r="M14" s="284">
        <v>180657.29</v>
      </c>
      <c r="N14" s="284">
        <v>179441.65</v>
      </c>
      <c r="O14" s="285">
        <v>1999813.4500000002</v>
      </c>
      <c r="P14" s="291">
        <v>0</v>
      </c>
      <c r="Q14" s="284">
        <v>288673.15600690152</v>
      </c>
      <c r="R14" s="284">
        <v>109</v>
      </c>
      <c r="S14" s="284">
        <v>187323.89</v>
      </c>
      <c r="T14" s="284">
        <v>183050.91</v>
      </c>
      <c r="U14" s="284">
        <v>185921.12999999998</v>
      </c>
      <c r="V14" s="284">
        <v>214840.76</v>
      </c>
      <c r="W14" s="284">
        <v>184114.95</v>
      </c>
      <c r="X14" s="284">
        <v>136589.78</v>
      </c>
      <c r="Y14" s="284">
        <v>178252.59999999998</v>
      </c>
      <c r="Z14" s="284">
        <v>133046.70000000001</v>
      </c>
      <c r="AA14" s="284">
        <v>146512.50999999995</v>
      </c>
      <c r="AB14" s="284">
        <v>145196.91</v>
      </c>
      <c r="AC14" s="284">
        <v>125067.25</v>
      </c>
      <c r="AD14" s="285">
        <v>1820026.39</v>
      </c>
      <c r="AE14" s="291">
        <v>0</v>
      </c>
      <c r="AF14" s="284">
        <v>288673.15600690152</v>
      </c>
      <c r="AG14" s="284">
        <v>469</v>
      </c>
      <c r="AH14" s="284">
        <v>102837.57</v>
      </c>
      <c r="AI14" s="284">
        <v>86864.93</v>
      </c>
      <c r="AJ14" s="284">
        <v>78965.3</v>
      </c>
      <c r="AK14" s="284">
        <v>57253.84</v>
      </c>
      <c r="AL14" s="284">
        <v>81633.06</v>
      </c>
      <c r="AM14" s="284">
        <v>82099.429999999993</v>
      </c>
      <c r="AN14" s="284">
        <v>79806</v>
      </c>
      <c r="AO14" s="284">
        <v>90073.54</v>
      </c>
      <c r="AP14" s="284">
        <v>92893.33</v>
      </c>
      <c r="AQ14" s="284">
        <v>108169.19</v>
      </c>
      <c r="AR14" s="284">
        <v>89870.15</v>
      </c>
      <c r="AS14" s="285">
        <v>950935.34</v>
      </c>
      <c r="AT14" s="291">
        <v>0</v>
      </c>
      <c r="AU14" s="284">
        <v>288673.15600690152</v>
      </c>
      <c r="AV14" s="284">
        <v>73839.710000000006</v>
      </c>
      <c r="AW14" s="284">
        <v>71811.289999999994</v>
      </c>
      <c r="AX14" s="284">
        <v>76825.899999999994</v>
      </c>
      <c r="AY14" s="284">
        <v>105593.37</v>
      </c>
      <c r="AZ14" s="284">
        <v>114649.27</v>
      </c>
      <c r="BA14" s="284">
        <v>102393.11</v>
      </c>
      <c r="BB14" s="284">
        <v>96209.33</v>
      </c>
      <c r="BC14" s="284">
        <v>124535.24</v>
      </c>
      <c r="BD14" s="284">
        <v>96825.74</v>
      </c>
      <c r="BE14" s="284">
        <v>94513.68</v>
      </c>
      <c r="BF14" s="284">
        <v>94887.78</v>
      </c>
      <c r="BG14" s="284">
        <v>77045.56</v>
      </c>
      <c r="BH14" s="285">
        <v>1129129.98</v>
      </c>
      <c r="BI14" s="291">
        <v>0</v>
      </c>
      <c r="BJ14" s="284">
        <v>288673.15600690152</v>
      </c>
      <c r="BK14" s="284">
        <v>88265.02</v>
      </c>
      <c r="BL14" s="284">
        <v>81505.279999999999</v>
      </c>
      <c r="BM14" s="284">
        <v>52202.649999999994</v>
      </c>
      <c r="BN14" s="284">
        <v>48986.67</v>
      </c>
      <c r="BO14" s="284">
        <v>57440.04</v>
      </c>
      <c r="BP14" s="284">
        <v>56447.130000000005</v>
      </c>
      <c r="BQ14" s="284">
        <v>58119.08</v>
      </c>
      <c r="BR14" s="284">
        <v>51754</v>
      </c>
      <c r="BS14" s="284">
        <v>50036.41</v>
      </c>
      <c r="BT14" s="284">
        <v>48824.29</v>
      </c>
      <c r="BU14" s="284">
        <v>42139.46</v>
      </c>
      <c r="BV14" s="284">
        <v>37054</v>
      </c>
      <c r="BW14" s="285">
        <v>672774.03</v>
      </c>
      <c r="BX14" s="291">
        <v>0</v>
      </c>
      <c r="BY14" s="284">
        <v>288673.15600690152</v>
      </c>
      <c r="BZ14" s="284">
        <v>50419.08</v>
      </c>
      <c r="CA14" s="284">
        <v>45931</v>
      </c>
      <c r="CB14" s="284">
        <v>62570.96</v>
      </c>
      <c r="CC14" s="284">
        <v>65481.94000000001</v>
      </c>
      <c r="CD14" s="284">
        <v>99418.36</v>
      </c>
      <c r="CE14" s="284">
        <v>89162.4</v>
      </c>
      <c r="CF14" s="284">
        <v>121377.36</v>
      </c>
      <c r="CG14" s="284">
        <v>104655.61</v>
      </c>
      <c r="CH14" s="284">
        <v>129317.86</v>
      </c>
      <c r="CI14" s="284">
        <v>108834.4</v>
      </c>
      <c r="CJ14" s="284">
        <v>139314.46</v>
      </c>
      <c r="CK14" s="284">
        <v>143138.47</v>
      </c>
      <c r="CL14" s="285">
        <v>1159621.8999999999</v>
      </c>
      <c r="CM14" s="291">
        <v>0</v>
      </c>
      <c r="CN14" s="284">
        <v>288673.15600690152</v>
      </c>
      <c r="CO14" s="284">
        <v>138661.35999999999</v>
      </c>
      <c r="CP14" s="284">
        <v>148156.97</v>
      </c>
      <c r="CQ14" s="284">
        <v>134999.35999999999</v>
      </c>
      <c r="CR14" s="284">
        <v>80458.36</v>
      </c>
      <c r="CS14" s="284">
        <v>6386.39</v>
      </c>
      <c r="CT14" s="284">
        <v>4225.1000000000004</v>
      </c>
      <c r="CU14" s="284">
        <v>2933.1</v>
      </c>
      <c r="CV14" s="284">
        <v>3902.41</v>
      </c>
      <c r="CW14" s="284">
        <v>3944.45</v>
      </c>
      <c r="CX14" s="284">
        <v>97390</v>
      </c>
      <c r="CY14" s="284">
        <v>117410.09</v>
      </c>
      <c r="CZ14" s="284">
        <v>3358.37</v>
      </c>
      <c r="DA14" s="285">
        <v>741825.95999999985</v>
      </c>
      <c r="DB14" s="291">
        <v>0</v>
      </c>
      <c r="DC14" s="284">
        <v>288673.15600690152</v>
      </c>
      <c r="DD14" s="284">
        <v>2843.77</v>
      </c>
      <c r="DE14" s="284">
        <v>135983.03</v>
      </c>
      <c r="DF14" s="284">
        <v>131583.24</v>
      </c>
      <c r="DG14" s="284">
        <v>1337.46</v>
      </c>
      <c r="DH14" s="284">
        <v>2.0000000018626451E-2</v>
      </c>
      <c r="DI14" s="284">
        <v>0</v>
      </c>
      <c r="DJ14" s="284">
        <v>175288.40999999997</v>
      </c>
      <c r="DK14" s="284">
        <v>229711.68000000002</v>
      </c>
      <c r="DL14" s="284">
        <v>82328.525286877077</v>
      </c>
      <c r="DM14" s="284">
        <v>84959.522795582627</v>
      </c>
      <c r="DN14" s="284">
        <v>80210.922383232959</v>
      </c>
      <c r="DO14" s="284">
        <v>65467.594951406005</v>
      </c>
      <c r="DP14" s="285">
        <v>989714.17541709868</v>
      </c>
      <c r="DQ14" s="291">
        <v>0</v>
      </c>
      <c r="DR14" s="284">
        <v>288673.15600690152</v>
      </c>
      <c r="DS14" s="284">
        <v>126402.31072000002</v>
      </c>
      <c r="DT14" s="284">
        <v>90697.765759999995</v>
      </c>
      <c r="DU14" s="284">
        <v>91892.411520000023</v>
      </c>
      <c r="DV14" s="284">
        <v>93034.403840000014</v>
      </c>
      <c r="DW14" s="284">
        <v>87375.447040000014</v>
      </c>
      <c r="DX14" s="284">
        <v>108731.56896</v>
      </c>
      <c r="DY14" s="284">
        <v>117233.31177600002</v>
      </c>
      <c r="DZ14" s="284">
        <v>106649.212992</v>
      </c>
      <c r="EA14" s="284">
        <v>122450.46293760002</v>
      </c>
      <c r="EB14" s="284">
        <v>127264.77200640002</v>
      </c>
      <c r="EC14" s="284">
        <v>113095.32326400002</v>
      </c>
      <c r="ED14" s="284">
        <v>93560.340608000013</v>
      </c>
      <c r="EE14" s="285">
        <v>1278387.3314240002</v>
      </c>
      <c r="EF14" s="291">
        <v>0</v>
      </c>
      <c r="EG14" s="311">
        <v>288673.15600690152</v>
      </c>
      <c r="EH14" t="s">
        <v>834</v>
      </c>
    </row>
    <row r="15" spans="1:152">
      <c r="B15" s="312" t="s">
        <v>724</v>
      </c>
      <c r="C15" s="284">
        <v>0</v>
      </c>
      <c r="D15" s="284">
        <v>0</v>
      </c>
      <c r="E15" s="284">
        <v>0</v>
      </c>
      <c r="F15" s="284">
        <v>0</v>
      </c>
      <c r="G15" s="284">
        <v>0</v>
      </c>
      <c r="H15" s="284">
        <v>0</v>
      </c>
      <c r="I15" s="284">
        <v>0</v>
      </c>
      <c r="J15" s="284">
        <v>0</v>
      </c>
      <c r="K15" s="284">
        <v>0</v>
      </c>
      <c r="L15" s="284">
        <v>0</v>
      </c>
      <c r="M15" s="284">
        <v>0</v>
      </c>
      <c r="N15" s="284">
        <v>0</v>
      </c>
      <c r="O15" s="285">
        <v>0</v>
      </c>
      <c r="P15" s="291">
        <v>0</v>
      </c>
      <c r="Q15" s="284">
        <v>0</v>
      </c>
      <c r="R15" s="284">
        <v>0</v>
      </c>
      <c r="S15" s="284">
        <v>0</v>
      </c>
      <c r="T15" s="284">
        <v>0</v>
      </c>
      <c r="U15" s="284">
        <v>0</v>
      </c>
      <c r="V15" s="284">
        <v>0</v>
      </c>
      <c r="W15" s="284">
        <v>0</v>
      </c>
      <c r="X15" s="284">
        <v>0</v>
      </c>
      <c r="Y15" s="284">
        <v>0</v>
      </c>
      <c r="Z15" s="284">
        <v>0</v>
      </c>
      <c r="AA15" s="284">
        <v>0</v>
      </c>
      <c r="AB15" s="284">
        <v>0</v>
      </c>
      <c r="AC15" s="284">
        <v>0</v>
      </c>
      <c r="AD15" s="285">
        <v>0</v>
      </c>
      <c r="AE15" s="291">
        <v>0</v>
      </c>
      <c r="AF15" s="284">
        <v>0</v>
      </c>
      <c r="AG15" s="284">
        <v>0</v>
      </c>
      <c r="AH15" s="284">
        <v>0</v>
      </c>
      <c r="AI15" s="284">
        <v>0</v>
      </c>
      <c r="AJ15" s="284">
        <v>0</v>
      </c>
      <c r="AK15" s="284">
        <v>0</v>
      </c>
      <c r="AL15" s="284">
        <v>0</v>
      </c>
      <c r="AM15" s="284">
        <v>0</v>
      </c>
      <c r="AN15" s="284">
        <v>0</v>
      </c>
      <c r="AO15" s="284">
        <v>0</v>
      </c>
      <c r="AP15" s="284">
        <v>0</v>
      </c>
      <c r="AQ15" s="284">
        <v>0</v>
      </c>
      <c r="AR15" s="284">
        <v>0</v>
      </c>
      <c r="AS15" s="285">
        <v>0</v>
      </c>
      <c r="AT15" s="291">
        <v>0</v>
      </c>
      <c r="AU15" s="284">
        <v>0</v>
      </c>
      <c r="AV15" s="284">
        <v>0</v>
      </c>
      <c r="AW15" s="284">
        <v>-6120</v>
      </c>
      <c r="AX15" s="284">
        <v>-4434</v>
      </c>
      <c r="AY15" s="284">
        <v>0</v>
      </c>
      <c r="AZ15" s="284">
        <v>-1900.8</v>
      </c>
      <c r="BA15" s="284">
        <v>0</v>
      </c>
      <c r="BB15" s="284">
        <v>0</v>
      </c>
      <c r="BC15" s="284">
        <v>0</v>
      </c>
      <c r="BD15" s="284">
        <v>-1974</v>
      </c>
      <c r="BE15" s="284">
        <v>-235</v>
      </c>
      <c r="BF15" s="284">
        <v>-3948</v>
      </c>
      <c r="BG15" s="284">
        <v>0</v>
      </c>
      <c r="BH15" s="285">
        <v>-18611.8</v>
      </c>
      <c r="BI15" s="291">
        <v>0</v>
      </c>
      <c r="BJ15" s="284">
        <v>0</v>
      </c>
      <c r="BK15" s="284">
        <v>-7896</v>
      </c>
      <c r="BL15" s="284">
        <v>-1974</v>
      </c>
      <c r="BM15" s="284">
        <v>0</v>
      </c>
      <c r="BN15" s="284">
        <v>-1974</v>
      </c>
      <c r="BO15" s="284">
        <v>0</v>
      </c>
      <c r="BP15" s="284">
        <v>0</v>
      </c>
      <c r="BQ15" s="284">
        <v>0</v>
      </c>
      <c r="BR15" s="284">
        <v>0</v>
      </c>
      <c r="BS15" s="284">
        <v>0</v>
      </c>
      <c r="BT15" s="284">
        <v>0</v>
      </c>
      <c r="BU15" s="284">
        <v>0</v>
      </c>
      <c r="BV15" s="284">
        <v>0</v>
      </c>
      <c r="BW15" s="285">
        <v>-11844</v>
      </c>
      <c r="BX15" s="291">
        <v>0</v>
      </c>
      <c r="BY15" s="284">
        <v>0</v>
      </c>
      <c r="BZ15" s="284">
        <v>0</v>
      </c>
      <c r="CA15" s="284">
        <v>0</v>
      </c>
      <c r="CB15" s="284">
        <v>0</v>
      </c>
      <c r="CC15" s="284">
        <v>0</v>
      </c>
      <c r="CD15" s="284">
        <v>0</v>
      </c>
      <c r="CE15" s="284">
        <v>5922</v>
      </c>
      <c r="CF15" s="284">
        <v>0</v>
      </c>
      <c r="CG15" s="284">
        <v>6157</v>
      </c>
      <c r="CH15" s="284">
        <v>0</v>
      </c>
      <c r="CI15" s="284">
        <v>0</v>
      </c>
      <c r="CJ15" s="284">
        <v>0</v>
      </c>
      <c r="CK15" s="284">
        <v>0</v>
      </c>
      <c r="CL15" s="285">
        <v>12079</v>
      </c>
      <c r="CM15" s="291">
        <v>0</v>
      </c>
      <c r="CN15" s="284">
        <v>0</v>
      </c>
      <c r="CO15" s="284">
        <v>0</v>
      </c>
      <c r="CP15" s="284">
        <v>0</v>
      </c>
      <c r="CQ15" s="284">
        <v>0</v>
      </c>
      <c r="CR15" s="284">
        <v>0</v>
      </c>
      <c r="CS15" s="284">
        <v>0</v>
      </c>
      <c r="CT15" s="284">
        <v>0</v>
      </c>
      <c r="CU15" s="284">
        <v>0</v>
      </c>
      <c r="CV15" s="284">
        <v>0</v>
      </c>
      <c r="CW15" s="284">
        <v>0</v>
      </c>
      <c r="CX15" s="284">
        <v>0</v>
      </c>
      <c r="CY15" s="284">
        <v>0</v>
      </c>
      <c r="CZ15" s="284">
        <v>0</v>
      </c>
      <c r="DA15" s="285">
        <v>0</v>
      </c>
      <c r="DB15" s="291">
        <v>0</v>
      </c>
      <c r="DC15" s="284">
        <v>0</v>
      </c>
      <c r="DD15" s="284">
        <v>0</v>
      </c>
      <c r="DE15" s="284">
        <v>0</v>
      </c>
      <c r="DF15" s="284">
        <v>0</v>
      </c>
      <c r="DG15" s="284">
        <v>0</v>
      </c>
      <c r="DH15" s="284">
        <v>0</v>
      </c>
      <c r="DI15" s="284">
        <v>0</v>
      </c>
      <c r="DJ15" s="284">
        <v>0</v>
      </c>
      <c r="DK15" s="284">
        <v>0</v>
      </c>
      <c r="DL15" s="284">
        <v>0</v>
      </c>
      <c r="DM15" s="284">
        <v>0</v>
      </c>
      <c r="DN15" s="284">
        <v>0</v>
      </c>
      <c r="DO15" s="284">
        <v>0</v>
      </c>
      <c r="DP15" s="285">
        <v>0</v>
      </c>
      <c r="DQ15" s="291">
        <v>0</v>
      </c>
      <c r="DR15" s="284">
        <v>0</v>
      </c>
      <c r="DS15" s="284">
        <v>0</v>
      </c>
      <c r="DT15" s="284">
        <v>0</v>
      </c>
      <c r="DU15" s="284">
        <v>0</v>
      </c>
      <c r="DV15" s="284">
        <v>0</v>
      </c>
      <c r="DW15" s="284">
        <v>0</v>
      </c>
      <c r="DX15" s="284">
        <v>0</v>
      </c>
      <c r="DY15" s="284">
        <v>0</v>
      </c>
      <c r="DZ15" s="284">
        <v>0</v>
      </c>
      <c r="EA15" s="284">
        <v>0</v>
      </c>
      <c r="EB15" s="284">
        <v>0</v>
      </c>
      <c r="EC15" s="284">
        <v>0</v>
      </c>
      <c r="ED15" s="284">
        <v>0</v>
      </c>
      <c r="EE15" s="285">
        <v>0</v>
      </c>
      <c r="EF15" s="291">
        <v>0</v>
      </c>
      <c r="EG15" s="311">
        <v>0</v>
      </c>
    </row>
    <row r="16" spans="1:152">
      <c r="B16" s="312" t="s">
        <v>114</v>
      </c>
      <c r="C16" s="284">
        <v>0</v>
      </c>
      <c r="D16" s="284">
        <v>0</v>
      </c>
      <c r="E16" s="284">
        <v>0</v>
      </c>
      <c r="F16" s="284">
        <v>0</v>
      </c>
      <c r="G16" s="284">
        <v>0</v>
      </c>
      <c r="H16" s="284">
        <v>0</v>
      </c>
      <c r="I16" s="284">
        <v>0</v>
      </c>
      <c r="J16" s="284">
        <v>0</v>
      </c>
      <c r="K16" s="284">
        <v>0</v>
      </c>
      <c r="L16" s="284">
        <v>0</v>
      </c>
      <c r="M16" s="284">
        <v>0</v>
      </c>
      <c r="N16" s="284">
        <v>0</v>
      </c>
      <c r="O16" s="285">
        <v>0</v>
      </c>
      <c r="P16" s="291">
        <v>0</v>
      </c>
      <c r="Q16" s="284">
        <v>0</v>
      </c>
      <c r="R16" s="284">
        <v>0</v>
      </c>
      <c r="S16" s="284">
        <v>0</v>
      </c>
      <c r="T16" s="284">
        <v>0</v>
      </c>
      <c r="U16" s="284">
        <v>0</v>
      </c>
      <c r="V16" s="284">
        <v>0</v>
      </c>
      <c r="W16" s="284">
        <v>0</v>
      </c>
      <c r="X16" s="284">
        <v>0</v>
      </c>
      <c r="Y16" s="284">
        <v>0</v>
      </c>
      <c r="Z16" s="284">
        <v>0</v>
      </c>
      <c r="AA16" s="284">
        <v>0</v>
      </c>
      <c r="AB16" s="284">
        <v>0</v>
      </c>
      <c r="AC16" s="284">
        <v>0</v>
      </c>
      <c r="AD16" s="285">
        <v>0</v>
      </c>
      <c r="AE16" s="291">
        <v>0</v>
      </c>
      <c r="AF16" s="284">
        <v>0</v>
      </c>
      <c r="AG16" s="284">
        <v>0</v>
      </c>
      <c r="AH16" s="284">
        <v>0</v>
      </c>
      <c r="AI16" s="284">
        <v>0</v>
      </c>
      <c r="AJ16" s="284">
        <v>0</v>
      </c>
      <c r="AK16" s="284">
        <v>0</v>
      </c>
      <c r="AL16" s="284">
        <v>0</v>
      </c>
      <c r="AM16" s="284">
        <v>0</v>
      </c>
      <c r="AN16" s="284">
        <v>0</v>
      </c>
      <c r="AO16" s="284">
        <v>0</v>
      </c>
      <c r="AP16" s="284">
        <v>0</v>
      </c>
      <c r="AQ16" s="284">
        <v>0</v>
      </c>
      <c r="AR16" s="284">
        <v>0</v>
      </c>
      <c r="AS16" s="285">
        <v>0</v>
      </c>
      <c r="AT16" s="291">
        <v>0</v>
      </c>
      <c r="AU16" s="284">
        <v>0</v>
      </c>
      <c r="AV16" s="284">
        <v>0</v>
      </c>
      <c r="AW16" s="284">
        <v>0</v>
      </c>
      <c r="AX16" s="284">
        <v>0</v>
      </c>
      <c r="AY16" s="284">
        <v>0</v>
      </c>
      <c r="AZ16" s="284">
        <v>0</v>
      </c>
      <c r="BA16" s="284">
        <v>0</v>
      </c>
      <c r="BB16" s="284">
        <v>0</v>
      </c>
      <c r="BC16" s="284">
        <v>0</v>
      </c>
      <c r="BD16" s="284">
        <v>0</v>
      </c>
      <c r="BE16" s="284">
        <v>0</v>
      </c>
      <c r="BF16" s="284">
        <v>0</v>
      </c>
      <c r="BG16" s="284">
        <v>0</v>
      </c>
      <c r="BH16" s="285">
        <v>0</v>
      </c>
      <c r="BI16" s="291">
        <v>0</v>
      </c>
      <c r="BJ16" s="284">
        <v>0</v>
      </c>
      <c r="BK16" s="284">
        <v>0</v>
      </c>
      <c r="BL16" s="284">
        <v>0</v>
      </c>
      <c r="BM16" s="284">
        <v>0</v>
      </c>
      <c r="BN16" s="284">
        <v>0</v>
      </c>
      <c r="BO16" s="284">
        <v>0</v>
      </c>
      <c r="BP16" s="284">
        <v>0</v>
      </c>
      <c r="BQ16" s="284">
        <v>0</v>
      </c>
      <c r="BR16" s="284">
        <v>0</v>
      </c>
      <c r="BS16" s="284">
        <v>0</v>
      </c>
      <c r="BT16" s="284">
        <v>0</v>
      </c>
      <c r="BU16" s="284">
        <v>0</v>
      </c>
      <c r="BV16" s="284">
        <v>0</v>
      </c>
      <c r="BW16" s="285">
        <v>0</v>
      </c>
      <c r="BX16" s="291">
        <v>0</v>
      </c>
      <c r="BY16" s="284">
        <v>0</v>
      </c>
      <c r="BZ16" s="284">
        <v>0</v>
      </c>
      <c r="CA16" s="284">
        <v>0</v>
      </c>
      <c r="CB16" s="284">
        <v>0</v>
      </c>
      <c r="CC16" s="284">
        <v>0</v>
      </c>
      <c r="CD16" s="284">
        <v>0</v>
      </c>
      <c r="CE16" s="284">
        <v>0</v>
      </c>
      <c r="CF16" s="284">
        <v>0</v>
      </c>
      <c r="CG16" s="284">
        <v>0</v>
      </c>
      <c r="CH16" s="284">
        <v>0</v>
      </c>
      <c r="CI16" s="284">
        <v>0</v>
      </c>
      <c r="CJ16" s="284">
        <v>0</v>
      </c>
      <c r="CK16" s="284">
        <v>0</v>
      </c>
      <c r="CL16" s="285">
        <v>0</v>
      </c>
      <c r="CM16" s="291">
        <v>0</v>
      </c>
      <c r="CN16" s="284">
        <v>0</v>
      </c>
      <c r="CO16" s="284">
        <v>0</v>
      </c>
      <c r="CP16" s="284">
        <v>0</v>
      </c>
      <c r="CQ16" s="284">
        <v>0</v>
      </c>
      <c r="CR16" s="284">
        <v>0</v>
      </c>
      <c r="CS16" s="284">
        <v>0</v>
      </c>
      <c r="CT16" s="284">
        <v>0</v>
      </c>
      <c r="CU16" s="284">
        <v>0</v>
      </c>
      <c r="CV16" s="284">
        <v>0</v>
      </c>
      <c r="CW16" s="284">
        <v>0</v>
      </c>
      <c r="CX16" s="284">
        <v>0</v>
      </c>
      <c r="CY16" s="284">
        <v>0</v>
      </c>
      <c r="CZ16" s="284">
        <v>0</v>
      </c>
      <c r="DA16" s="285">
        <v>0</v>
      </c>
      <c r="DB16" s="291">
        <v>0</v>
      </c>
      <c r="DC16" s="284">
        <v>0</v>
      </c>
      <c r="DD16" s="284">
        <v>0</v>
      </c>
      <c r="DE16" s="284">
        <v>0</v>
      </c>
      <c r="DF16" s="284">
        <v>0</v>
      </c>
      <c r="DG16" s="284">
        <v>5467.5</v>
      </c>
      <c r="DH16" s="284">
        <v>0</v>
      </c>
      <c r="DI16" s="284">
        <v>3967.5</v>
      </c>
      <c r="DJ16" s="284">
        <v>0</v>
      </c>
      <c r="DK16" s="284">
        <v>5826.67</v>
      </c>
      <c r="DL16" s="284">
        <v>13500</v>
      </c>
      <c r="DM16" s="284">
        <v>13500</v>
      </c>
      <c r="DN16" s="284">
        <v>13500</v>
      </c>
      <c r="DO16" s="284">
        <v>13500</v>
      </c>
      <c r="DP16" s="285">
        <v>69261.67</v>
      </c>
      <c r="DQ16" s="291">
        <v>0</v>
      </c>
      <c r="DR16" s="284">
        <v>26738.33</v>
      </c>
      <c r="DS16" s="284">
        <v>8000</v>
      </c>
      <c r="DT16" s="284">
        <v>8000</v>
      </c>
      <c r="DU16" s="284">
        <v>8000</v>
      </c>
      <c r="DV16" s="284">
        <v>8000</v>
      </c>
      <c r="DW16" s="284">
        <v>8000</v>
      </c>
      <c r="DX16" s="284">
        <v>8000</v>
      </c>
      <c r="DY16" s="284">
        <v>8000</v>
      </c>
      <c r="DZ16" s="284">
        <v>8000</v>
      </c>
      <c r="EA16" s="284">
        <v>8000</v>
      </c>
      <c r="EB16" s="284">
        <v>8000</v>
      </c>
      <c r="EC16" s="284">
        <v>8000</v>
      </c>
      <c r="ED16" s="284">
        <v>8000</v>
      </c>
      <c r="EE16" s="285">
        <v>96000</v>
      </c>
      <c r="EF16" s="291">
        <v>0</v>
      </c>
      <c r="EG16" s="311">
        <v>26738.33</v>
      </c>
      <c r="EH16" s="47" t="s">
        <v>835</v>
      </c>
      <c r="EI16" s="47"/>
    </row>
    <row r="17" spans="2:138">
      <c r="B17" s="312" t="s">
        <v>88</v>
      </c>
      <c r="C17" s="284">
        <v>0</v>
      </c>
      <c r="D17" s="284">
        <v>0</v>
      </c>
      <c r="E17" s="284">
        <v>0</v>
      </c>
      <c r="F17" s="284">
        <v>0</v>
      </c>
      <c r="G17" s="284">
        <v>0</v>
      </c>
      <c r="H17" s="284">
        <v>0</v>
      </c>
      <c r="I17" s="284">
        <v>0</v>
      </c>
      <c r="J17" s="284">
        <v>0</v>
      </c>
      <c r="K17" s="284">
        <v>0</v>
      </c>
      <c r="L17" s="284">
        <v>0</v>
      </c>
      <c r="M17" s="284">
        <v>0</v>
      </c>
      <c r="N17" s="284">
        <v>0</v>
      </c>
      <c r="O17" s="285">
        <v>0</v>
      </c>
      <c r="P17" s="291">
        <v>0</v>
      </c>
      <c r="Q17" s="284">
        <v>0</v>
      </c>
      <c r="R17" s="284">
        <v>0</v>
      </c>
      <c r="S17" s="284">
        <v>0</v>
      </c>
      <c r="T17" s="284">
        <v>0</v>
      </c>
      <c r="U17" s="284">
        <v>0</v>
      </c>
      <c r="V17" s="284">
        <v>0</v>
      </c>
      <c r="W17" s="284">
        <v>0</v>
      </c>
      <c r="X17" s="284">
        <v>0</v>
      </c>
      <c r="Y17" s="284">
        <v>0</v>
      </c>
      <c r="Z17" s="284">
        <v>0</v>
      </c>
      <c r="AA17" s="284">
        <v>0</v>
      </c>
      <c r="AB17" s="284">
        <v>0</v>
      </c>
      <c r="AC17" s="284">
        <v>0</v>
      </c>
      <c r="AD17" s="285">
        <v>0</v>
      </c>
      <c r="AE17" s="291">
        <v>0</v>
      </c>
      <c r="AF17" s="284">
        <v>0</v>
      </c>
      <c r="AG17" s="284">
        <v>0</v>
      </c>
      <c r="AH17" s="284">
        <v>0</v>
      </c>
      <c r="AI17" s="284">
        <v>0</v>
      </c>
      <c r="AJ17" s="284">
        <v>0</v>
      </c>
      <c r="AK17" s="284">
        <v>0</v>
      </c>
      <c r="AL17" s="284">
        <v>0</v>
      </c>
      <c r="AM17" s="284">
        <v>26.58</v>
      </c>
      <c r="AN17" s="284">
        <v>0</v>
      </c>
      <c r="AO17" s="284">
        <v>0</v>
      </c>
      <c r="AP17" s="284">
        <v>0</v>
      </c>
      <c r="AQ17" s="284">
        <v>523.86</v>
      </c>
      <c r="AR17" s="284">
        <v>646.19999999999993</v>
      </c>
      <c r="AS17" s="285">
        <v>1196.6399999999999</v>
      </c>
      <c r="AT17" s="291">
        <v>0</v>
      </c>
      <c r="AU17" s="284">
        <v>0</v>
      </c>
      <c r="AV17" s="284">
        <v>0</v>
      </c>
      <c r="AW17" s="284">
        <v>155.12</v>
      </c>
      <c r="AX17" s="284">
        <v>3615.41</v>
      </c>
      <c r="AY17" s="284">
        <v>4932.2599999999984</v>
      </c>
      <c r="AZ17" s="284">
        <v>0</v>
      </c>
      <c r="BA17" s="284">
        <v>0</v>
      </c>
      <c r="BB17" s="284">
        <v>0</v>
      </c>
      <c r="BC17" s="284">
        <v>0</v>
      </c>
      <c r="BD17" s="284">
        <v>0</v>
      </c>
      <c r="BE17" s="284">
        <v>0</v>
      </c>
      <c r="BF17" s="284">
        <v>0</v>
      </c>
      <c r="BG17" s="284">
        <v>0</v>
      </c>
      <c r="BH17" s="285">
        <v>8702.7899999999972</v>
      </c>
      <c r="BI17" s="291">
        <v>0</v>
      </c>
      <c r="BJ17" s="284">
        <v>0</v>
      </c>
      <c r="BK17" s="284">
        <v>0</v>
      </c>
      <c r="BL17" s="284">
        <v>657.66000000000008</v>
      </c>
      <c r="BM17" s="284">
        <v>0</v>
      </c>
      <c r="BN17" s="284">
        <v>0</v>
      </c>
      <c r="BO17" s="284">
        <v>541.20000000000005</v>
      </c>
      <c r="BP17" s="284">
        <v>0</v>
      </c>
      <c r="BQ17" s="284">
        <v>0</v>
      </c>
      <c r="BR17" s="284">
        <v>0</v>
      </c>
      <c r="BS17" s="284">
        <v>0</v>
      </c>
      <c r="BT17" s="284">
        <v>0</v>
      </c>
      <c r="BU17" s="284">
        <v>0</v>
      </c>
      <c r="BV17" s="284">
        <v>0</v>
      </c>
      <c r="BW17" s="285">
        <v>1198.8600000000001</v>
      </c>
      <c r="BX17" s="291">
        <v>0</v>
      </c>
      <c r="BY17" s="284">
        <v>0</v>
      </c>
      <c r="BZ17" s="284">
        <v>0</v>
      </c>
      <c r="CA17" s="284">
        <v>0</v>
      </c>
      <c r="CB17" s="284">
        <v>0</v>
      </c>
      <c r="CC17" s="284">
        <v>0</v>
      </c>
      <c r="CD17" s="284">
        <v>0</v>
      </c>
      <c r="CE17" s="284">
        <v>0</v>
      </c>
      <c r="CF17" s="284">
        <v>0</v>
      </c>
      <c r="CG17" s="284">
        <v>0</v>
      </c>
      <c r="CH17" s="284">
        <v>0</v>
      </c>
      <c r="CI17" s="284">
        <v>0</v>
      </c>
      <c r="CJ17" s="284">
        <v>0</v>
      </c>
      <c r="CK17" s="284">
        <v>0</v>
      </c>
      <c r="CL17" s="285">
        <v>0</v>
      </c>
      <c r="CM17" s="291">
        <v>0</v>
      </c>
      <c r="CN17" s="284">
        <v>0</v>
      </c>
      <c r="CO17" s="284">
        <v>0</v>
      </c>
      <c r="CP17" s="284">
        <v>0</v>
      </c>
      <c r="CQ17" s="284">
        <v>0</v>
      </c>
      <c r="CR17" s="284">
        <v>0</v>
      </c>
      <c r="CS17" s="284">
        <v>0</v>
      </c>
      <c r="CT17" s="284">
        <v>0</v>
      </c>
      <c r="CU17" s="284">
        <v>0</v>
      </c>
      <c r="CV17" s="284">
        <v>0</v>
      </c>
      <c r="CW17" s="284">
        <v>0</v>
      </c>
      <c r="CX17" s="284">
        <v>0</v>
      </c>
      <c r="CY17" s="284">
        <v>0</v>
      </c>
      <c r="CZ17" s="284">
        <v>186.03</v>
      </c>
      <c r="DA17" s="285">
        <v>186.03</v>
      </c>
      <c r="DB17" s="291">
        <v>0</v>
      </c>
      <c r="DC17" s="284">
        <v>0</v>
      </c>
      <c r="DD17" s="284">
        <v>0</v>
      </c>
      <c r="DE17" s="284">
        <v>0</v>
      </c>
      <c r="DF17" s="284">
        <v>0</v>
      </c>
      <c r="DG17" s="284">
        <v>0</v>
      </c>
      <c r="DH17" s="284">
        <v>0</v>
      </c>
      <c r="DI17" s="284">
        <v>0</v>
      </c>
      <c r="DJ17" s="284">
        <v>0</v>
      </c>
      <c r="DK17" s="284">
        <v>0</v>
      </c>
      <c r="DL17" s="284">
        <v>0</v>
      </c>
      <c r="DM17" s="284">
        <v>0</v>
      </c>
      <c r="DN17" s="284">
        <v>0</v>
      </c>
      <c r="DO17" s="284">
        <v>0</v>
      </c>
      <c r="DP17" s="285">
        <v>0</v>
      </c>
      <c r="DQ17" s="291">
        <v>0</v>
      </c>
      <c r="DR17" s="284">
        <v>0</v>
      </c>
      <c r="DS17" s="284">
        <v>0</v>
      </c>
      <c r="DT17" s="284">
        <v>0</v>
      </c>
      <c r="DU17" s="284">
        <v>0</v>
      </c>
      <c r="DV17" s="284">
        <v>0</v>
      </c>
      <c r="DW17" s="284">
        <v>0</v>
      </c>
      <c r="DX17" s="284">
        <v>0</v>
      </c>
      <c r="DY17" s="284">
        <v>0</v>
      </c>
      <c r="DZ17" s="284">
        <v>0</v>
      </c>
      <c r="EA17" s="284">
        <v>0</v>
      </c>
      <c r="EB17" s="284">
        <v>0</v>
      </c>
      <c r="EC17" s="284">
        <v>0</v>
      </c>
      <c r="ED17" s="284">
        <v>0</v>
      </c>
      <c r="EE17" s="285">
        <v>0</v>
      </c>
      <c r="EF17" s="291">
        <v>0</v>
      </c>
      <c r="EG17" s="311">
        <v>0</v>
      </c>
    </row>
    <row r="18" spans="2:138">
      <c r="B18" s="312" t="s">
        <v>89</v>
      </c>
      <c r="C18" s="284">
        <v>0</v>
      </c>
      <c r="D18" s="284">
        <v>0</v>
      </c>
      <c r="E18" s="284">
        <v>0</v>
      </c>
      <c r="F18" s="284">
        <v>0</v>
      </c>
      <c r="G18" s="284">
        <v>0</v>
      </c>
      <c r="H18" s="284">
        <v>0</v>
      </c>
      <c r="I18" s="284">
        <v>0</v>
      </c>
      <c r="J18" s="284">
        <v>0</v>
      </c>
      <c r="K18" s="284">
        <v>0</v>
      </c>
      <c r="L18" s="284">
        <v>0</v>
      </c>
      <c r="M18" s="284">
        <v>0</v>
      </c>
      <c r="N18" s="284">
        <v>0</v>
      </c>
      <c r="O18" s="285">
        <v>0</v>
      </c>
      <c r="P18" s="291">
        <v>0</v>
      </c>
      <c r="Q18" s="284">
        <v>0</v>
      </c>
      <c r="R18" s="284">
        <v>0</v>
      </c>
      <c r="S18" s="284">
        <v>0</v>
      </c>
      <c r="T18" s="284">
        <v>400</v>
      </c>
      <c r="U18" s="284">
        <v>0</v>
      </c>
      <c r="V18" s="284">
        <v>0</v>
      </c>
      <c r="W18" s="284">
        <v>0</v>
      </c>
      <c r="X18" s="284">
        <v>0</v>
      </c>
      <c r="Y18" s="284">
        <v>0</v>
      </c>
      <c r="Z18" s="284">
        <v>0</v>
      </c>
      <c r="AA18" s="284">
        <v>0</v>
      </c>
      <c r="AB18" s="284">
        <v>0</v>
      </c>
      <c r="AC18" s="284">
        <v>0</v>
      </c>
      <c r="AD18" s="285">
        <v>400</v>
      </c>
      <c r="AE18" s="291">
        <v>0</v>
      </c>
      <c r="AF18" s="284">
        <v>0</v>
      </c>
      <c r="AG18" s="284">
        <v>0</v>
      </c>
      <c r="AH18" s="284">
        <v>0</v>
      </c>
      <c r="AI18" s="284">
        <v>0</v>
      </c>
      <c r="AJ18" s="284">
        <v>0</v>
      </c>
      <c r="AK18" s="284">
        <v>0</v>
      </c>
      <c r="AL18" s="284">
        <v>0</v>
      </c>
      <c r="AM18" s="284">
        <v>0</v>
      </c>
      <c r="AN18" s="284">
        <v>0</v>
      </c>
      <c r="AO18" s="284">
        <v>0</v>
      </c>
      <c r="AP18" s="284">
        <v>0</v>
      </c>
      <c r="AQ18" s="284">
        <v>0</v>
      </c>
      <c r="AR18" s="284">
        <v>0</v>
      </c>
      <c r="AS18" s="285">
        <v>0</v>
      </c>
      <c r="AT18" s="291">
        <v>0</v>
      </c>
      <c r="AU18" s="284">
        <v>0</v>
      </c>
      <c r="AV18" s="284">
        <v>0</v>
      </c>
      <c r="AW18" s="284">
        <v>0</v>
      </c>
      <c r="AX18" s="284">
        <v>0</v>
      </c>
      <c r="AY18" s="284">
        <v>0</v>
      </c>
      <c r="AZ18" s="284">
        <v>0</v>
      </c>
      <c r="BA18" s="284">
        <v>0</v>
      </c>
      <c r="BB18" s="284">
        <v>0</v>
      </c>
      <c r="BC18" s="284">
        <v>0</v>
      </c>
      <c r="BD18" s="284">
        <v>0</v>
      </c>
      <c r="BE18" s="284">
        <v>0</v>
      </c>
      <c r="BF18" s="284">
        <v>0</v>
      </c>
      <c r="BG18" s="284">
        <v>0</v>
      </c>
      <c r="BH18" s="285">
        <v>0</v>
      </c>
      <c r="BI18" s="291">
        <v>0</v>
      </c>
      <c r="BJ18" s="284">
        <v>0</v>
      </c>
      <c r="BK18" s="284">
        <v>0</v>
      </c>
      <c r="BL18" s="284">
        <v>0</v>
      </c>
      <c r="BM18" s="284">
        <v>0</v>
      </c>
      <c r="BN18" s="284">
        <v>0</v>
      </c>
      <c r="BO18" s="284">
        <v>0</v>
      </c>
      <c r="BP18" s="284">
        <v>0</v>
      </c>
      <c r="BQ18" s="284">
        <v>0</v>
      </c>
      <c r="BR18" s="284">
        <v>0</v>
      </c>
      <c r="BS18" s="284">
        <v>0</v>
      </c>
      <c r="BT18" s="284">
        <v>0</v>
      </c>
      <c r="BU18" s="284">
        <v>0</v>
      </c>
      <c r="BV18" s="284">
        <v>0</v>
      </c>
      <c r="BW18" s="285">
        <v>0</v>
      </c>
      <c r="BX18" s="291">
        <v>0</v>
      </c>
      <c r="BY18" s="284">
        <v>0</v>
      </c>
      <c r="BZ18" s="284">
        <v>0</v>
      </c>
      <c r="CA18" s="284">
        <v>0</v>
      </c>
      <c r="CB18" s="284">
        <v>0</v>
      </c>
      <c r="CC18" s="284">
        <v>0</v>
      </c>
      <c r="CD18" s="284">
        <v>0</v>
      </c>
      <c r="CE18" s="284">
        <v>0</v>
      </c>
      <c r="CF18" s="284">
        <v>0</v>
      </c>
      <c r="CG18" s="284">
        <v>0</v>
      </c>
      <c r="CH18" s="284">
        <v>0</v>
      </c>
      <c r="CI18" s="284">
        <v>0</v>
      </c>
      <c r="CJ18" s="284">
        <v>0</v>
      </c>
      <c r="CK18" s="284">
        <v>0</v>
      </c>
      <c r="CL18" s="285">
        <v>0</v>
      </c>
      <c r="CM18" s="291">
        <v>0</v>
      </c>
      <c r="CN18" s="284">
        <v>0</v>
      </c>
      <c r="CO18" s="284">
        <v>0</v>
      </c>
      <c r="CP18" s="284">
        <v>0</v>
      </c>
      <c r="CQ18" s="284">
        <v>0</v>
      </c>
      <c r="CR18" s="284">
        <v>0</v>
      </c>
      <c r="CS18" s="284">
        <v>0</v>
      </c>
      <c r="CT18" s="284">
        <v>0</v>
      </c>
      <c r="CU18" s="284">
        <v>0</v>
      </c>
      <c r="CV18" s="284">
        <v>0</v>
      </c>
      <c r="CW18" s="284">
        <v>0</v>
      </c>
      <c r="CX18" s="284">
        <v>0</v>
      </c>
      <c r="CY18" s="284">
        <v>0</v>
      </c>
      <c r="CZ18" s="284">
        <v>0</v>
      </c>
      <c r="DA18" s="285">
        <v>0</v>
      </c>
      <c r="DB18" s="291">
        <v>0</v>
      </c>
      <c r="DC18" s="284">
        <v>0</v>
      </c>
      <c r="DD18" s="284">
        <v>0</v>
      </c>
      <c r="DE18" s="284">
        <v>0</v>
      </c>
      <c r="DF18" s="284">
        <v>0</v>
      </c>
      <c r="DG18" s="284">
        <v>0</v>
      </c>
      <c r="DH18" s="284">
        <v>0</v>
      </c>
      <c r="DI18" s="284">
        <v>0</v>
      </c>
      <c r="DJ18" s="284">
        <v>0</v>
      </c>
      <c r="DK18" s="284">
        <v>0</v>
      </c>
      <c r="DL18" s="284">
        <v>0</v>
      </c>
      <c r="DM18" s="284">
        <v>0</v>
      </c>
      <c r="DN18" s="284">
        <v>0</v>
      </c>
      <c r="DO18" s="284">
        <v>0</v>
      </c>
      <c r="DP18" s="285">
        <v>0</v>
      </c>
      <c r="DQ18" s="291">
        <v>0</v>
      </c>
      <c r="DR18" s="284">
        <v>0</v>
      </c>
      <c r="DS18" s="284">
        <v>0</v>
      </c>
      <c r="DT18" s="284">
        <v>0</v>
      </c>
      <c r="DU18" s="284">
        <v>0</v>
      </c>
      <c r="DV18" s="284">
        <v>0</v>
      </c>
      <c r="DW18" s="284">
        <v>0</v>
      </c>
      <c r="DX18" s="284">
        <v>0</v>
      </c>
      <c r="DY18" s="284">
        <v>0</v>
      </c>
      <c r="DZ18" s="284">
        <v>0</v>
      </c>
      <c r="EA18" s="284">
        <v>0</v>
      </c>
      <c r="EB18" s="284">
        <v>0</v>
      </c>
      <c r="EC18" s="284">
        <v>0</v>
      </c>
      <c r="ED18" s="284">
        <v>0</v>
      </c>
      <c r="EE18" s="285">
        <v>0</v>
      </c>
      <c r="EF18" s="291">
        <v>0</v>
      </c>
      <c r="EG18" s="311">
        <v>0</v>
      </c>
    </row>
    <row r="19" spans="2:138">
      <c r="B19" s="288" t="s">
        <v>4</v>
      </c>
      <c r="C19" s="284">
        <v>81725.429999999993</v>
      </c>
      <c r="D19" s="284">
        <v>92205.25999999998</v>
      </c>
      <c r="E19" s="284">
        <v>52184.809999999983</v>
      </c>
      <c r="F19" s="284">
        <v>57610.790000000008</v>
      </c>
      <c r="G19" s="284">
        <v>69398.799999999988</v>
      </c>
      <c r="H19" s="284">
        <v>63714.12</v>
      </c>
      <c r="I19" s="284">
        <v>69778.919999999984</v>
      </c>
      <c r="J19" s="284">
        <v>68567.679999999993</v>
      </c>
      <c r="K19" s="284">
        <v>49439.31</v>
      </c>
      <c r="L19" s="284">
        <v>26219.350000000002</v>
      </c>
      <c r="M19" s="284">
        <v>78194.759999999995</v>
      </c>
      <c r="N19" s="284">
        <v>42577.04</v>
      </c>
      <c r="O19" s="285">
        <v>751616.2699999999</v>
      </c>
      <c r="P19" s="291">
        <v>0</v>
      </c>
      <c r="Q19" s="284">
        <v>234788.98577570467</v>
      </c>
      <c r="R19" s="284">
        <v>34152.699999999997</v>
      </c>
      <c r="S19" s="284">
        <v>56661.15</v>
      </c>
      <c r="T19" s="284">
        <v>56924.63</v>
      </c>
      <c r="U19" s="284">
        <v>42243.729999999996</v>
      </c>
      <c r="V19" s="284">
        <v>30559.19</v>
      </c>
      <c r="W19" s="284">
        <v>51465.97</v>
      </c>
      <c r="X19" s="284">
        <v>84152.42</v>
      </c>
      <c r="Y19" s="284">
        <v>68406.930000000008</v>
      </c>
      <c r="Z19" s="284">
        <v>35943.97</v>
      </c>
      <c r="AA19" s="284">
        <v>66990.319999999978</v>
      </c>
      <c r="AB19" s="284">
        <v>47649.86</v>
      </c>
      <c r="AC19" s="284">
        <v>40683.72</v>
      </c>
      <c r="AD19" s="285">
        <v>615834.59000000008</v>
      </c>
      <c r="AE19" s="291">
        <v>0</v>
      </c>
      <c r="AF19" s="284">
        <v>235104.22577570466</v>
      </c>
      <c r="AG19" s="284">
        <v>98724.03</v>
      </c>
      <c r="AH19" s="284">
        <v>47155.959999999992</v>
      </c>
      <c r="AI19" s="284">
        <v>47140.599999999984</v>
      </c>
      <c r="AJ19" s="284">
        <v>51543.56</v>
      </c>
      <c r="AK19" s="284">
        <v>40410.190000000017</v>
      </c>
      <c r="AL19" s="284">
        <v>19174.519999999997</v>
      </c>
      <c r="AM19" s="284">
        <v>64736.939999999995</v>
      </c>
      <c r="AN19" s="284">
        <v>65892.28</v>
      </c>
      <c r="AO19" s="284">
        <v>21895.73</v>
      </c>
      <c r="AP19" s="284">
        <v>92882.87000000001</v>
      </c>
      <c r="AQ19" s="284">
        <v>75080.62</v>
      </c>
      <c r="AR19" s="284">
        <v>19549.93</v>
      </c>
      <c r="AS19" s="285">
        <v>644187.23</v>
      </c>
      <c r="AT19" s="291">
        <v>0</v>
      </c>
      <c r="AU19" s="284">
        <v>234788.98577570467</v>
      </c>
      <c r="AV19" s="284">
        <v>138052.94</v>
      </c>
      <c r="AW19" s="284">
        <v>57638.81</v>
      </c>
      <c r="AX19" s="284">
        <v>45653.62999999999</v>
      </c>
      <c r="AY19" s="284">
        <v>58432</v>
      </c>
      <c r="AZ19" s="284">
        <v>138030.64000000001</v>
      </c>
      <c r="BA19" s="284">
        <v>7826.4299999999994</v>
      </c>
      <c r="BB19" s="284">
        <v>101321.84999999998</v>
      </c>
      <c r="BC19" s="284">
        <v>197924.13000000003</v>
      </c>
      <c r="BD19" s="284">
        <v>223336.42000000004</v>
      </c>
      <c r="BE19" s="284">
        <v>325166.06000000023</v>
      </c>
      <c r="BF19" s="284">
        <v>269743.16000000003</v>
      </c>
      <c r="BG19" s="284">
        <v>212280.47000000003</v>
      </c>
      <c r="BH19" s="285">
        <v>1775406.5400000003</v>
      </c>
      <c r="BI19" s="291">
        <v>0</v>
      </c>
      <c r="BJ19" s="284">
        <v>234788.98577570467</v>
      </c>
      <c r="BK19" s="284">
        <v>100139.53000000001</v>
      </c>
      <c r="BL19" s="284">
        <v>95140.959999999992</v>
      </c>
      <c r="BM19" s="284">
        <v>126931.88</v>
      </c>
      <c r="BN19" s="284">
        <v>210240.59</v>
      </c>
      <c r="BO19" s="284">
        <v>148925.16000000003</v>
      </c>
      <c r="BP19" s="284">
        <v>172003.16</v>
      </c>
      <c r="BQ19" s="284">
        <v>106706.03</v>
      </c>
      <c r="BR19" s="284">
        <v>146916</v>
      </c>
      <c r="BS19" s="284">
        <v>189840.33999999997</v>
      </c>
      <c r="BT19" s="284">
        <v>72409.819999999992</v>
      </c>
      <c r="BU19" s="284">
        <v>148534.96000000002</v>
      </c>
      <c r="BV19" s="284">
        <v>103661.54000000283</v>
      </c>
      <c r="BW19" s="285">
        <v>1621449.9700000051</v>
      </c>
      <c r="BX19" s="291">
        <v>0</v>
      </c>
      <c r="BY19" s="284">
        <v>230496.89577570156</v>
      </c>
      <c r="BZ19" s="284">
        <v>215497.19999999972</v>
      </c>
      <c r="CA19" s="284">
        <v>117100</v>
      </c>
      <c r="CB19" s="284">
        <v>124144.81</v>
      </c>
      <c r="CC19" s="284">
        <v>91323.25</v>
      </c>
      <c r="CD19" s="284">
        <v>63078.479999999996</v>
      </c>
      <c r="CE19" s="284">
        <v>203643.68999999997</v>
      </c>
      <c r="CF19" s="284">
        <v>201036.30000000002</v>
      </c>
      <c r="CG19" s="284">
        <v>130153.12000000004</v>
      </c>
      <c r="CH19" s="284">
        <v>108750.20999999999</v>
      </c>
      <c r="CI19" s="284">
        <v>132539.71</v>
      </c>
      <c r="CJ19" s="284">
        <v>168643</v>
      </c>
      <c r="CK19" s="284">
        <v>170897.28999999995</v>
      </c>
      <c r="CL19" s="285">
        <v>1726807.0599999994</v>
      </c>
      <c r="CM19" s="291">
        <v>0</v>
      </c>
      <c r="CN19" s="284">
        <v>226204.80577569845</v>
      </c>
      <c r="CO19" s="284">
        <v>146434.4800000001</v>
      </c>
      <c r="CP19" s="284">
        <v>201347.65000000005</v>
      </c>
      <c r="CQ19" s="284">
        <v>155258.51</v>
      </c>
      <c r="CR19" s="284">
        <v>99177.75999999998</v>
      </c>
      <c r="CS19" s="284">
        <v>247096.47999999998</v>
      </c>
      <c r="CT19" s="284">
        <v>82902.99000000002</v>
      </c>
      <c r="CU19" s="284">
        <v>149391.32000000007</v>
      </c>
      <c r="CV19" s="284">
        <v>9492883.1199999694</v>
      </c>
      <c r="CW19" s="284">
        <v>12042122.440000011</v>
      </c>
      <c r="CX19" s="284">
        <v>3796119</v>
      </c>
      <c r="CY19" s="284">
        <v>2651918.8999999948</v>
      </c>
      <c r="CZ19" s="284">
        <v>1833254.8399999973</v>
      </c>
      <c r="DA19" s="285">
        <v>30897907.489999972</v>
      </c>
      <c r="DB19" s="291">
        <v>0</v>
      </c>
      <c r="DC19" s="284">
        <v>234788.98577570467</v>
      </c>
      <c r="DD19" s="284">
        <v>90901.710000003106</v>
      </c>
      <c r="DE19" s="284">
        <v>226415.20999999996</v>
      </c>
      <c r="DF19" s="284">
        <v>234277.62</v>
      </c>
      <c r="DG19" s="284">
        <v>162623.03000000006</v>
      </c>
      <c r="DH19" s="284">
        <v>120303.05999999998</v>
      </c>
      <c r="DI19" s="284">
        <v>175513.07</v>
      </c>
      <c r="DJ19" s="284">
        <v>185126.59999999998</v>
      </c>
      <c r="DK19" s="284">
        <v>178068.57</v>
      </c>
      <c r="DL19" s="284">
        <v>199478.771996</v>
      </c>
      <c r="DM19" s="284">
        <v>191288.92072999995</v>
      </c>
      <c r="DN19" s="284">
        <v>181394.68843399998</v>
      </c>
      <c r="DO19" s="284">
        <v>168121.30612999998</v>
      </c>
      <c r="DP19" s="285">
        <v>2113512.5572900032</v>
      </c>
      <c r="DQ19" s="291">
        <v>0</v>
      </c>
      <c r="DR19" s="284">
        <v>234788.98577570467</v>
      </c>
      <c r="DS19" s="284">
        <v>142054.77280094603</v>
      </c>
      <c r="DT19" s="284">
        <v>214715.66570488043</v>
      </c>
      <c r="DU19" s="284">
        <v>186936.16651171522</v>
      </c>
      <c r="DV19" s="284">
        <v>188906.09814037761</v>
      </c>
      <c r="DW19" s="284">
        <v>252583.16181833603</v>
      </c>
      <c r="DX19" s="284">
        <v>173214.73571564481</v>
      </c>
      <c r="DY19" s="284">
        <v>195263.44200439632</v>
      </c>
      <c r="DZ19" s="284">
        <v>178797.5196033222</v>
      </c>
      <c r="EA19" s="284">
        <v>203651.94512671119</v>
      </c>
      <c r="EB19" s="284">
        <v>231447.98085656119</v>
      </c>
      <c r="EC19" s="284">
        <v>207101.72734322795</v>
      </c>
      <c r="ED19" s="284">
        <v>173628.32743958864</v>
      </c>
      <c r="EE19" s="285">
        <v>2348301.5430657077</v>
      </c>
      <c r="EF19" s="291">
        <v>0</v>
      </c>
      <c r="EG19" s="311">
        <v>234788.98577570467</v>
      </c>
    </row>
    <row r="20" spans="2:138">
      <c r="B20" s="312" t="s">
        <v>6</v>
      </c>
      <c r="C20" s="284">
        <v>79527.399999999994</v>
      </c>
      <c r="D20" s="284">
        <v>87391.50999999998</v>
      </c>
      <c r="E20" s="284">
        <v>50329.049999999981</v>
      </c>
      <c r="F20" s="284">
        <v>55339.630000000005</v>
      </c>
      <c r="G20" s="284">
        <v>63368.079999999994</v>
      </c>
      <c r="H20" s="284">
        <v>61294.5</v>
      </c>
      <c r="I20" s="284">
        <v>60779.049999999988</v>
      </c>
      <c r="J20" s="284">
        <v>68284.109999999986</v>
      </c>
      <c r="K20" s="284">
        <v>47570.64</v>
      </c>
      <c r="L20" s="284">
        <v>23978.03</v>
      </c>
      <c r="M20" s="284">
        <v>72251.579999999987</v>
      </c>
      <c r="N20" s="284">
        <v>39487.01</v>
      </c>
      <c r="O20" s="285">
        <v>709600.59</v>
      </c>
      <c r="P20" s="291">
        <v>0</v>
      </c>
      <c r="Q20" s="284">
        <v>233980.26577570778</v>
      </c>
      <c r="R20" s="284">
        <v>30923.64</v>
      </c>
      <c r="S20" s="284">
        <v>55909.380000000005</v>
      </c>
      <c r="T20" s="284">
        <v>54486.77</v>
      </c>
      <c r="U20" s="284">
        <v>41156.609999999993</v>
      </c>
      <c r="V20" s="284">
        <v>29479.71</v>
      </c>
      <c r="W20" s="284">
        <v>48888.89</v>
      </c>
      <c r="X20" s="284">
        <v>80503.28</v>
      </c>
      <c r="Y20" s="284">
        <v>40237.539999999994</v>
      </c>
      <c r="Z20" s="284">
        <v>32503.590000000004</v>
      </c>
      <c r="AA20" s="284">
        <v>64349.209999999985</v>
      </c>
      <c r="AB20" s="284">
        <v>44402.26</v>
      </c>
      <c r="AC20" s="284">
        <v>36436.97</v>
      </c>
      <c r="AD20" s="285">
        <v>559277.85</v>
      </c>
      <c r="AE20" s="291">
        <v>0</v>
      </c>
      <c r="AF20" s="284">
        <v>233980.26577570778</v>
      </c>
      <c r="AG20" s="284">
        <v>95020.65</v>
      </c>
      <c r="AH20" s="284">
        <v>44026.829999999987</v>
      </c>
      <c r="AI20" s="284">
        <v>42862.729999999989</v>
      </c>
      <c r="AJ20" s="284">
        <v>43658.96</v>
      </c>
      <c r="AK20" s="284">
        <v>19705.830000000002</v>
      </c>
      <c r="AL20" s="284">
        <v>30946.740000000005</v>
      </c>
      <c r="AM20" s="284">
        <v>61806.59</v>
      </c>
      <c r="AN20" s="284">
        <v>62154.07</v>
      </c>
      <c r="AO20" s="284">
        <v>17306.18</v>
      </c>
      <c r="AP20" s="284">
        <v>88212.77</v>
      </c>
      <c r="AQ20" s="284">
        <v>62635.539999999994</v>
      </c>
      <c r="AR20" s="284">
        <v>20290.12</v>
      </c>
      <c r="AS20" s="285">
        <v>588627.01</v>
      </c>
      <c r="AT20" s="291">
        <v>0</v>
      </c>
      <c r="AU20" s="284">
        <v>233980.26577570778</v>
      </c>
      <c r="AV20" s="284">
        <v>129242.81</v>
      </c>
      <c r="AW20" s="284">
        <v>53183.89</v>
      </c>
      <c r="AX20" s="284">
        <v>38926.969999999994</v>
      </c>
      <c r="AY20" s="284">
        <v>53609.56</v>
      </c>
      <c r="AZ20" s="284">
        <v>131629.32</v>
      </c>
      <c r="BA20" s="284">
        <v>4207.8399999999992</v>
      </c>
      <c r="BB20" s="284">
        <v>92557.01999999999</v>
      </c>
      <c r="BC20" s="284">
        <v>191596.46000000002</v>
      </c>
      <c r="BD20" s="284">
        <v>207457.40000000002</v>
      </c>
      <c r="BE20" s="284">
        <v>305708.43000000023</v>
      </c>
      <c r="BF20" s="284">
        <v>251712.43000000002</v>
      </c>
      <c r="BG20" s="284">
        <v>201606.56000000003</v>
      </c>
      <c r="BH20" s="285">
        <v>1661438.6900000004</v>
      </c>
      <c r="BI20" s="291">
        <v>0</v>
      </c>
      <c r="BJ20" s="284">
        <v>233980.26577570778</v>
      </c>
      <c r="BK20" s="284">
        <v>88708.48000000001</v>
      </c>
      <c r="BL20" s="284">
        <v>89132.84</v>
      </c>
      <c r="BM20" s="284">
        <v>115882.61</v>
      </c>
      <c r="BN20" s="284">
        <v>206750.52999999997</v>
      </c>
      <c r="BO20" s="284">
        <v>128667.54000000001</v>
      </c>
      <c r="BP20" s="284">
        <v>156783.47</v>
      </c>
      <c r="BQ20" s="284">
        <v>97035.199999999997</v>
      </c>
      <c r="BR20" s="284">
        <v>141823</v>
      </c>
      <c r="BS20" s="284">
        <v>176881.20999999996</v>
      </c>
      <c r="BT20" s="284">
        <v>64948.889999999992</v>
      </c>
      <c r="BU20" s="284">
        <v>141063.36000000002</v>
      </c>
      <c r="BV20" s="284">
        <v>103661.54000000001</v>
      </c>
      <c r="BW20" s="285">
        <v>1511338.67</v>
      </c>
      <c r="BX20" s="291">
        <v>0</v>
      </c>
      <c r="BY20" s="284">
        <v>233980.26577570778</v>
      </c>
      <c r="BZ20" s="284">
        <v>206698.89000000004</v>
      </c>
      <c r="CA20" s="284">
        <v>113372</v>
      </c>
      <c r="CB20" s="284">
        <v>118907.06</v>
      </c>
      <c r="CC20" s="284">
        <v>91323.25</v>
      </c>
      <c r="CD20" s="284">
        <v>62787.03</v>
      </c>
      <c r="CE20" s="284">
        <v>199447.69999999998</v>
      </c>
      <c r="CF20" s="284">
        <v>185207.89</v>
      </c>
      <c r="CG20" s="284">
        <v>128038.96000000004</v>
      </c>
      <c r="CH20" s="284">
        <v>106603.53</v>
      </c>
      <c r="CI20" s="284">
        <v>130366.85</v>
      </c>
      <c r="CJ20" s="284">
        <v>164116.54</v>
      </c>
      <c r="CK20" s="284">
        <v>163800.56999999995</v>
      </c>
      <c r="CL20" s="285">
        <v>1670670.27</v>
      </c>
      <c r="CM20" s="291">
        <v>0</v>
      </c>
      <c r="CN20" s="284">
        <v>233980.26577570778</v>
      </c>
      <c r="CO20" s="284">
        <v>146132.84000000008</v>
      </c>
      <c r="CP20" s="284">
        <v>197495.89000000004</v>
      </c>
      <c r="CQ20" s="284">
        <v>146266.14000000001</v>
      </c>
      <c r="CR20" s="284">
        <v>87593.209999999977</v>
      </c>
      <c r="CS20" s="284">
        <v>241947.77</v>
      </c>
      <c r="CT20" s="284">
        <v>77384.340000000011</v>
      </c>
      <c r="CU20" s="284">
        <v>134034.10000000006</v>
      </c>
      <c r="CV20" s="284">
        <v>219286.02</v>
      </c>
      <c r="CW20" s="284">
        <v>101714.04</v>
      </c>
      <c r="CX20" s="284">
        <v>189383</v>
      </c>
      <c r="CY20" s="284">
        <v>154909.55000000002</v>
      </c>
      <c r="CZ20" s="284">
        <v>141661.26</v>
      </c>
      <c r="DA20" s="285">
        <v>1837808.1600000001</v>
      </c>
      <c r="DB20" s="291">
        <v>0</v>
      </c>
      <c r="DC20" s="284">
        <v>233980.26577570778</v>
      </c>
      <c r="DD20" s="284">
        <v>66666.8</v>
      </c>
      <c r="DE20" s="284">
        <v>204065.50999999998</v>
      </c>
      <c r="DF20" s="284">
        <v>220407.73</v>
      </c>
      <c r="DG20" s="284">
        <v>148897.08000000005</v>
      </c>
      <c r="DH20" s="284">
        <v>102752.56999999999</v>
      </c>
      <c r="DI20" s="284">
        <v>160987.71</v>
      </c>
      <c r="DJ20" s="284">
        <v>173852.39999999997</v>
      </c>
      <c r="DK20" s="284">
        <v>167658.79</v>
      </c>
      <c r="DL20" s="284">
        <v>195609.771996</v>
      </c>
      <c r="DM20" s="284">
        <v>187914.92072999995</v>
      </c>
      <c r="DN20" s="284">
        <v>178020.68843399998</v>
      </c>
      <c r="DO20" s="284">
        <v>164747.30612999998</v>
      </c>
      <c r="DP20" s="285">
        <v>1971581.2772899999</v>
      </c>
      <c r="DQ20" s="291">
        <v>0</v>
      </c>
      <c r="DR20" s="284">
        <v>233980.26577570778</v>
      </c>
      <c r="DS20" s="284">
        <v>130268.77280094601</v>
      </c>
      <c r="DT20" s="284">
        <v>202929.66570488043</v>
      </c>
      <c r="DU20" s="284">
        <v>175150.16651171522</v>
      </c>
      <c r="DV20" s="284">
        <v>177120.09814037761</v>
      </c>
      <c r="DW20" s="284">
        <v>239984.16181833603</v>
      </c>
      <c r="DX20" s="284">
        <v>161428.73571564481</v>
      </c>
      <c r="DY20" s="284">
        <v>183477.44200439632</v>
      </c>
      <c r="DZ20" s="284">
        <v>167011.5196033222</v>
      </c>
      <c r="EA20" s="284">
        <v>191370.94512671119</v>
      </c>
      <c r="EB20" s="284">
        <v>219661.98085656119</v>
      </c>
      <c r="EC20" s="284">
        <v>195315.72734322795</v>
      </c>
      <c r="ED20" s="284">
        <v>161842.32743958864</v>
      </c>
      <c r="EE20" s="318">
        <v>2205561.5430657077</v>
      </c>
      <c r="EF20" s="291">
        <v>0</v>
      </c>
      <c r="EG20" s="317">
        <v>233980.26577570778</v>
      </c>
      <c r="EH20" t="s">
        <v>826</v>
      </c>
    </row>
    <row r="21" spans="2:138">
      <c r="B21" s="312" t="s">
        <v>90</v>
      </c>
      <c r="C21" s="284">
        <v>1863.0299999999993</v>
      </c>
      <c r="D21" s="284">
        <v>4813.75</v>
      </c>
      <c r="E21" s="284">
        <v>1595.66</v>
      </c>
      <c r="F21" s="284">
        <v>2151.1600000000003</v>
      </c>
      <c r="G21" s="284">
        <v>6030.7199999999993</v>
      </c>
      <c r="H21" s="284">
        <v>2119.62</v>
      </c>
      <c r="I21" s="284">
        <v>8999.8699999999972</v>
      </c>
      <c r="J21" s="284">
        <v>0</v>
      </c>
      <c r="K21" s="284">
        <v>1743.6699999999996</v>
      </c>
      <c r="L21" s="284">
        <v>2135.7400000000007</v>
      </c>
      <c r="M21" s="284">
        <v>5668.0800000000017</v>
      </c>
      <c r="N21" s="284">
        <v>1054.53</v>
      </c>
      <c r="O21" s="285">
        <v>38175.83</v>
      </c>
      <c r="P21" s="291">
        <v>0</v>
      </c>
      <c r="Q21" s="284">
        <v>-4292.0900000030961</v>
      </c>
      <c r="R21" s="284">
        <v>3139.0599999999995</v>
      </c>
      <c r="S21" s="284">
        <v>751.77</v>
      </c>
      <c r="T21" s="284">
        <v>1765.16</v>
      </c>
      <c r="U21" s="284">
        <v>858.12</v>
      </c>
      <c r="V21" s="284">
        <v>971.37999999999965</v>
      </c>
      <c r="W21" s="284">
        <v>2577.08</v>
      </c>
      <c r="X21" s="284">
        <v>3649.1399999999935</v>
      </c>
      <c r="Y21" s="284">
        <v>28169.390000000014</v>
      </c>
      <c r="Z21" s="284">
        <v>3440.3800000000006</v>
      </c>
      <c r="AA21" s="284">
        <v>2641.1099999999988</v>
      </c>
      <c r="AB21" s="284">
        <v>3247.6000000000004</v>
      </c>
      <c r="AC21" s="284">
        <v>3866.75</v>
      </c>
      <c r="AD21" s="285">
        <v>55076.94</v>
      </c>
      <c r="AE21" s="291">
        <v>0</v>
      </c>
      <c r="AF21" s="284">
        <v>-4292.0900000030961</v>
      </c>
      <c r="AG21" s="284">
        <v>3617.69</v>
      </c>
      <c r="AH21" s="284">
        <v>3129.130000000001</v>
      </c>
      <c r="AI21" s="284">
        <v>3578.0899999999988</v>
      </c>
      <c r="AJ21" s="284">
        <v>7884.5999999999985</v>
      </c>
      <c r="AK21" s="284">
        <v>20704.360000000015</v>
      </c>
      <c r="AL21" s="284">
        <v>-11772.220000000007</v>
      </c>
      <c r="AM21" s="284">
        <v>2930.349999999999</v>
      </c>
      <c r="AN21" s="284">
        <v>3738.2099999999996</v>
      </c>
      <c r="AO21" s="284">
        <v>4589.55</v>
      </c>
      <c r="AP21" s="284">
        <v>4157.0999999999995</v>
      </c>
      <c r="AQ21" s="284">
        <v>12265.099999999995</v>
      </c>
      <c r="AR21" s="284">
        <v>-781.95999999999992</v>
      </c>
      <c r="AS21" s="285">
        <v>54039.999999999993</v>
      </c>
      <c r="AT21" s="291">
        <v>0</v>
      </c>
      <c r="AU21" s="284">
        <v>-4292.0900000030961</v>
      </c>
      <c r="AV21" s="284">
        <v>8810.1299999999992</v>
      </c>
      <c r="AW21" s="284">
        <v>3169.9500000000007</v>
      </c>
      <c r="AX21" s="284">
        <v>6726.6599999999944</v>
      </c>
      <c r="AY21" s="284">
        <v>4822.4399999999987</v>
      </c>
      <c r="AZ21" s="284">
        <v>5845.6599999999962</v>
      </c>
      <c r="BA21" s="284">
        <v>3618.59</v>
      </c>
      <c r="BB21" s="284">
        <v>8764.8299999999945</v>
      </c>
      <c r="BC21" s="284">
        <v>6327.6700000000028</v>
      </c>
      <c r="BD21" s="284">
        <v>15879.020000000006</v>
      </c>
      <c r="BE21" s="284">
        <v>18036.979999999992</v>
      </c>
      <c r="BF21" s="284">
        <v>16284.180000000002</v>
      </c>
      <c r="BG21" s="284">
        <v>10644.51</v>
      </c>
      <c r="BH21" s="285">
        <v>108930.62</v>
      </c>
      <c r="BI21" s="291">
        <v>0</v>
      </c>
      <c r="BJ21" s="284">
        <v>-4292.0900000030961</v>
      </c>
      <c r="BK21" s="284">
        <v>11431.05</v>
      </c>
      <c r="BL21" s="284">
        <v>6008.12</v>
      </c>
      <c r="BM21" s="284">
        <v>9613.2699999999986</v>
      </c>
      <c r="BN21" s="284">
        <v>1947.4200000000005</v>
      </c>
      <c r="BO21" s="284">
        <v>19817.670000000006</v>
      </c>
      <c r="BP21" s="284">
        <v>15110.490000000002</v>
      </c>
      <c r="BQ21" s="284">
        <v>9125.4399999999987</v>
      </c>
      <c r="BR21" s="284">
        <v>4951</v>
      </c>
      <c r="BS21" s="284">
        <v>12639.330000000005</v>
      </c>
      <c r="BT21" s="284">
        <v>6621.05</v>
      </c>
      <c r="BU21" s="284">
        <v>6988.9600000000019</v>
      </c>
      <c r="BV21" s="284">
        <v>0</v>
      </c>
      <c r="BW21" s="285">
        <v>104253.80000000447</v>
      </c>
      <c r="BX21" s="291">
        <v>0</v>
      </c>
      <c r="BY21" s="284">
        <v>-8584.1800000061921</v>
      </c>
      <c r="BZ21" s="284">
        <v>6950.3099999995902</v>
      </c>
      <c r="CA21" s="284">
        <v>2448</v>
      </c>
      <c r="CB21" s="284">
        <v>5161.95</v>
      </c>
      <c r="CC21" s="284">
        <v>0</v>
      </c>
      <c r="CD21" s="284">
        <v>51.45</v>
      </c>
      <c r="CE21" s="284">
        <v>3918.9900000000002</v>
      </c>
      <c r="CF21" s="284">
        <v>14247.93</v>
      </c>
      <c r="CG21" s="284">
        <v>1889.1599999999999</v>
      </c>
      <c r="CH21" s="284">
        <v>1921.6799999999998</v>
      </c>
      <c r="CI21" s="284">
        <v>561.83999999999992</v>
      </c>
      <c r="CJ21" s="284">
        <v>4301.46</v>
      </c>
      <c r="CK21" s="284">
        <v>6244.9199999999992</v>
      </c>
      <c r="CL21" s="285">
        <v>47697.689999999246</v>
      </c>
      <c r="CM21" s="291">
        <v>0</v>
      </c>
      <c r="CN21" s="284">
        <v>-12876.270000009288</v>
      </c>
      <c r="CO21" s="284">
        <v>67.64</v>
      </c>
      <c r="CP21" s="284">
        <v>2246.7599999999998</v>
      </c>
      <c r="CQ21" s="284">
        <v>8462.3699999999972</v>
      </c>
      <c r="CR21" s="284">
        <v>11178.300000000003</v>
      </c>
      <c r="CS21" s="284">
        <v>5148.71</v>
      </c>
      <c r="CT21" s="284">
        <v>4646.8500000000004</v>
      </c>
      <c r="CU21" s="284">
        <v>2693.2099999999996</v>
      </c>
      <c r="CV21" s="284">
        <v>9272729.1999999695</v>
      </c>
      <c r="CW21" s="284">
        <v>11936495.770000011</v>
      </c>
      <c r="CX21" s="284">
        <v>3604478</v>
      </c>
      <c r="CY21" s="284">
        <v>2493326.2399999946</v>
      </c>
      <c r="CZ21" s="284">
        <v>1690193.3799999973</v>
      </c>
      <c r="DA21" s="285">
        <v>29031666.429999974</v>
      </c>
      <c r="DB21" s="291">
        <v>0</v>
      </c>
      <c r="DC21" s="284">
        <v>-4292.0900000030961</v>
      </c>
      <c r="DD21" s="284">
        <v>20871.800000003095</v>
      </c>
      <c r="DE21" s="284">
        <v>21709.69999999999</v>
      </c>
      <c r="DF21" s="284">
        <v>7730.5499999999993</v>
      </c>
      <c r="DG21" s="284">
        <v>13725.949999999999</v>
      </c>
      <c r="DH21" s="284">
        <v>16583.28</v>
      </c>
      <c r="DI21" s="284">
        <v>11135.690000000002</v>
      </c>
      <c r="DJ21" s="284">
        <v>7515.010000000002</v>
      </c>
      <c r="DK21" s="284">
        <v>7020.1099999999942</v>
      </c>
      <c r="DL21" s="284">
        <v>0</v>
      </c>
      <c r="DM21" s="284">
        <v>0</v>
      </c>
      <c r="DN21" s="284">
        <v>0</v>
      </c>
      <c r="DO21" s="284">
        <v>0</v>
      </c>
      <c r="DP21" s="285">
        <v>106292.0900000031</v>
      </c>
      <c r="DQ21" s="291">
        <v>0</v>
      </c>
      <c r="DR21" s="284">
        <v>-4292.0900000030961</v>
      </c>
      <c r="DS21" s="284">
        <v>8500</v>
      </c>
      <c r="DT21" s="284">
        <v>8500</v>
      </c>
      <c r="DU21" s="284">
        <v>8500</v>
      </c>
      <c r="DV21" s="284">
        <v>8500</v>
      </c>
      <c r="DW21" s="284">
        <v>8500</v>
      </c>
      <c r="DX21" s="284">
        <v>8500</v>
      </c>
      <c r="DY21" s="284">
        <v>8500</v>
      </c>
      <c r="DZ21" s="284">
        <v>8500</v>
      </c>
      <c r="EA21" s="284">
        <v>8500</v>
      </c>
      <c r="EB21" s="284">
        <v>8500</v>
      </c>
      <c r="EC21" s="284">
        <v>8500</v>
      </c>
      <c r="ED21" s="284">
        <v>8500</v>
      </c>
      <c r="EE21" s="285">
        <v>102000</v>
      </c>
      <c r="EF21" s="291">
        <v>0</v>
      </c>
      <c r="EG21" s="311">
        <v>-4292.0900000030961</v>
      </c>
      <c r="EH21" s="47" t="s">
        <v>809</v>
      </c>
    </row>
    <row r="22" spans="2:138">
      <c r="B22" s="312" t="s">
        <v>5</v>
      </c>
      <c r="C22" s="284">
        <v>335</v>
      </c>
      <c r="D22" s="284">
        <v>0</v>
      </c>
      <c r="E22" s="284">
        <v>260.10000000000002</v>
      </c>
      <c r="F22" s="284">
        <v>120</v>
      </c>
      <c r="G22" s="284">
        <v>0</v>
      </c>
      <c r="H22" s="284">
        <v>300</v>
      </c>
      <c r="I22" s="284">
        <v>0</v>
      </c>
      <c r="J22" s="284">
        <v>283.57</v>
      </c>
      <c r="K22" s="284">
        <v>125</v>
      </c>
      <c r="L22" s="284">
        <v>89.5</v>
      </c>
      <c r="M22" s="284">
        <v>275.10000000000002</v>
      </c>
      <c r="N22" s="284">
        <v>2035.4999999999998</v>
      </c>
      <c r="O22" s="285">
        <v>3823.7699999999995</v>
      </c>
      <c r="P22" s="291">
        <v>0</v>
      </c>
      <c r="Q22" s="284">
        <v>5416.0499999999956</v>
      </c>
      <c r="R22" s="284">
        <v>90</v>
      </c>
      <c r="S22" s="284">
        <v>0</v>
      </c>
      <c r="T22" s="284">
        <v>672.7</v>
      </c>
      <c r="U22" s="284">
        <v>229</v>
      </c>
      <c r="V22" s="284">
        <v>108.1</v>
      </c>
      <c r="W22" s="284">
        <v>0</v>
      </c>
      <c r="X22" s="284">
        <v>0</v>
      </c>
      <c r="Y22" s="284">
        <v>0</v>
      </c>
      <c r="Z22" s="284">
        <v>0</v>
      </c>
      <c r="AA22" s="284">
        <v>0</v>
      </c>
      <c r="AB22" s="284">
        <v>0</v>
      </c>
      <c r="AC22" s="284">
        <v>380</v>
      </c>
      <c r="AD22" s="285">
        <v>1479.8</v>
      </c>
      <c r="AE22" s="291">
        <v>0</v>
      </c>
      <c r="AF22" s="284">
        <v>5416.0499999999956</v>
      </c>
      <c r="AG22" s="284">
        <v>85.69</v>
      </c>
      <c r="AH22" s="284">
        <v>0</v>
      </c>
      <c r="AI22" s="284">
        <v>699.78</v>
      </c>
      <c r="AJ22" s="284">
        <v>0</v>
      </c>
      <c r="AK22" s="284">
        <v>0</v>
      </c>
      <c r="AL22" s="284">
        <v>0</v>
      </c>
      <c r="AM22" s="284">
        <v>0</v>
      </c>
      <c r="AN22" s="284">
        <v>0</v>
      </c>
      <c r="AO22" s="284">
        <v>0</v>
      </c>
      <c r="AP22" s="284">
        <v>0</v>
      </c>
      <c r="AQ22" s="284">
        <v>179.98</v>
      </c>
      <c r="AR22" s="284">
        <v>41.769999999999996</v>
      </c>
      <c r="AS22" s="285">
        <v>1007.22</v>
      </c>
      <c r="AT22" s="291">
        <v>0</v>
      </c>
      <c r="AU22" s="284">
        <v>5416.0499999999956</v>
      </c>
      <c r="AV22" s="284">
        <v>0</v>
      </c>
      <c r="AW22" s="284">
        <v>0</v>
      </c>
      <c r="AX22" s="284">
        <v>0</v>
      </c>
      <c r="AY22" s="284">
        <v>0</v>
      </c>
      <c r="AZ22" s="284">
        <v>555.66</v>
      </c>
      <c r="BA22" s="284">
        <v>0</v>
      </c>
      <c r="BB22" s="284">
        <v>0</v>
      </c>
      <c r="BC22" s="284">
        <v>0</v>
      </c>
      <c r="BD22" s="284">
        <v>0</v>
      </c>
      <c r="BE22" s="284">
        <v>1420.6499999999999</v>
      </c>
      <c r="BF22" s="284">
        <v>1746.55</v>
      </c>
      <c r="BG22" s="284">
        <v>29.4</v>
      </c>
      <c r="BH22" s="285">
        <v>3752.2599999999998</v>
      </c>
      <c r="BI22" s="291">
        <v>0</v>
      </c>
      <c r="BJ22" s="284">
        <v>5416.0499999999956</v>
      </c>
      <c r="BK22" s="284">
        <v>0</v>
      </c>
      <c r="BL22" s="284">
        <v>0</v>
      </c>
      <c r="BM22" s="284">
        <v>1436</v>
      </c>
      <c r="BN22" s="284">
        <v>1542.64</v>
      </c>
      <c r="BO22" s="284">
        <v>0</v>
      </c>
      <c r="BP22" s="284">
        <v>109.19999999999999</v>
      </c>
      <c r="BQ22" s="284">
        <v>524.85</v>
      </c>
      <c r="BR22" s="284">
        <v>142</v>
      </c>
      <c r="BS22" s="284">
        <v>319.8</v>
      </c>
      <c r="BT22" s="284">
        <v>800</v>
      </c>
      <c r="BU22" s="284">
        <v>240</v>
      </c>
      <c r="BV22" s="284">
        <v>0</v>
      </c>
      <c r="BW22" s="285">
        <v>5114.49</v>
      </c>
      <c r="BX22" s="291">
        <v>0</v>
      </c>
      <c r="BY22" s="284">
        <v>5416.0499999999956</v>
      </c>
      <c r="BZ22" s="284">
        <v>1848</v>
      </c>
      <c r="CA22" s="284">
        <v>225</v>
      </c>
      <c r="CB22" s="284">
        <v>0</v>
      </c>
      <c r="CC22" s="284">
        <v>0</v>
      </c>
      <c r="CD22" s="284">
        <v>240</v>
      </c>
      <c r="CE22" s="284">
        <v>277</v>
      </c>
      <c r="CF22" s="284">
        <v>1545.57</v>
      </c>
      <c r="CG22" s="284">
        <v>225</v>
      </c>
      <c r="CH22" s="284">
        <v>225</v>
      </c>
      <c r="CI22" s="284">
        <v>1609</v>
      </c>
      <c r="CJ22" s="284">
        <v>225</v>
      </c>
      <c r="CK22" s="284">
        <v>225</v>
      </c>
      <c r="CL22" s="285">
        <v>6644.57</v>
      </c>
      <c r="CM22" s="291">
        <v>0</v>
      </c>
      <c r="CN22" s="284">
        <v>5416.0499999999956</v>
      </c>
      <c r="CO22" s="284">
        <v>234</v>
      </c>
      <c r="CP22" s="284">
        <v>1605</v>
      </c>
      <c r="CQ22" s="284">
        <v>0</v>
      </c>
      <c r="CR22" s="284">
        <v>406.25</v>
      </c>
      <c r="CS22" s="284">
        <v>0</v>
      </c>
      <c r="CT22" s="284">
        <v>815.8</v>
      </c>
      <c r="CU22" s="284">
        <v>12664.01</v>
      </c>
      <c r="CV22" s="284">
        <v>867.9</v>
      </c>
      <c r="CW22" s="284">
        <v>3912.6299999999997</v>
      </c>
      <c r="CX22" s="284">
        <v>1815</v>
      </c>
      <c r="CY22" s="284">
        <v>3683.11</v>
      </c>
      <c r="CZ22" s="284">
        <v>216</v>
      </c>
      <c r="DA22" s="285">
        <v>26219.700000000004</v>
      </c>
      <c r="DB22" s="291">
        <v>0</v>
      </c>
      <c r="DC22" s="284">
        <v>5416.0499999999956</v>
      </c>
      <c r="DD22" s="284">
        <v>3363.11</v>
      </c>
      <c r="DE22" s="284">
        <v>640</v>
      </c>
      <c r="DF22" s="284">
        <v>6139.34</v>
      </c>
      <c r="DG22" s="284">
        <v>0</v>
      </c>
      <c r="DH22" s="284">
        <v>156.37</v>
      </c>
      <c r="DI22" s="284">
        <v>3389.67</v>
      </c>
      <c r="DJ22" s="284">
        <v>3441.79</v>
      </c>
      <c r="DK22" s="284">
        <v>3389.67</v>
      </c>
      <c r="DL22" s="284">
        <v>3869</v>
      </c>
      <c r="DM22" s="284">
        <v>3374</v>
      </c>
      <c r="DN22" s="284">
        <v>3374</v>
      </c>
      <c r="DO22" s="284">
        <v>3374</v>
      </c>
      <c r="DP22" s="285">
        <v>34510.950000000004</v>
      </c>
      <c r="DQ22" s="291">
        <v>0</v>
      </c>
      <c r="DR22" s="284">
        <v>5416.0499999999956</v>
      </c>
      <c r="DS22" s="284">
        <v>3286</v>
      </c>
      <c r="DT22" s="284">
        <v>3286</v>
      </c>
      <c r="DU22" s="284">
        <v>3286</v>
      </c>
      <c r="DV22" s="284">
        <v>3286</v>
      </c>
      <c r="DW22" s="284">
        <v>3286</v>
      </c>
      <c r="DX22" s="284">
        <v>3286</v>
      </c>
      <c r="DY22" s="284">
        <v>3286</v>
      </c>
      <c r="DZ22" s="284">
        <v>3286</v>
      </c>
      <c r="EA22" s="284">
        <v>3781</v>
      </c>
      <c r="EB22" s="284">
        <v>3286</v>
      </c>
      <c r="EC22" s="284">
        <v>3286</v>
      </c>
      <c r="ED22" s="284">
        <v>3286</v>
      </c>
      <c r="EE22" s="285">
        <v>39927</v>
      </c>
      <c r="EF22" s="291">
        <v>0</v>
      </c>
      <c r="EG22" s="317">
        <v>5416.0499999999956</v>
      </c>
      <c r="EH22" s="47" t="s">
        <v>827</v>
      </c>
    </row>
    <row r="23" spans="2:138">
      <c r="B23" s="312" t="s">
        <v>33</v>
      </c>
      <c r="C23" s="284">
        <v>0</v>
      </c>
      <c r="D23" s="284">
        <v>0</v>
      </c>
      <c r="E23" s="284">
        <v>0</v>
      </c>
      <c r="F23" s="284">
        <v>0</v>
      </c>
      <c r="G23" s="284">
        <v>0</v>
      </c>
      <c r="H23" s="284">
        <v>0</v>
      </c>
      <c r="I23" s="284">
        <v>0</v>
      </c>
      <c r="J23" s="284">
        <v>0</v>
      </c>
      <c r="K23" s="284">
        <v>0</v>
      </c>
      <c r="L23" s="284">
        <v>16.079999999999998</v>
      </c>
      <c r="M23" s="284">
        <v>0</v>
      </c>
      <c r="N23" s="284">
        <v>0</v>
      </c>
      <c r="O23" s="285">
        <v>16.079999999999998</v>
      </c>
      <c r="P23" s="291">
        <v>0</v>
      </c>
      <c r="Q23" s="284">
        <v>-315.24</v>
      </c>
      <c r="R23" s="284">
        <v>0</v>
      </c>
      <c r="S23" s="284">
        <v>0</v>
      </c>
      <c r="T23" s="284">
        <v>0</v>
      </c>
      <c r="U23" s="284">
        <v>0</v>
      </c>
      <c r="V23" s="284">
        <v>0</v>
      </c>
      <c r="W23" s="284">
        <v>0</v>
      </c>
      <c r="X23" s="284">
        <v>0</v>
      </c>
      <c r="Y23" s="284">
        <v>0</v>
      </c>
      <c r="Z23" s="284">
        <v>0</v>
      </c>
      <c r="AA23" s="284">
        <v>0</v>
      </c>
      <c r="AB23" s="284">
        <v>0</v>
      </c>
      <c r="AC23" s="284">
        <v>0</v>
      </c>
      <c r="AD23" s="285">
        <v>0</v>
      </c>
      <c r="AE23" s="291">
        <v>0</v>
      </c>
      <c r="AF23" s="284">
        <v>0</v>
      </c>
      <c r="AG23" s="284">
        <v>0</v>
      </c>
      <c r="AH23" s="284">
        <v>0</v>
      </c>
      <c r="AI23" s="284">
        <v>0</v>
      </c>
      <c r="AJ23" s="284">
        <v>0</v>
      </c>
      <c r="AK23" s="284">
        <v>0</v>
      </c>
      <c r="AL23" s="284">
        <v>0</v>
      </c>
      <c r="AM23" s="284">
        <v>0</v>
      </c>
      <c r="AN23" s="284">
        <v>0</v>
      </c>
      <c r="AO23" s="284">
        <v>0</v>
      </c>
      <c r="AP23" s="284">
        <v>513</v>
      </c>
      <c r="AQ23" s="284">
        <v>0</v>
      </c>
      <c r="AR23" s="284">
        <v>0</v>
      </c>
      <c r="AS23" s="285">
        <v>513</v>
      </c>
      <c r="AT23" s="291">
        <v>0</v>
      </c>
      <c r="AU23" s="284">
        <v>-315.24</v>
      </c>
      <c r="AV23" s="284">
        <v>0</v>
      </c>
      <c r="AW23" s="284">
        <v>1284.97</v>
      </c>
      <c r="AX23" s="284">
        <v>0</v>
      </c>
      <c r="AY23" s="284">
        <v>0</v>
      </c>
      <c r="AZ23" s="284">
        <v>0</v>
      </c>
      <c r="BA23" s="284">
        <v>0</v>
      </c>
      <c r="BB23" s="284">
        <v>0</v>
      </c>
      <c r="BC23" s="284">
        <v>0</v>
      </c>
      <c r="BD23" s="284">
        <v>0</v>
      </c>
      <c r="BE23" s="284">
        <v>0</v>
      </c>
      <c r="BF23" s="284">
        <v>0</v>
      </c>
      <c r="BG23" s="284">
        <v>0</v>
      </c>
      <c r="BH23" s="285">
        <v>1284.97</v>
      </c>
      <c r="BI23" s="291">
        <v>0</v>
      </c>
      <c r="BJ23" s="284">
        <v>-315.24</v>
      </c>
      <c r="BK23" s="284">
        <v>0</v>
      </c>
      <c r="BL23" s="284">
        <v>0</v>
      </c>
      <c r="BM23" s="284">
        <v>0</v>
      </c>
      <c r="BN23" s="284">
        <v>0</v>
      </c>
      <c r="BO23" s="284">
        <v>439.95</v>
      </c>
      <c r="BP23" s="284">
        <v>0</v>
      </c>
      <c r="BQ23" s="284">
        <v>0</v>
      </c>
      <c r="BR23" s="284">
        <v>0</v>
      </c>
      <c r="BS23" s="284">
        <v>0</v>
      </c>
      <c r="BT23" s="284">
        <v>0</v>
      </c>
      <c r="BU23" s="284">
        <v>198</v>
      </c>
      <c r="BV23" s="284">
        <v>0</v>
      </c>
      <c r="BW23" s="285">
        <v>637.95000000000005</v>
      </c>
      <c r="BX23" s="291">
        <v>0</v>
      </c>
      <c r="BY23" s="284">
        <v>-315.24</v>
      </c>
      <c r="BZ23" s="284">
        <v>0</v>
      </c>
      <c r="CA23" s="284">
        <v>682</v>
      </c>
      <c r="CB23" s="284">
        <v>75.8</v>
      </c>
      <c r="CC23" s="284">
        <v>0</v>
      </c>
      <c r="CD23" s="284">
        <v>0</v>
      </c>
      <c r="CE23" s="284">
        <v>0</v>
      </c>
      <c r="CF23" s="284">
        <v>0</v>
      </c>
      <c r="CG23" s="284">
        <v>0</v>
      </c>
      <c r="CH23" s="284">
        <v>0</v>
      </c>
      <c r="CI23" s="284">
        <v>0</v>
      </c>
      <c r="CJ23" s="284">
        <v>0</v>
      </c>
      <c r="CK23" s="284">
        <v>626.79999999999995</v>
      </c>
      <c r="CL23" s="285">
        <v>1384.6</v>
      </c>
      <c r="CM23" s="291">
        <v>0</v>
      </c>
      <c r="CN23" s="284">
        <v>-315.24</v>
      </c>
      <c r="CO23" s="284">
        <v>0</v>
      </c>
      <c r="CP23" s="284">
        <v>0</v>
      </c>
      <c r="CQ23" s="284">
        <v>530</v>
      </c>
      <c r="CR23" s="284">
        <v>0</v>
      </c>
      <c r="CS23" s="284">
        <v>0</v>
      </c>
      <c r="CT23" s="284">
        <v>56</v>
      </c>
      <c r="CU23" s="284">
        <v>0</v>
      </c>
      <c r="CV23" s="284">
        <v>0</v>
      </c>
      <c r="CW23" s="284">
        <v>0</v>
      </c>
      <c r="CX23" s="284">
        <v>429</v>
      </c>
      <c r="CY23" s="284">
        <v>0</v>
      </c>
      <c r="CZ23" s="284">
        <v>1184.2</v>
      </c>
      <c r="DA23" s="285">
        <v>2199.1999999999998</v>
      </c>
      <c r="DB23" s="291">
        <v>0</v>
      </c>
      <c r="DC23" s="284">
        <v>-315.24</v>
      </c>
      <c r="DD23" s="284">
        <v>0</v>
      </c>
      <c r="DE23" s="284">
        <v>0</v>
      </c>
      <c r="DF23" s="284">
        <v>0</v>
      </c>
      <c r="DG23" s="284">
        <v>0</v>
      </c>
      <c r="DH23" s="284">
        <v>810.84</v>
      </c>
      <c r="DI23" s="284">
        <v>0</v>
      </c>
      <c r="DJ23" s="284">
        <v>317.39999999999998</v>
      </c>
      <c r="DK23" s="284">
        <v>0</v>
      </c>
      <c r="DL23" s="284">
        <v>0</v>
      </c>
      <c r="DM23" s="284">
        <v>0</v>
      </c>
      <c r="DN23" s="284">
        <v>0</v>
      </c>
      <c r="DO23" s="284">
        <v>0</v>
      </c>
      <c r="DP23" s="285">
        <v>1128.24</v>
      </c>
      <c r="DQ23" s="291">
        <v>0</v>
      </c>
      <c r="DR23" s="284">
        <v>-315.24</v>
      </c>
      <c r="DS23" s="284">
        <v>0</v>
      </c>
      <c r="DT23" s="284">
        <v>0</v>
      </c>
      <c r="DU23" s="284">
        <v>0</v>
      </c>
      <c r="DV23" s="284">
        <v>0</v>
      </c>
      <c r="DW23" s="284">
        <v>813</v>
      </c>
      <c r="DX23" s="284">
        <v>0</v>
      </c>
      <c r="DY23" s="284">
        <v>0</v>
      </c>
      <c r="DZ23" s="284">
        <v>0</v>
      </c>
      <c r="EA23" s="284">
        <v>0</v>
      </c>
      <c r="EB23" s="284">
        <v>0</v>
      </c>
      <c r="EC23" s="284">
        <v>0</v>
      </c>
      <c r="ED23" s="284">
        <v>0</v>
      </c>
      <c r="EE23" s="285">
        <v>813</v>
      </c>
      <c r="EF23" s="291">
        <v>0</v>
      </c>
      <c r="EG23" s="311">
        <v>-315.24</v>
      </c>
    </row>
    <row r="24" spans="2:138">
      <c r="B24" s="312" t="s">
        <v>3</v>
      </c>
      <c r="C24" s="284">
        <v>0</v>
      </c>
      <c r="D24" s="284">
        <v>0</v>
      </c>
      <c r="E24" s="284">
        <v>0</v>
      </c>
      <c r="F24" s="284">
        <v>0</v>
      </c>
      <c r="G24" s="284">
        <v>0</v>
      </c>
      <c r="H24" s="284">
        <v>0</v>
      </c>
      <c r="I24" s="284">
        <v>0</v>
      </c>
      <c r="J24" s="284">
        <v>0</v>
      </c>
      <c r="K24" s="284">
        <v>0</v>
      </c>
      <c r="L24" s="284">
        <v>0</v>
      </c>
      <c r="M24" s="284">
        <v>0</v>
      </c>
      <c r="N24" s="284">
        <v>0</v>
      </c>
      <c r="O24" s="285">
        <v>0</v>
      </c>
      <c r="P24" s="291">
        <v>0</v>
      </c>
      <c r="Q24" s="284">
        <v>0</v>
      </c>
      <c r="R24" s="284">
        <v>0</v>
      </c>
      <c r="S24" s="284">
        <v>0</v>
      </c>
      <c r="T24" s="284">
        <v>0</v>
      </c>
      <c r="U24" s="284">
        <v>0</v>
      </c>
      <c r="V24" s="284">
        <v>0</v>
      </c>
      <c r="W24" s="284">
        <v>0</v>
      </c>
      <c r="X24" s="284">
        <v>0</v>
      </c>
      <c r="Y24" s="284">
        <v>0</v>
      </c>
      <c r="Z24" s="284">
        <v>0</v>
      </c>
      <c r="AA24" s="284">
        <v>0</v>
      </c>
      <c r="AB24" s="284">
        <v>0</v>
      </c>
      <c r="AC24" s="284">
        <v>0</v>
      </c>
      <c r="AD24" s="285">
        <v>0</v>
      </c>
      <c r="AE24" s="291">
        <v>0</v>
      </c>
      <c r="AF24" s="284">
        <v>0</v>
      </c>
      <c r="AG24" s="284">
        <v>0</v>
      </c>
      <c r="AH24" s="284">
        <v>0</v>
      </c>
      <c r="AI24" s="284">
        <v>0</v>
      </c>
      <c r="AJ24" s="284">
        <v>0</v>
      </c>
      <c r="AK24" s="284">
        <v>0</v>
      </c>
      <c r="AL24" s="284">
        <v>0</v>
      </c>
      <c r="AM24" s="284">
        <v>0</v>
      </c>
      <c r="AN24" s="284">
        <v>0</v>
      </c>
      <c r="AO24" s="284">
        <v>0</v>
      </c>
      <c r="AP24" s="284">
        <v>0</v>
      </c>
      <c r="AQ24" s="284">
        <v>0</v>
      </c>
      <c r="AR24" s="284">
        <v>0</v>
      </c>
      <c r="AS24" s="285">
        <v>0</v>
      </c>
      <c r="AT24" s="291">
        <v>0</v>
      </c>
      <c r="AU24" s="284">
        <v>0</v>
      </c>
      <c r="AV24" s="284">
        <v>0</v>
      </c>
      <c r="AW24" s="284">
        <v>0</v>
      </c>
      <c r="AX24" s="284">
        <v>0</v>
      </c>
      <c r="AY24" s="284">
        <v>0</v>
      </c>
      <c r="AZ24" s="284">
        <v>0</v>
      </c>
      <c r="BA24" s="284">
        <v>0</v>
      </c>
      <c r="BB24" s="284">
        <v>0</v>
      </c>
      <c r="BC24" s="284">
        <v>0</v>
      </c>
      <c r="BD24" s="284">
        <v>0</v>
      </c>
      <c r="BE24" s="284">
        <v>0</v>
      </c>
      <c r="BF24" s="284">
        <v>0</v>
      </c>
      <c r="BG24" s="284">
        <v>0</v>
      </c>
      <c r="BH24" s="285">
        <v>0</v>
      </c>
      <c r="BI24" s="291">
        <v>0</v>
      </c>
      <c r="BJ24" s="284">
        <v>0</v>
      </c>
      <c r="BK24" s="284">
        <v>0</v>
      </c>
      <c r="BL24" s="284">
        <v>0</v>
      </c>
      <c r="BM24" s="284">
        <v>0</v>
      </c>
      <c r="BN24" s="284">
        <v>0</v>
      </c>
      <c r="BO24" s="284">
        <v>0</v>
      </c>
      <c r="BP24" s="284">
        <v>0</v>
      </c>
      <c r="BQ24" s="284">
        <v>20.54</v>
      </c>
      <c r="BR24" s="284">
        <v>0</v>
      </c>
      <c r="BS24" s="284">
        <v>0</v>
      </c>
      <c r="BT24" s="284">
        <v>39.879999999999995</v>
      </c>
      <c r="BU24" s="284">
        <v>44.64</v>
      </c>
      <c r="BV24" s="284">
        <v>0</v>
      </c>
      <c r="BW24" s="285">
        <v>105.06</v>
      </c>
      <c r="BX24" s="291">
        <v>0</v>
      </c>
      <c r="BY24" s="284">
        <v>0</v>
      </c>
      <c r="BZ24" s="284">
        <v>0</v>
      </c>
      <c r="CA24" s="284">
        <v>373</v>
      </c>
      <c r="CB24" s="284">
        <v>0</v>
      </c>
      <c r="CC24" s="284">
        <v>0</v>
      </c>
      <c r="CD24" s="284">
        <v>0</v>
      </c>
      <c r="CE24" s="284">
        <v>0</v>
      </c>
      <c r="CF24" s="284">
        <v>34.910000000000004</v>
      </c>
      <c r="CG24" s="284">
        <v>0</v>
      </c>
      <c r="CH24" s="284">
        <v>0</v>
      </c>
      <c r="CI24" s="284">
        <v>2.02</v>
      </c>
      <c r="CJ24" s="284">
        <v>0</v>
      </c>
      <c r="CK24" s="284">
        <v>0</v>
      </c>
      <c r="CL24" s="285">
        <v>409.93</v>
      </c>
      <c r="CM24" s="291">
        <v>0</v>
      </c>
      <c r="CN24" s="284">
        <v>0</v>
      </c>
      <c r="CO24" s="284">
        <v>0</v>
      </c>
      <c r="CP24" s="284">
        <v>0</v>
      </c>
      <c r="CQ24" s="284">
        <v>0</v>
      </c>
      <c r="CR24" s="284">
        <v>0</v>
      </c>
      <c r="CS24" s="284">
        <v>0</v>
      </c>
      <c r="CT24" s="284">
        <v>0</v>
      </c>
      <c r="CU24" s="284">
        <v>0</v>
      </c>
      <c r="CV24" s="284">
        <v>0</v>
      </c>
      <c r="CW24" s="284">
        <v>0</v>
      </c>
      <c r="CX24" s="284">
        <v>14</v>
      </c>
      <c r="CY24" s="284">
        <v>0</v>
      </c>
      <c r="CZ24" s="284">
        <v>0</v>
      </c>
      <c r="DA24" s="285">
        <v>14</v>
      </c>
      <c r="DB24" s="291">
        <v>0</v>
      </c>
      <c r="DC24" s="284">
        <v>0</v>
      </c>
      <c r="DD24" s="284">
        <v>0</v>
      </c>
      <c r="DE24" s="284">
        <v>0</v>
      </c>
      <c r="DF24" s="284">
        <v>0</v>
      </c>
      <c r="DG24" s="284">
        <v>0</v>
      </c>
      <c r="DH24" s="284">
        <v>0</v>
      </c>
      <c r="DI24" s="284">
        <v>0</v>
      </c>
      <c r="DJ24" s="284">
        <v>0</v>
      </c>
      <c r="DK24" s="284">
        <v>0</v>
      </c>
      <c r="DL24" s="284">
        <v>0</v>
      </c>
      <c r="DM24" s="284">
        <v>0</v>
      </c>
      <c r="DN24" s="284">
        <v>0</v>
      </c>
      <c r="DO24" s="284">
        <v>0</v>
      </c>
      <c r="DP24" s="285">
        <v>0</v>
      </c>
      <c r="DQ24" s="291">
        <v>0</v>
      </c>
      <c r="DR24" s="284">
        <v>0</v>
      </c>
      <c r="DS24" s="284">
        <v>0</v>
      </c>
      <c r="DT24" s="284">
        <v>0</v>
      </c>
      <c r="DU24" s="284">
        <v>0</v>
      </c>
      <c r="DV24" s="284">
        <v>0</v>
      </c>
      <c r="DW24" s="284">
        <v>0</v>
      </c>
      <c r="DX24" s="284">
        <v>0</v>
      </c>
      <c r="DY24" s="284">
        <v>0</v>
      </c>
      <c r="DZ24" s="284">
        <v>0</v>
      </c>
      <c r="EA24" s="284">
        <v>0</v>
      </c>
      <c r="EB24" s="284">
        <v>0</v>
      </c>
      <c r="EC24" s="284">
        <v>0</v>
      </c>
      <c r="ED24" s="284">
        <v>0</v>
      </c>
      <c r="EE24" s="285">
        <v>0</v>
      </c>
      <c r="EF24" s="291">
        <v>0</v>
      </c>
      <c r="EG24" s="311">
        <v>0</v>
      </c>
    </row>
    <row r="25" spans="2:138">
      <c r="B25" s="288" t="s">
        <v>11</v>
      </c>
      <c r="C25" s="284">
        <v>8369.36</v>
      </c>
      <c r="D25" s="284">
        <v>3016.9700000000003</v>
      </c>
      <c r="E25" s="284">
        <v>5136.3500000000004</v>
      </c>
      <c r="F25" s="284">
        <v>2051.15</v>
      </c>
      <c r="G25" s="284">
        <v>2752.0600000000004</v>
      </c>
      <c r="H25" s="284">
        <v>4464.7300000000005</v>
      </c>
      <c r="I25" s="284">
        <v>3361.33</v>
      </c>
      <c r="J25" s="284">
        <v>5929.5199999999995</v>
      </c>
      <c r="K25" s="284">
        <v>4236.09</v>
      </c>
      <c r="L25" s="284">
        <v>3628.8199999999997</v>
      </c>
      <c r="M25" s="284">
        <v>6153.61</v>
      </c>
      <c r="N25" s="284">
        <v>4425.84</v>
      </c>
      <c r="O25" s="285">
        <v>53525.829999999994</v>
      </c>
      <c r="P25" s="291">
        <v>0</v>
      </c>
      <c r="Q25" s="284">
        <v>141578.32</v>
      </c>
      <c r="R25" s="284">
        <v>4114.91</v>
      </c>
      <c r="S25" s="284">
        <v>3038.1400000000003</v>
      </c>
      <c r="T25" s="284">
        <v>5297.6699999999992</v>
      </c>
      <c r="U25" s="284">
        <v>1349.51</v>
      </c>
      <c r="V25" s="284">
        <v>1796.47</v>
      </c>
      <c r="W25" s="284">
        <v>3054.7799999999997</v>
      </c>
      <c r="X25" s="284">
        <v>2514.27</v>
      </c>
      <c r="Y25" s="284">
        <v>3899.2200000000003</v>
      </c>
      <c r="Z25" s="284">
        <v>1598.64</v>
      </c>
      <c r="AA25" s="284">
        <v>3463.01</v>
      </c>
      <c r="AB25" s="284">
        <v>3526.87</v>
      </c>
      <c r="AC25" s="284">
        <v>4021.2799999999997</v>
      </c>
      <c r="AD25" s="285">
        <v>37674.770000000004</v>
      </c>
      <c r="AE25" s="291">
        <v>0</v>
      </c>
      <c r="AF25" s="284">
        <v>141578.32</v>
      </c>
      <c r="AG25" s="284">
        <v>1591.21</v>
      </c>
      <c r="AH25" s="284">
        <v>1601.75</v>
      </c>
      <c r="AI25" s="284">
        <v>1733.56</v>
      </c>
      <c r="AJ25" s="284">
        <v>1774.85</v>
      </c>
      <c r="AK25" s="284">
        <v>12395.92</v>
      </c>
      <c r="AL25" s="284">
        <v>9792.3900000000012</v>
      </c>
      <c r="AM25" s="284">
        <v>1080.8499999999999</v>
      </c>
      <c r="AN25" s="284">
        <v>1378.77</v>
      </c>
      <c r="AO25" s="284">
        <v>1444.15</v>
      </c>
      <c r="AP25" s="284">
        <v>689.22</v>
      </c>
      <c r="AQ25" s="284">
        <v>2021.63</v>
      </c>
      <c r="AR25" s="284">
        <v>1002.16</v>
      </c>
      <c r="AS25" s="285">
        <v>36506.46</v>
      </c>
      <c r="AT25" s="291">
        <v>0</v>
      </c>
      <c r="AU25" s="284">
        <v>0</v>
      </c>
      <c r="AV25" s="284">
        <v>10612.05</v>
      </c>
      <c r="AW25" s="284">
        <v>2174.85</v>
      </c>
      <c r="AX25" s="284">
        <v>2208.42</v>
      </c>
      <c r="AY25" s="284">
        <v>2376.21</v>
      </c>
      <c r="AZ25" s="284">
        <v>1964.8700000000001</v>
      </c>
      <c r="BA25" s="284">
        <v>2285</v>
      </c>
      <c r="BB25" s="284">
        <v>2398.71</v>
      </c>
      <c r="BC25" s="284">
        <v>3608.31</v>
      </c>
      <c r="BD25" s="284">
        <v>1981.79</v>
      </c>
      <c r="BE25" s="284">
        <v>2305.14</v>
      </c>
      <c r="BF25" s="284">
        <v>2282.92</v>
      </c>
      <c r="BG25" s="284">
        <v>2639.13</v>
      </c>
      <c r="BH25" s="285">
        <v>36837.399999999994</v>
      </c>
      <c r="BI25" s="291">
        <v>0</v>
      </c>
      <c r="BJ25" s="284">
        <v>141578.32</v>
      </c>
      <c r="BK25" s="284">
        <v>2596.7399999999998</v>
      </c>
      <c r="BL25" s="284">
        <v>2508.2399999999998</v>
      </c>
      <c r="BM25" s="284">
        <v>7611.33</v>
      </c>
      <c r="BN25" s="284">
        <v>6295.95</v>
      </c>
      <c r="BO25" s="284">
        <v>6650.9700000000012</v>
      </c>
      <c r="BP25" s="284">
        <v>12684.65</v>
      </c>
      <c r="BQ25" s="284">
        <v>12353.96</v>
      </c>
      <c r="BR25" s="284">
        <v>12726</v>
      </c>
      <c r="BS25" s="284">
        <v>11370.16</v>
      </c>
      <c r="BT25" s="284">
        <v>11402.29</v>
      </c>
      <c r="BU25" s="284">
        <v>12184.970000000001</v>
      </c>
      <c r="BV25" s="284">
        <v>15250.369999999999</v>
      </c>
      <c r="BW25" s="285">
        <v>113635.63</v>
      </c>
      <c r="BX25" s="291">
        <v>0</v>
      </c>
      <c r="BY25" s="284">
        <v>141578.32</v>
      </c>
      <c r="BZ25" s="284">
        <v>18186.05</v>
      </c>
      <c r="CA25" s="284">
        <v>11</v>
      </c>
      <c r="CB25" s="284">
        <v>4086.07</v>
      </c>
      <c r="CC25" s="284">
        <v>862.02</v>
      </c>
      <c r="CD25" s="284">
        <v>0</v>
      </c>
      <c r="CE25" s="284">
        <v>1292.7700000000002</v>
      </c>
      <c r="CF25" s="284">
        <v>10757.779999999999</v>
      </c>
      <c r="CG25" s="284">
        <v>1664.51</v>
      </c>
      <c r="CH25" s="284">
        <v>0</v>
      </c>
      <c r="CI25" s="284">
        <v>0</v>
      </c>
      <c r="CJ25" s="284">
        <v>0</v>
      </c>
      <c r="CK25" s="284">
        <v>0</v>
      </c>
      <c r="CL25" s="285">
        <v>36860.199999999997</v>
      </c>
      <c r="CM25" s="291">
        <v>0</v>
      </c>
      <c r="CN25" s="284">
        <v>141578.32</v>
      </c>
      <c r="CO25" s="284">
        <v>3255</v>
      </c>
      <c r="CP25" s="284">
        <v>0</v>
      </c>
      <c r="CQ25" s="284">
        <v>3315.22</v>
      </c>
      <c r="CR25" s="284">
        <v>257.69</v>
      </c>
      <c r="CS25" s="284">
        <v>0</v>
      </c>
      <c r="CT25" s="284">
        <v>0</v>
      </c>
      <c r="CU25" s="284">
        <v>35867.42</v>
      </c>
      <c r="CV25" s="284">
        <v>0</v>
      </c>
      <c r="CW25" s="284">
        <v>0</v>
      </c>
      <c r="CX25" s="284">
        <v>0</v>
      </c>
      <c r="CY25" s="284">
        <v>0</v>
      </c>
      <c r="CZ25" s="284">
        <v>7467.1</v>
      </c>
      <c r="DA25" s="285">
        <v>50162.43</v>
      </c>
      <c r="DB25" s="291">
        <v>0</v>
      </c>
      <c r="DC25" s="284">
        <v>141578.32</v>
      </c>
      <c r="DD25" s="284">
        <v>5631.4</v>
      </c>
      <c r="DE25" s="284">
        <v>40526.22</v>
      </c>
      <c r="DF25" s="284">
        <v>0</v>
      </c>
      <c r="DG25" s="284">
        <v>-10133.799999999999</v>
      </c>
      <c r="DH25" s="284">
        <v>103.96</v>
      </c>
      <c r="DI25" s="284">
        <v>270</v>
      </c>
      <c r="DJ25" s="284">
        <v>0</v>
      </c>
      <c r="DK25" s="284">
        <v>839.9</v>
      </c>
      <c r="DL25" s="284">
        <v>0</v>
      </c>
      <c r="DM25" s="284">
        <v>0</v>
      </c>
      <c r="DN25" s="284">
        <v>0</v>
      </c>
      <c r="DO25" s="284">
        <v>0</v>
      </c>
      <c r="DP25" s="285">
        <v>37237.68</v>
      </c>
      <c r="DQ25" s="291">
        <v>0</v>
      </c>
      <c r="DR25" s="284">
        <v>141578.32</v>
      </c>
      <c r="DS25" s="284">
        <v>31185</v>
      </c>
      <c r="DT25" s="284">
        <v>31691</v>
      </c>
      <c r="DU25" s="284">
        <v>29900</v>
      </c>
      <c r="DV25" s="284">
        <v>9000</v>
      </c>
      <c r="DW25" s="284">
        <v>9000</v>
      </c>
      <c r="DX25" s="284">
        <v>11385</v>
      </c>
      <c r="DY25" s="284">
        <v>9270</v>
      </c>
      <c r="DZ25" s="284">
        <v>9000</v>
      </c>
      <c r="EA25" s="284">
        <v>9000</v>
      </c>
      <c r="EB25" s="284">
        <v>9000</v>
      </c>
      <c r="EC25" s="284">
        <v>11385</v>
      </c>
      <c r="ED25" s="284">
        <v>9000</v>
      </c>
      <c r="EE25" s="285">
        <v>178816</v>
      </c>
      <c r="EF25" s="291">
        <v>0</v>
      </c>
      <c r="EG25" s="311">
        <v>141578.32</v>
      </c>
    </row>
    <row r="26" spans="2:138">
      <c r="B26" s="312" t="s">
        <v>10</v>
      </c>
      <c r="C26" s="284">
        <v>1760.78</v>
      </c>
      <c r="D26" s="284">
        <v>1782.67</v>
      </c>
      <c r="E26" s="284">
        <v>1658.85</v>
      </c>
      <c r="F26" s="284">
        <v>1686.77</v>
      </c>
      <c r="G26" s="284">
        <v>1661.39</v>
      </c>
      <c r="H26" s="284">
        <v>1631.55</v>
      </c>
      <c r="I26" s="284">
        <v>2677.52</v>
      </c>
      <c r="J26" s="284">
        <v>3874.96</v>
      </c>
      <c r="K26" s="284">
        <v>1536.09</v>
      </c>
      <c r="L26" s="284">
        <v>1620.74</v>
      </c>
      <c r="M26" s="284">
        <v>2826.37</v>
      </c>
      <c r="N26" s="284">
        <v>1766.1799999999998</v>
      </c>
      <c r="O26" s="285">
        <v>24483.87</v>
      </c>
      <c r="P26" s="291">
        <v>0</v>
      </c>
      <c r="Q26" s="284">
        <v>0</v>
      </c>
      <c r="R26" s="284">
        <v>2635.7400000000002</v>
      </c>
      <c r="S26" s="284">
        <v>1385.42</v>
      </c>
      <c r="T26" s="284">
        <v>4678.5199999999995</v>
      </c>
      <c r="U26" s="284">
        <v>1349.51</v>
      </c>
      <c r="V26" s="284">
        <v>1225</v>
      </c>
      <c r="W26" s="284">
        <v>1615.23</v>
      </c>
      <c r="X26" s="284">
        <v>1696.27</v>
      </c>
      <c r="Y26" s="284">
        <v>1637.75</v>
      </c>
      <c r="Z26" s="284">
        <v>1598.64</v>
      </c>
      <c r="AA26" s="284">
        <v>1507.21</v>
      </c>
      <c r="AB26" s="284">
        <v>1787.62</v>
      </c>
      <c r="AC26" s="284">
        <v>1748.3300000000002</v>
      </c>
      <c r="AD26" s="285">
        <v>22865.24</v>
      </c>
      <c r="AE26" s="291">
        <v>0</v>
      </c>
      <c r="AF26" s="284">
        <v>0</v>
      </c>
      <c r="AG26" s="284">
        <v>1591.21</v>
      </c>
      <c r="AH26" s="284">
        <v>1601.75</v>
      </c>
      <c r="AI26" s="284">
        <v>1733.56</v>
      </c>
      <c r="AJ26" s="284">
        <v>1774.85</v>
      </c>
      <c r="AK26" s="284">
        <v>12395.92</v>
      </c>
      <c r="AL26" s="284">
        <v>9792.3900000000012</v>
      </c>
      <c r="AM26" s="284">
        <v>1080.8499999999999</v>
      </c>
      <c r="AN26" s="284">
        <v>1378.77</v>
      </c>
      <c r="AO26" s="284">
        <v>1444.15</v>
      </c>
      <c r="AP26" s="284">
        <v>689.22</v>
      </c>
      <c r="AQ26" s="284">
        <v>2021.63</v>
      </c>
      <c r="AR26" s="284">
        <v>1002.16</v>
      </c>
      <c r="AS26" s="285">
        <v>36506.46</v>
      </c>
      <c r="AT26" s="291">
        <v>0</v>
      </c>
      <c r="AU26" s="284">
        <v>0</v>
      </c>
      <c r="AV26" s="284">
        <v>10612.05</v>
      </c>
      <c r="AW26" s="284">
        <v>2174.85</v>
      </c>
      <c r="AX26" s="284">
        <v>2208.42</v>
      </c>
      <c r="AY26" s="284">
        <v>2376.21</v>
      </c>
      <c r="AZ26" s="284">
        <v>1717.45</v>
      </c>
      <c r="BA26" s="284">
        <v>2285</v>
      </c>
      <c r="BB26" s="284">
        <v>2398.71</v>
      </c>
      <c r="BC26" s="284">
        <v>2663.31</v>
      </c>
      <c r="BD26" s="284">
        <v>1981.79</v>
      </c>
      <c r="BE26" s="284">
        <v>2305.14</v>
      </c>
      <c r="BF26" s="284">
        <v>2114.42</v>
      </c>
      <c r="BG26" s="284">
        <v>2639.13</v>
      </c>
      <c r="BH26" s="285">
        <v>35476.479999999996</v>
      </c>
      <c r="BI26" s="291">
        <v>0</v>
      </c>
      <c r="BJ26" s="284">
        <v>0</v>
      </c>
      <c r="BK26" s="284">
        <v>2596.7399999999998</v>
      </c>
      <c r="BL26" s="284">
        <v>2508.2399999999998</v>
      </c>
      <c r="BM26" s="284">
        <v>7611.33</v>
      </c>
      <c r="BN26" s="284">
        <v>6295.95</v>
      </c>
      <c r="BO26" s="284">
        <v>6650.9700000000012</v>
      </c>
      <c r="BP26" s="284">
        <v>12684.65</v>
      </c>
      <c r="BQ26" s="284">
        <v>12353.96</v>
      </c>
      <c r="BR26" s="284">
        <v>12726</v>
      </c>
      <c r="BS26" s="284">
        <v>11370.16</v>
      </c>
      <c r="BT26" s="284">
        <v>11402.29</v>
      </c>
      <c r="BU26" s="284">
        <v>12184.970000000001</v>
      </c>
      <c r="BV26" s="284">
        <v>15250.369999999999</v>
      </c>
      <c r="BW26" s="285">
        <v>113635.63</v>
      </c>
      <c r="BX26" s="291">
        <v>0</v>
      </c>
      <c r="BY26" s="284">
        <v>0</v>
      </c>
      <c r="BZ26" s="284">
        <v>18186.05</v>
      </c>
      <c r="CA26" s="284">
        <v>0</v>
      </c>
      <c r="CB26" s="284">
        <v>0</v>
      </c>
      <c r="CC26" s="284">
        <v>0</v>
      </c>
      <c r="CD26" s="284">
        <v>0</v>
      </c>
      <c r="CE26" s="284">
        <v>0</v>
      </c>
      <c r="CF26" s="284">
        <v>0</v>
      </c>
      <c r="CG26" s="284">
        <v>0</v>
      </c>
      <c r="CH26" s="284">
        <v>0</v>
      </c>
      <c r="CI26" s="284">
        <v>0</v>
      </c>
      <c r="CJ26" s="284">
        <v>0</v>
      </c>
      <c r="CK26" s="284">
        <v>0</v>
      </c>
      <c r="CL26" s="285">
        <v>18186.05</v>
      </c>
      <c r="CM26" s="291">
        <v>0</v>
      </c>
      <c r="CN26" s="284">
        <v>0</v>
      </c>
      <c r="CO26" s="284">
        <v>0</v>
      </c>
      <c r="CP26" s="284">
        <v>0</v>
      </c>
      <c r="CQ26" s="284">
        <v>0</v>
      </c>
      <c r="CR26" s="284">
        <v>0</v>
      </c>
      <c r="CS26" s="284">
        <v>0</v>
      </c>
      <c r="CT26" s="284">
        <v>0</v>
      </c>
      <c r="CU26" s="284">
        <v>0</v>
      </c>
      <c r="CV26" s="284">
        <v>0</v>
      </c>
      <c r="CW26" s="284">
        <v>0</v>
      </c>
      <c r="CX26" s="284">
        <v>0</v>
      </c>
      <c r="CY26" s="284">
        <v>0</v>
      </c>
      <c r="CZ26" s="284">
        <v>0</v>
      </c>
      <c r="DA26" s="285">
        <v>0</v>
      </c>
      <c r="DB26" s="291">
        <v>0</v>
      </c>
      <c r="DC26" s="284">
        <v>0</v>
      </c>
      <c r="DD26" s="284">
        <v>0</v>
      </c>
      <c r="DE26" s="284">
        <v>0</v>
      </c>
      <c r="DF26" s="284">
        <v>0</v>
      </c>
      <c r="DG26" s="284">
        <v>0</v>
      </c>
      <c r="DH26" s="284">
        <v>0</v>
      </c>
      <c r="DI26" s="284">
        <v>0</v>
      </c>
      <c r="DJ26" s="284">
        <v>0</v>
      </c>
      <c r="DK26" s="284">
        <v>0</v>
      </c>
      <c r="DL26" s="284">
        <v>0</v>
      </c>
      <c r="DM26" s="284">
        <v>0</v>
      </c>
      <c r="DN26" s="284">
        <v>0</v>
      </c>
      <c r="DO26" s="284">
        <v>0</v>
      </c>
      <c r="DP26" s="285">
        <v>0</v>
      </c>
      <c r="DQ26" s="291">
        <v>0</v>
      </c>
      <c r="DR26" s="284">
        <v>0</v>
      </c>
      <c r="DS26" s="284">
        <v>0</v>
      </c>
      <c r="DT26" s="284">
        <v>0</v>
      </c>
      <c r="DU26" s="284">
        <v>0</v>
      </c>
      <c r="DV26" s="284">
        <v>0</v>
      </c>
      <c r="DW26" s="284">
        <v>0</v>
      </c>
      <c r="DX26" s="284">
        <v>0</v>
      </c>
      <c r="DY26" s="284">
        <v>0</v>
      </c>
      <c r="DZ26" s="284">
        <v>0</v>
      </c>
      <c r="EA26" s="284">
        <v>0</v>
      </c>
      <c r="EB26" s="284">
        <v>0</v>
      </c>
      <c r="EC26" s="284">
        <v>0</v>
      </c>
      <c r="ED26" s="284">
        <v>0</v>
      </c>
      <c r="EE26" s="285">
        <v>0</v>
      </c>
      <c r="EF26" s="291">
        <v>0</v>
      </c>
      <c r="EG26" s="311">
        <v>0</v>
      </c>
    </row>
    <row r="27" spans="2:138">
      <c r="B27" s="312" t="s">
        <v>29</v>
      </c>
      <c r="C27" s="284">
        <v>1688.04</v>
      </c>
      <c r="D27" s="284">
        <v>845</v>
      </c>
      <c r="E27" s="284">
        <v>2280</v>
      </c>
      <c r="F27" s="284">
        <v>0</v>
      </c>
      <c r="G27" s="284">
        <v>1090.67</v>
      </c>
      <c r="H27" s="284">
        <v>885.68000000000006</v>
      </c>
      <c r="I27" s="284">
        <v>474.56</v>
      </c>
      <c r="J27" s="284">
        <v>709.36</v>
      </c>
      <c r="K27" s="284">
        <v>1500</v>
      </c>
      <c r="L27" s="284">
        <v>1955.9099999999999</v>
      </c>
      <c r="M27" s="284">
        <v>1580</v>
      </c>
      <c r="N27" s="284">
        <v>1051.6000000000001</v>
      </c>
      <c r="O27" s="285">
        <v>14060.820000000002</v>
      </c>
      <c r="P27" s="291">
        <v>0</v>
      </c>
      <c r="Q27" s="284">
        <v>114562.39</v>
      </c>
      <c r="R27" s="284">
        <v>902.17000000000007</v>
      </c>
      <c r="S27" s="284">
        <v>1025</v>
      </c>
      <c r="T27" s="284">
        <v>619.15</v>
      </c>
      <c r="U27" s="284">
        <v>0</v>
      </c>
      <c r="V27" s="284">
        <v>498.83</v>
      </c>
      <c r="W27" s="284">
        <v>0</v>
      </c>
      <c r="X27" s="284">
        <v>818</v>
      </c>
      <c r="Y27" s="284">
        <v>1424.46</v>
      </c>
      <c r="Z27" s="284">
        <v>0</v>
      </c>
      <c r="AA27" s="284">
        <v>1298.8</v>
      </c>
      <c r="AB27" s="284">
        <v>1149.25</v>
      </c>
      <c r="AC27" s="284">
        <v>1952.95</v>
      </c>
      <c r="AD27" s="285">
        <v>9688.61</v>
      </c>
      <c r="AE27" s="291">
        <v>0</v>
      </c>
      <c r="AF27" s="284">
        <v>114562.39</v>
      </c>
      <c r="AG27" s="284">
        <v>0</v>
      </c>
      <c r="AH27" s="284">
        <v>0</v>
      </c>
      <c r="AI27" s="284">
        <v>0</v>
      </c>
      <c r="AJ27" s="284">
        <v>0</v>
      </c>
      <c r="AK27" s="284">
        <v>0</v>
      </c>
      <c r="AL27" s="284">
        <v>0</v>
      </c>
      <c r="AM27" s="284">
        <v>0</v>
      </c>
      <c r="AN27" s="284">
        <v>0</v>
      </c>
      <c r="AO27" s="284">
        <v>0</v>
      </c>
      <c r="AP27" s="284">
        <v>0</v>
      </c>
      <c r="AQ27" s="284">
        <v>0</v>
      </c>
      <c r="AR27" s="284">
        <v>0</v>
      </c>
      <c r="AS27" s="285">
        <v>0</v>
      </c>
      <c r="AT27" s="291">
        <v>0</v>
      </c>
      <c r="AU27" s="284">
        <v>0</v>
      </c>
      <c r="AV27" s="284">
        <v>0</v>
      </c>
      <c r="AW27" s="284">
        <v>0</v>
      </c>
      <c r="AX27" s="284">
        <v>0</v>
      </c>
      <c r="AY27" s="284">
        <v>0</v>
      </c>
      <c r="AZ27" s="284">
        <v>247.42</v>
      </c>
      <c r="BA27" s="284">
        <v>0</v>
      </c>
      <c r="BB27" s="284">
        <v>0</v>
      </c>
      <c r="BC27" s="284">
        <v>0</v>
      </c>
      <c r="BD27" s="284">
        <v>0</v>
      </c>
      <c r="BE27" s="284">
        <v>0</v>
      </c>
      <c r="BF27" s="284">
        <v>0</v>
      </c>
      <c r="BG27" s="284">
        <v>0</v>
      </c>
      <c r="BH27" s="285">
        <v>247.42</v>
      </c>
      <c r="BI27" s="291">
        <v>0</v>
      </c>
      <c r="BJ27" s="284">
        <v>114562.39</v>
      </c>
      <c r="BK27" s="284">
        <v>0</v>
      </c>
      <c r="BL27" s="284">
        <v>0</v>
      </c>
      <c r="BM27" s="284">
        <v>0</v>
      </c>
      <c r="BN27" s="284">
        <v>0</v>
      </c>
      <c r="BO27" s="284">
        <v>0</v>
      </c>
      <c r="BP27" s="284">
        <v>0</v>
      </c>
      <c r="BQ27" s="284">
        <v>0</v>
      </c>
      <c r="BR27" s="284">
        <v>0</v>
      </c>
      <c r="BS27" s="284">
        <v>0</v>
      </c>
      <c r="BT27" s="284">
        <v>0</v>
      </c>
      <c r="BU27" s="284">
        <v>0</v>
      </c>
      <c r="BV27" s="284">
        <v>0</v>
      </c>
      <c r="BW27" s="285">
        <v>0</v>
      </c>
      <c r="BX27" s="291">
        <v>0</v>
      </c>
      <c r="BY27" s="284">
        <v>114562.39</v>
      </c>
      <c r="BZ27" s="284">
        <v>0</v>
      </c>
      <c r="CA27" s="284">
        <v>0</v>
      </c>
      <c r="CB27" s="284">
        <v>0</v>
      </c>
      <c r="CC27" s="284">
        <v>0</v>
      </c>
      <c r="CD27" s="284">
        <v>0</v>
      </c>
      <c r="CE27" s="284">
        <v>0</v>
      </c>
      <c r="CF27" s="284">
        <v>10757.779999999999</v>
      </c>
      <c r="CG27" s="284">
        <v>1406.5</v>
      </c>
      <c r="CH27" s="284">
        <v>0</v>
      </c>
      <c r="CI27" s="284">
        <v>0</v>
      </c>
      <c r="CJ27" s="284">
        <v>0</v>
      </c>
      <c r="CK27" s="284">
        <v>0</v>
      </c>
      <c r="CL27" s="285">
        <v>12164.279999999999</v>
      </c>
      <c r="CM27" s="291">
        <v>0</v>
      </c>
      <c r="CN27" s="284">
        <v>114562.39</v>
      </c>
      <c r="CO27" s="284">
        <v>3255</v>
      </c>
      <c r="CP27" s="284">
        <v>0</v>
      </c>
      <c r="CQ27" s="284">
        <v>3315.22</v>
      </c>
      <c r="CR27" s="284">
        <v>207.89000000000001</v>
      </c>
      <c r="CS27" s="284">
        <v>0</v>
      </c>
      <c r="CT27" s="284">
        <v>0</v>
      </c>
      <c r="CU27" s="284">
        <v>471.02</v>
      </c>
      <c r="CV27" s="284">
        <v>0</v>
      </c>
      <c r="CW27" s="284">
        <v>0</v>
      </c>
      <c r="CX27" s="284">
        <v>0</v>
      </c>
      <c r="CY27" s="284">
        <v>0</v>
      </c>
      <c r="CZ27" s="284">
        <v>7401.5</v>
      </c>
      <c r="DA27" s="285">
        <v>14650.63</v>
      </c>
      <c r="DB27" s="291">
        <v>0</v>
      </c>
      <c r="DC27" s="284">
        <v>114562.39</v>
      </c>
      <c r="DD27" s="284">
        <v>-292.5</v>
      </c>
      <c r="DE27" s="284">
        <v>10075.050000000001</v>
      </c>
      <c r="DF27" s="284">
        <v>0</v>
      </c>
      <c r="DG27" s="284">
        <v>-10133.799999999999</v>
      </c>
      <c r="DH27" s="284">
        <v>103.96</v>
      </c>
      <c r="DI27" s="284">
        <v>0</v>
      </c>
      <c r="DJ27" s="284">
        <v>0</v>
      </c>
      <c r="DK27" s="284">
        <v>839.9</v>
      </c>
      <c r="DL27" s="284">
        <v>0</v>
      </c>
      <c r="DM27" s="284">
        <v>0</v>
      </c>
      <c r="DN27" s="284">
        <v>0</v>
      </c>
      <c r="DO27" s="284">
        <v>0</v>
      </c>
      <c r="DP27" s="285">
        <v>592.61000000000172</v>
      </c>
      <c r="DQ27" s="291">
        <v>0</v>
      </c>
      <c r="DR27" s="284">
        <v>114562.39</v>
      </c>
      <c r="DS27" s="284">
        <v>11385</v>
      </c>
      <c r="DT27" s="284">
        <v>9000</v>
      </c>
      <c r="DU27" s="284">
        <v>9000</v>
      </c>
      <c r="DV27" s="284">
        <v>9000</v>
      </c>
      <c r="DW27" s="284">
        <v>9000</v>
      </c>
      <c r="DX27" s="284">
        <v>11385</v>
      </c>
      <c r="DY27" s="284">
        <v>9000</v>
      </c>
      <c r="DZ27" s="284">
        <v>9000</v>
      </c>
      <c r="EA27" s="284">
        <v>9000</v>
      </c>
      <c r="EB27" s="284">
        <v>9000</v>
      </c>
      <c r="EC27" s="284">
        <v>11385</v>
      </c>
      <c r="ED27" s="284">
        <v>9000</v>
      </c>
      <c r="EE27" s="285">
        <v>115155</v>
      </c>
      <c r="EF27" s="291">
        <v>0</v>
      </c>
      <c r="EG27" s="317">
        <v>114562.39</v>
      </c>
      <c r="EH27" s="47" t="s">
        <v>828</v>
      </c>
    </row>
    <row r="28" spans="2:138">
      <c r="B28" s="312" t="s">
        <v>30</v>
      </c>
      <c r="C28" s="284">
        <v>960.54000000000008</v>
      </c>
      <c r="D28" s="284">
        <v>389.3</v>
      </c>
      <c r="E28" s="284">
        <v>1197.5</v>
      </c>
      <c r="F28" s="284">
        <v>0</v>
      </c>
      <c r="G28" s="284">
        <v>0</v>
      </c>
      <c r="H28" s="284">
        <v>1947.5</v>
      </c>
      <c r="I28" s="284">
        <v>209.25</v>
      </c>
      <c r="J28" s="284">
        <v>1345.2</v>
      </c>
      <c r="K28" s="284">
        <v>0</v>
      </c>
      <c r="L28" s="284">
        <v>52.17</v>
      </c>
      <c r="M28" s="284">
        <v>1747.24</v>
      </c>
      <c r="N28" s="284">
        <v>1608.06</v>
      </c>
      <c r="O28" s="285">
        <v>9456.76</v>
      </c>
      <c r="P28" s="291">
        <v>0</v>
      </c>
      <c r="Q28" s="284">
        <v>27015.93</v>
      </c>
      <c r="R28" s="284">
        <v>0</v>
      </c>
      <c r="S28" s="284">
        <v>627.72</v>
      </c>
      <c r="T28" s="284">
        <v>0</v>
      </c>
      <c r="U28" s="284">
        <v>0</v>
      </c>
      <c r="V28" s="284">
        <v>72.64</v>
      </c>
      <c r="W28" s="284">
        <v>1439.55</v>
      </c>
      <c r="X28" s="284">
        <v>0</v>
      </c>
      <c r="Y28" s="284">
        <v>837.01</v>
      </c>
      <c r="Z28" s="284">
        <v>0</v>
      </c>
      <c r="AA28" s="284">
        <v>657</v>
      </c>
      <c r="AB28" s="284">
        <v>0</v>
      </c>
      <c r="AC28" s="284">
        <v>320</v>
      </c>
      <c r="AD28" s="285">
        <v>3953.92</v>
      </c>
      <c r="AE28" s="291">
        <v>0</v>
      </c>
      <c r="AF28" s="284">
        <v>27015.93</v>
      </c>
      <c r="AG28" s="284">
        <v>0</v>
      </c>
      <c r="AH28" s="284">
        <v>0</v>
      </c>
      <c r="AI28" s="284">
        <v>0</v>
      </c>
      <c r="AJ28" s="284">
        <v>0</v>
      </c>
      <c r="AK28" s="284">
        <v>0</v>
      </c>
      <c r="AL28" s="284">
        <v>0</v>
      </c>
      <c r="AM28" s="284">
        <v>0</v>
      </c>
      <c r="AN28" s="284">
        <v>0</v>
      </c>
      <c r="AO28" s="284">
        <v>0</v>
      </c>
      <c r="AP28" s="284">
        <v>0</v>
      </c>
      <c r="AQ28" s="284">
        <v>0</v>
      </c>
      <c r="AR28" s="284">
        <v>0</v>
      </c>
      <c r="AS28" s="285">
        <v>0</v>
      </c>
      <c r="AT28" s="291">
        <v>0</v>
      </c>
      <c r="AU28" s="284">
        <v>0</v>
      </c>
      <c r="AV28" s="284">
        <v>0</v>
      </c>
      <c r="AW28" s="284">
        <v>0</v>
      </c>
      <c r="AX28" s="284">
        <v>0</v>
      </c>
      <c r="AY28" s="284">
        <v>0</v>
      </c>
      <c r="AZ28" s="284">
        <v>0</v>
      </c>
      <c r="BA28" s="284">
        <v>0</v>
      </c>
      <c r="BB28" s="284">
        <v>0</v>
      </c>
      <c r="BC28" s="284">
        <v>945</v>
      </c>
      <c r="BD28" s="284">
        <v>0</v>
      </c>
      <c r="BE28" s="284">
        <v>0</v>
      </c>
      <c r="BF28" s="284">
        <v>168.5</v>
      </c>
      <c r="BG28" s="284">
        <v>0</v>
      </c>
      <c r="BH28" s="285">
        <v>1113.5</v>
      </c>
      <c r="BI28" s="291">
        <v>0</v>
      </c>
      <c r="BJ28" s="284">
        <v>27015.93</v>
      </c>
      <c r="BK28" s="284">
        <v>0</v>
      </c>
      <c r="BL28" s="284">
        <v>0</v>
      </c>
      <c r="BM28" s="284">
        <v>0</v>
      </c>
      <c r="BN28" s="284">
        <v>0</v>
      </c>
      <c r="BO28" s="284">
        <v>0</v>
      </c>
      <c r="BP28" s="284">
        <v>0</v>
      </c>
      <c r="BQ28" s="284">
        <v>0</v>
      </c>
      <c r="BR28" s="284">
        <v>0</v>
      </c>
      <c r="BS28" s="284">
        <v>0</v>
      </c>
      <c r="BT28" s="284">
        <v>0</v>
      </c>
      <c r="BU28" s="284">
        <v>0</v>
      </c>
      <c r="BV28" s="284">
        <v>0</v>
      </c>
      <c r="BW28" s="285">
        <v>0</v>
      </c>
      <c r="BX28" s="291">
        <v>0</v>
      </c>
      <c r="BY28" s="284">
        <v>27015.93</v>
      </c>
      <c r="BZ28" s="284">
        <v>0</v>
      </c>
      <c r="CA28" s="284">
        <v>11</v>
      </c>
      <c r="CB28" s="284">
        <v>4086.07</v>
      </c>
      <c r="CC28" s="284">
        <v>862.02</v>
      </c>
      <c r="CD28" s="284">
        <v>0</v>
      </c>
      <c r="CE28" s="284">
        <v>1292.7700000000002</v>
      </c>
      <c r="CF28" s="284">
        <v>0</v>
      </c>
      <c r="CG28" s="284">
        <v>258.01</v>
      </c>
      <c r="CH28" s="284">
        <v>0</v>
      </c>
      <c r="CI28" s="284">
        <v>0</v>
      </c>
      <c r="CJ28" s="284">
        <v>0</v>
      </c>
      <c r="CK28" s="284">
        <v>0</v>
      </c>
      <c r="CL28" s="285">
        <v>6509.8700000000008</v>
      </c>
      <c r="CM28" s="291">
        <v>0</v>
      </c>
      <c r="CN28" s="284">
        <v>27015.93</v>
      </c>
      <c r="CO28" s="284">
        <v>0</v>
      </c>
      <c r="CP28" s="284">
        <v>0</v>
      </c>
      <c r="CQ28" s="284">
        <v>0</v>
      </c>
      <c r="CR28" s="284">
        <v>49.8</v>
      </c>
      <c r="CS28" s="284">
        <v>0</v>
      </c>
      <c r="CT28" s="284">
        <v>0</v>
      </c>
      <c r="CU28" s="284">
        <v>35396.400000000001</v>
      </c>
      <c r="CV28" s="284">
        <v>0</v>
      </c>
      <c r="CW28" s="284">
        <v>0</v>
      </c>
      <c r="CX28" s="284">
        <v>0</v>
      </c>
      <c r="CY28" s="284">
        <v>0</v>
      </c>
      <c r="CZ28" s="284">
        <v>65.599999999999994</v>
      </c>
      <c r="DA28" s="285">
        <v>35511.800000000003</v>
      </c>
      <c r="DB28" s="291">
        <v>0</v>
      </c>
      <c r="DC28" s="284">
        <v>27015.93</v>
      </c>
      <c r="DD28" s="284">
        <v>5923.9</v>
      </c>
      <c r="DE28" s="284">
        <v>30451.170000000002</v>
      </c>
      <c r="DF28" s="284">
        <v>0</v>
      </c>
      <c r="DG28" s="284">
        <v>0</v>
      </c>
      <c r="DH28" s="284">
        <v>0</v>
      </c>
      <c r="DI28" s="284">
        <v>270</v>
      </c>
      <c r="DJ28" s="284">
        <v>0</v>
      </c>
      <c r="DK28" s="284">
        <v>0</v>
      </c>
      <c r="DL28" s="284">
        <v>0</v>
      </c>
      <c r="DM28" s="284">
        <v>0</v>
      </c>
      <c r="DN28" s="284">
        <v>0</v>
      </c>
      <c r="DO28" s="284">
        <v>0</v>
      </c>
      <c r="DP28" s="285">
        <v>36645.07</v>
      </c>
      <c r="DQ28" s="291">
        <v>0</v>
      </c>
      <c r="DR28" s="284">
        <v>27015.93</v>
      </c>
      <c r="DS28" s="284">
        <v>19800</v>
      </c>
      <c r="DT28" s="284">
        <v>22691</v>
      </c>
      <c r="DU28" s="284">
        <v>20900</v>
      </c>
      <c r="DV28" s="284">
        <v>0</v>
      </c>
      <c r="DW28" s="284">
        <v>0</v>
      </c>
      <c r="DX28" s="284">
        <v>0</v>
      </c>
      <c r="DY28" s="284">
        <v>270</v>
      </c>
      <c r="DZ28" s="284">
        <v>0</v>
      </c>
      <c r="EA28" s="284">
        <v>0</v>
      </c>
      <c r="EB28" s="284">
        <v>0</v>
      </c>
      <c r="EC28" s="284">
        <v>0</v>
      </c>
      <c r="ED28" s="284">
        <v>0</v>
      </c>
      <c r="EE28" s="285">
        <v>63661</v>
      </c>
      <c r="EF28" s="291">
        <v>0</v>
      </c>
      <c r="EG28" s="317">
        <v>27015.93</v>
      </c>
      <c r="EH28" s="269" t="s">
        <v>836</v>
      </c>
    </row>
    <row r="29" spans="2:138">
      <c r="B29" s="312" t="s">
        <v>722</v>
      </c>
      <c r="C29" s="284">
        <v>0</v>
      </c>
      <c r="D29" s="284">
        <v>0</v>
      </c>
      <c r="E29" s="284">
        <v>0</v>
      </c>
      <c r="F29" s="284">
        <v>0</v>
      </c>
      <c r="G29" s="284">
        <v>0</v>
      </c>
      <c r="H29" s="284">
        <v>0</v>
      </c>
      <c r="I29" s="284">
        <v>0</v>
      </c>
      <c r="J29" s="284">
        <v>0</v>
      </c>
      <c r="K29" s="284">
        <v>1200</v>
      </c>
      <c r="L29" s="284">
        <v>0</v>
      </c>
      <c r="M29" s="284">
        <v>0</v>
      </c>
      <c r="N29" s="284">
        <v>0</v>
      </c>
      <c r="O29" s="285">
        <v>1200</v>
      </c>
      <c r="P29" s="291">
        <v>0</v>
      </c>
      <c r="Q29" s="284">
        <v>0</v>
      </c>
      <c r="R29" s="284">
        <v>0</v>
      </c>
      <c r="S29" s="284">
        <v>0</v>
      </c>
      <c r="T29" s="284">
        <v>0</v>
      </c>
      <c r="U29" s="284">
        <v>0</v>
      </c>
      <c r="V29" s="284">
        <v>0</v>
      </c>
      <c r="W29" s="284">
        <v>0</v>
      </c>
      <c r="X29" s="284">
        <v>0</v>
      </c>
      <c r="Y29" s="284">
        <v>0</v>
      </c>
      <c r="Z29" s="284">
        <v>0</v>
      </c>
      <c r="AA29" s="284">
        <v>0</v>
      </c>
      <c r="AB29" s="284">
        <v>0</v>
      </c>
      <c r="AC29" s="284">
        <v>0</v>
      </c>
      <c r="AD29" s="285">
        <v>0</v>
      </c>
      <c r="AE29" s="291">
        <v>0</v>
      </c>
      <c r="AF29" s="284">
        <v>0</v>
      </c>
      <c r="AG29" s="284">
        <v>0</v>
      </c>
      <c r="AH29" s="284">
        <v>0</v>
      </c>
      <c r="AI29" s="284">
        <v>0</v>
      </c>
      <c r="AJ29" s="284">
        <v>0</v>
      </c>
      <c r="AK29" s="284">
        <v>0</v>
      </c>
      <c r="AL29" s="284">
        <v>0</v>
      </c>
      <c r="AM29" s="284">
        <v>0</v>
      </c>
      <c r="AN29" s="284">
        <v>0</v>
      </c>
      <c r="AO29" s="284">
        <v>0</v>
      </c>
      <c r="AP29" s="284">
        <v>0</v>
      </c>
      <c r="AQ29" s="284">
        <v>0</v>
      </c>
      <c r="AR29" s="284">
        <v>0</v>
      </c>
      <c r="AS29" s="285">
        <v>0</v>
      </c>
      <c r="AT29" s="291">
        <v>0</v>
      </c>
      <c r="AU29" s="284">
        <v>0</v>
      </c>
      <c r="AV29" s="284">
        <v>0</v>
      </c>
      <c r="AW29" s="284">
        <v>0</v>
      </c>
      <c r="AX29" s="284">
        <v>0</v>
      </c>
      <c r="AY29" s="284">
        <v>0</v>
      </c>
      <c r="AZ29" s="284">
        <v>0</v>
      </c>
      <c r="BA29" s="284">
        <v>0</v>
      </c>
      <c r="BB29" s="284">
        <v>0</v>
      </c>
      <c r="BC29" s="284">
        <v>0</v>
      </c>
      <c r="BD29" s="284">
        <v>0</v>
      </c>
      <c r="BE29" s="284">
        <v>0</v>
      </c>
      <c r="BF29" s="284">
        <v>0</v>
      </c>
      <c r="BG29" s="284">
        <v>0</v>
      </c>
      <c r="BH29" s="285">
        <v>0</v>
      </c>
      <c r="BI29" s="291">
        <v>0</v>
      </c>
      <c r="BJ29" s="284">
        <v>0</v>
      </c>
      <c r="BK29" s="284">
        <v>0</v>
      </c>
      <c r="BL29" s="284">
        <v>0</v>
      </c>
      <c r="BM29" s="284">
        <v>0</v>
      </c>
      <c r="BN29" s="284">
        <v>0</v>
      </c>
      <c r="BO29" s="284">
        <v>0</v>
      </c>
      <c r="BP29" s="284">
        <v>0</v>
      </c>
      <c r="BQ29" s="284">
        <v>0</v>
      </c>
      <c r="BR29" s="284">
        <v>0</v>
      </c>
      <c r="BS29" s="284">
        <v>0</v>
      </c>
      <c r="BT29" s="284">
        <v>0</v>
      </c>
      <c r="BU29" s="284">
        <v>0</v>
      </c>
      <c r="BV29" s="284">
        <v>0</v>
      </c>
      <c r="BW29" s="285">
        <v>0</v>
      </c>
      <c r="BX29" s="291">
        <v>0</v>
      </c>
      <c r="BY29" s="284">
        <v>0</v>
      </c>
      <c r="BZ29" s="284">
        <v>0</v>
      </c>
      <c r="CA29" s="284">
        <v>0</v>
      </c>
      <c r="CB29" s="284">
        <v>0</v>
      </c>
      <c r="CC29" s="284">
        <v>0</v>
      </c>
      <c r="CD29" s="284">
        <v>0</v>
      </c>
      <c r="CE29" s="284">
        <v>0</v>
      </c>
      <c r="CF29" s="284">
        <v>0</v>
      </c>
      <c r="CG29" s="284">
        <v>0</v>
      </c>
      <c r="CH29" s="284">
        <v>0</v>
      </c>
      <c r="CI29" s="284">
        <v>0</v>
      </c>
      <c r="CJ29" s="284">
        <v>0</v>
      </c>
      <c r="CK29" s="284">
        <v>0</v>
      </c>
      <c r="CL29" s="285">
        <v>0</v>
      </c>
      <c r="CM29" s="291">
        <v>0</v>
      </c>
      <c r="CN29" s="284">
        <v>0</v>
      </c>
      <c r="CO29" s="284">
        <v>0</v>
      </c>
      <c r="CP29" s="284">
        <v>0</v>
      </c>
      <c r="CQ29" s="284">
        <v>0</v>
      </c>
      <c r="CR29" s="284">
        <v>0</v>
      </c>
      <c r="CS29" s="284">
        <v>0</v>
      </c>
      <c r="CT29" s="284">
        <v>0</v>
      </c>
      <c r="CU29" s="284">
        <v>0</v>
      </c>
      <c r="CV29" s="284">
        <v>0</v>
      </c>
      <c r="CW29" s="284">
        <v>0</v>
      </c>
      <c r="CX29" s="284">
        <v>0</v>
      </c>
      <c r="CY29" s="284">
        <v>0</v>
      </c>
      <c r="CZ29" s="284">
        <v>0</v>
      </c>
      <c r="DA29" s="285">
        <v>0</v>
      </c>
      <c r="DB29" s="291">
        <v>0</v>
      </c>
      <c r="DC29" s="284">
        <v>0</v>
      </c>
      <c r="DD29" s="284">
        <v>0</v>
      </c>
      <c r="DE29" s="284">
        <v>0</v>
      </c>
      <c r="DF29" s="284">
        <v>0</v>
      </c>
      <c r="DG29" s="284">
        <v>0</v>
      </c>
      <c r="DH29" s="284">
        <v>0</v>
      </c>
      <c r="DI29" s="284">
        <v>0</v>
      </c>
      <c r="DJ29" s="284">
        <v>0</v>
      </c>
      <c r="DK29" s="284">
        <v>0</v>
      </c>
      <c r="DL29" s="284">
        <v>0</v>
      </c>
      <c r="DM29" s="284">
        <v>0</v>
      </c>
      <c r="DN29" s="284">
        <v>0</v>
      </c>
      <c r="DO29" s="284">
        <v>0</v>
      </c>
      <c r="DP29" s="285">
        <v>0</v>
      </c>
      <c r="DQ29" s="291">
        <v>0</v>
      </c>
      <c r="DR29" s="284">
        <v>0</v>
      </c>
      <c r="DS29" s="284">
        <v>0</v>
      </c>
      <c r="DT29" s="284">
        <v>0</v>
      </c>
      <c r="DU29" s="284">
        <v>0</v>
      </c>
      <c r="DV29" s="284">
        <v>0</v>
      </c>
      <c r="DW29" s="284">
        <v>0</v>
      </c>
      <c r="DX29" s="284">
        <v>0</v>
      </c>
      <c r="DY29" s="284">
        <v>0</v>
      </c>
      <c r="DZ29" s="284">
        <v>0</v>
      </c>
      <c r="EA29" s="284">
        <v>0</v>
      </c>
      <c r="EB29" s="284">
        <v>0</v>
      </c>
      <c r="EC29" s="284">
        <v>0</v>
      </c>
      <c r="ED29" s="284">
        <v>0</v>
      </c>
      <c r="EE29" s="285">
        <v>0</v>
      </c>
      <c r="EF29" s="291">
        <v>0</v>
      </c>
      <c r="EG29" s="311">
        <v>0</v>
      </c>
    </row>
    <row r="30" spans="2:138">
      <c r="B30" s="312" t="s">
        <v>112</v>
      </c>
      <c r="C30" s="284">
        <v>3960</v>
      </c>
      <c r="D30" s="284">
        <v>0</v>
      </c>
      <c r="E30" s="284">
        <v>0</v>
      </c>
      <c r="F30" s="284">
        <v>364.38</v>
      </c>
      <c r="G30" s="284">
        <v>0</v>
      </c>
      <c r="H30" s="284">
        <v>0</v>
      </c>
      <c r="I30" s="284">
        <v>0</v>
      </c>
      <c r="J30" s="284">
        <v>0</v>
      </c>
      <c r="K30" s="284">
        <v>0</v>
      </c>
      <c r="L30" s="284">
        <v>0</v>
      </c>
      <c r="M30" s="284">
        <v>0</v>
      </c>
      <c r="N30" s="284">
        <v>0</v>
      </c>
      <c r="O30" s="285">
        <v>4324.38</v>
      </c>
      <c r="P30" s="291">
        <v>0</v>
      </c>
      <c r="Q30" s="284">
        <v>0</v>
      </c>
      <c r="R30" s="284">
        <v>577</v>
      </c>
      <c r="S30" s="284">
        <v>0</v>
      </c>
      <c r="T30" s="284">
        <v>0</v>
      </c>
      <c r="U30" s="284">
        <v>0</v>
      </c>
      <c r="V30" s="284">
        <v>0</v>
      </c>
      <c r="W30" s="284">
        <v>0</v>
      </c>
      <c r="X30" s="284">
        <v>0</v>
      </c>
      <c r="Y30" s="284">
        <v>0</v>
      </c>
      <c r="Z30" s="284">
        <v>0</v>
      </c>
      <c r="AA30" s="284">
        <v>0</v>
      </c>
      <c r="AB30" s="284">
        <v>590</v>
      </c>
      <c r="AC30" s="284">
        <v>0</v>
      </c>
      <c r="AD30" s="285">
        <v>1167</v>
      </c>
      <c r="AE30" s="291">
        <v>0</v>
      </c>
      <c r="AF30" s="284">
        <v>0</v>
      </c>
      <c r="AG30" s="284">
        <v>0</v>
      </c>
      <c r="AH30" s="284">
        <v>0</v>
      </c>
      <c r="AI30" s="284">
        <v>0</v>
      </c>
      <c r="AJ30" s="284">
        <v>0</v>
      </c>
      <c r="AK30" s="284">
        <v>0</v>
      </c>
      <c r="AL30" s="284">
        <v>0</v>
      </c>
      <c r="AM30" s="284">
        <v>0</v>
      </c>
      <c r="AN30" s="284">
        <v>0</v>
      </c>
      <c r="AO30" s="284">
        <v>0</v>
      </c>
      <c r="AP30" s="284">
        <v>0</v>
      </c>
      <c r="AQ30" s="284">
        <v>0</v>
      </c>
      <c r="AR30" s="284">
        <v>0</v>
      </c>
      <c r="AS30" s="285">
        <v>0</v>
      </c>
      <c r="AT30" s="291">
        <v>0</v>
      </c>
      <c r="AU30" s="284">
        <v>0</v>
      </c>
      <c r="AV30" s="284">
        <v>0</v>
      </c>
      <c r="AW30" s="284">
        <v>0</v>
      </c>
      <c r="AX30" s="284">
        <v>0</v>
      </c>
      <c r="AY30" s="284">
        <v>0</v>
      </c>
      <c r="AZ30" s="284">
        <v>0</v>
      </c>
      <c r="BA30" s="284">
        <v>0</v>
      </c>
      <c r="BB30" s="284">
        <v>0</v>
      </c>
      <c r="BC30" s="284">
        <v>0</v>
      </c>
      <c r="BD30" s="284">
        <v>0</v>
      </c>
      <c r="BE30" s="284">
        <v>0</v>
      </c>
      <c r="BF30" s="284">
        <v>0</v>
      </c>
      <c r="BG30" s="284">
        <v>0</v>
      </c>
      <c r="BH30" s="285">
        <v>0</v>
      </c>
      <c r="BI30" s="291">
        <v>0</v>
      </c>
      <c r="BJ30" s="284">
        <v>0</v>
      </c>
      <c r="BK30" s="284">
        <v>0</v>
      </c>
      <c r="BL30" s="284">
        <v>0</v>
      </c>
      <c r="BM30" s="284">
        <v>0</v>
      </c>
      <c r="BN30" s="284">
        <v>0</v>
      </c>
      <c r="BO30" s="284">
        <v>0</v>
      </c>
      <c r="BP30" s="284">
        <v>0</v>
      </c>
      <c r="BQ30" s="284">
        <v>0</v>
      </c>
      <c r="BR30" s="284">
        <v>0</v>
      </c>
      <c r="BS30" s="284">
        <v>0</v>
      </c>
      <c r="BT30" s="284">
        <v>0</v>
      </c>
      <c r="BU30" s="284">
        <v>0</v>
      </c>
      <c r="BV30" s="284">
        <v>0</v>
      </c>
      <c r="BW30" s="285">
        <v>0</v>
      </c>
      <c r="BX30" s="291">
        <v>0</v>
      </c>
      <c r="BY30" s="284">
        <v>0</v>
      </c>
      <c r="BZ30" s="284">
        <v>0</v>
      </c>
      <c r="CA30" s="284">
        <v>0</v>
      </c>
      <c r="CB30" s="284">
        <v>0</v>
      </c>
      <c r="CC30" s="284">
        <v>0</v>
      </c>
      <c r="CD30" s="284">
        <v>0</v>
      </c>
      <c r="CE30" s="284">
        <v>0</v>
      </c>
      <c r="CF30" s="284">
        <v>0</v>
      </c>
      <c r="CG30" s="284">
        <v>0</v>
      </c>
      <c r="CH30" s="284">
        <v>0</v>
      </c>
      <c r="CI30" s="284">
        <v>0</v>
      </c>
      <c r="CJ30" s="284">
        <v>0</v>
      </c>
      <c r="CK30" s="284">
        <v>0</v>
      </c>
      <c r="CL30" s="285">
        <v>0</v>
      </c>
      <c r="CM30" s="291">
        <v>0</v>
      </c>
      <c r="CN30" s="284">
        <v>0</v>
      </c>
      <c r="CO30" s="284">
        <v>0</v>
      </c>
      <c r="CP30" s="284">
        <v>0</v>
      </c>
      <c r="CQ30" s="284">
        <v>0</v>
      </c>
      <c r="CR30" s="284">
        <v>0</v>
      </c>
      <c r="CS30" s="284">
        <v>0</v>
      </c>
      <c r="CT30" s="284">
        <v>0</v>
      </c>
      <c r="CU30" s="284">
        <v>0</v>
      </c>
      <c r="CV30" s="284">
        <v>0</v>
      </c>
      <c r="CW30" s="284">
        <v>0</v>
      </c>
      <c r="CX30" s="284">
        <v>0</v>
      </c>
      <c r="CY30" s="284">
        <v>0</v>
      </c>
      <c r="CZ30" s="284">
        <v>0</v>
      </c>
      <c r="DA30" s="285">
        <v>0</v>
      </c>
      <c r="DB30" s="291">
        <v>0</v>
      </c>
      <c r="DC30" s="284">
        <v>0</v>
      </c>
      <c r="DD30" s="284">
        <v>0</v>
      </c>
      <c r="DE30" s="284">
        <v>0</v>
      </c>
      <c r="DF30" s="284">
        <v>0</v>
      </c>
      <c r="DG30" s="284">
        <v>0</v>
      </c>
      <c r="DH30" s="284">
        <v>0</v>
      </c>
      <c r="DI30" s="284">
        <v>0</v>
      </c>
      <c r="DJ30" s="284">
        <v>0</v>
      </c>
      <c r="DK30" s="284">
        <v>0</v>
      </c>
      <c r="DL30" s="284">
        <v>0</v>
      </c>
      <c r="DM30" s="284">
        <v>0</v>
      </c>
      <c r="DN30" s="284">
        <v>0</v>
      </c>
      <c r="DO30" s="284">
        <v>0</v>
      </c>
      <c r="DP30" s="285">
        <v>0</v>
      </c>
      <c r="DQ30" s="291">
        <v>0</v>
      </c>
      <c r="DR30" s="284">
        <v>0</v>
      </c>
      <c r="DS30" s="284">
        <v>0</v>
      </c>
      <c r="DT30" s="284">
        <v>0</v>
      </c>
      <c r="DU30" s="284">
        <v>0</v>
      </c>
      <c r="DV30" s="284">
        <v>0</v>
      </c>
      <c r="DW30" s="284">
        <v>0</v>
      </c>
      <c r="DX30" s="284">
        <v>0</v>
      </c>
      <c r="DY30" s="284">
        <v>0</v>
      </c>
      <c r="DZ30" s="284">
        <v>0</v>
      </c>
      <c r="EA30" s="284">
        <v>0</v>
      </c>
      <c r="EB30" s="284">
        <v>0</v>
      </c>
      <c r="EC30" s="284">
        <v>0</v>
      </c>
      <c r="ED30" s="284">
        <v>0</v>
      </c>
      <c r="EE30" s="285">
        <v>0</v>
      </c>
      <c r="EF30" s="291">
        <v>0</v>
      </c>
      <c r="EG30" s="311">
        <v>0</v>
      </c>
    </row>
    <row r="31" spans="2:138">
      <c r="B31" s="288" t="s">
        <v>22</v>
      </c>
      <c r="C31" s="284">
        <v>2769.1800000000003</v>
      </c>
      <c r="D31" s="284">
        <v>2901.17</v>
      </c>
      <c r="E31" s="284">
        <v>3082.48</v>
      </c>
      <c r="F31" s="284">
        <v>3288.88</v>
      </c>
      <c r="G31" s="284">
        <v>4724.3200000000006</v>
      </c>
      <c r="H31" s="284">
        <v>1561.75</v>
      </c>
      <c r="I31" s="284">
        <v>3616.4100000000003</v>
      </c>
      <c r="J31" s="284">
        <v>1044.8899999999999</v>
      </c>
      <c r="K31" s="284">
        <v>2224.37</v>
      </c>
      <c r="L31" s="284">
        <v>3564.32</v>
      </c>
      <c r="M31" s="284">
        <v>3979.84</v>
      </c>
      <c r="N31" s="284">
        <v>4288.2999999999993</v>
      </c>
      <c r="O31" s="285">
        <v>37045.910000000003</v>
      </c>
      <c r="P31" s="291">
        <v>0</v>
      </c>
      <c r="Q31" s="284">
        <v>6975.059999999994</v>
      </c>
      <c r="R31" s="284">
        <v>1610.14</v>
      </c>
      <c r="S31" s="284">
        <v>5942.92</v>
      </c>
      <c r="T31" s="284">
        <v>2970.87</v>
      </c>
      <c r="U31" s="284">
        <v>2371.33</v>
      </c>
      <c r="V31" s="284">
        <v>3031.79</v>
      </c>
      <c r="W31" s="284">
        <v>1400.54</v>
      </c>
      <c r="X31" s="284">
        <v>4300.92</v>
      </c>
      <c r="Y31" s="284">
        <v>2279.35</v>
      </c>
      <c r="Z31" s="284">
        <v>2009.86</v>
      </c>
      <c r="AA31" s="284">
        <v>1721.4900000000002</v>
      </c>
      <c r="AB31" s="284">
        <v>4232.8</v>
      </c>
      <c r="AC31" s="284">
        <v>2190.88</v>
      </c>
      <c r="AD31" s="285">
        <v>34062.890000000007</v>
      </c>
      <c r="AE31" s="291">
        <v>0</v>
      </c>
      <c r="AF31" s="284">
        <v>6975.059999999994</v>
      </c>
      <c r="AG31" s="284">
        <v>2689.86</v>
      </c>
      <c r="AH31" s="284">
        <v>2754.17</v>
      </c>
      <c r="AI31" s="284">
        <v>1640.1100000000001</v>
      </c>
      <c r="AJ31" s="284">
        <v>1744.1100000000001</v>
      </c>
      <c r="AK31" s="284">
        <v>2133.41</v>
      </c>
      <c r="AL31" s="284">
        <v>3395.1400000000003</v>
      </c>
      <c r="AM31" s="284">
        <v>3133.37</v>
      </c>
      <c r="AN31" s="284">
        <v>1232.3599999999999</v>
      </c>
      <c r="AO31" s="284">
        <v>2783.01</v>
      </c>
      <c r="AP31" s="284">
        <v>1113.96</v>
      </c>
      <c r="AQ31" s="284">
        <v>4108.29</v>
      </c>
      <c r="AR31" s="284">
        <v>1633.9</v>
      </c>
      <c r="AS31" s="285">
        <v>28361.69</v>
      </c>
      <c r="AT31" s="291">
        <v>0</v>
      </c>
      <c r="AU31" s="284">
        <v>9947.8399999999947</v>
      </c>
      <c r="AV31" s="284">
        <v>1531.94</v>
      </c>
      <c r="AW31" s="284">
        <v>2465.0000000000005</v>
      </c>
      <c r="AX31" s="284">
        <v>3495.24</v>
      </c>
      <c r="AY31" s="284">
        <v>4378.33</v>
      </c>
      <c r="AZ31" s="284">
        <v>4004.9</v>
      </c>
      <c r="BA31" s="284">
        <v>8806.73</v>
      </c>
      <c r="BB31" s="284">
        <v>4751.0700000000006</v>
      </c>
      <c r="BC31" s="284">
        <v>3680.32</v>
      </c>
      <c r="BD31" s="284">
        <v>4943.4799999999996</v>
      </c>
      <c r="BE31" s="284">
        <v>2633.2400000000002</v>
      </c>
      <c r="BF31" s="284">
        <v>4676.87</v>
      </c>
      <c r="BG31" s="284">
        <v>5724.58</v>
      </c>
      <c r="BH31" s="285">
        <v>51091.700000000004</v>
      </c>
      <c r="BI31" s="291">
        <v>0</v>
      </c>
      <c r="BJ31" s="284">
        <v>6975.059999999994</v>
      </c>
      <c r="BK31" s="284">
        <v>3453.4300000000003</v>
      </c>
      <c r="BL31" s="284">
        <v>2934.3900000000003</v>
      </c>
      <c r="BM31" s="284">
        <v>2876.59</v>
      </c>
      <c r="BN31" s="284">
        <v>4911.62</v>
      </c>
      <c r="BO31" s="284">
        <v>3482.46</v>
      </c>
      <c r="BP31" s="284">
        <v>5813.2199999999993</v>
      </c>
      <c r="BQ31" s="284">
        <v>5973.94</v>
      </c>
      <c r="BR31" s="284">
        <v>4764</v>
      </c>
      <c r="BS31" s="284">
        <v>2834.6800000000003</v>
      </c>
      <c r="BT31" s="284">
        <v>6018.52</v>
      </c>
      <c r="BU31" s="284">
        <v>5375.1100000000006</v>
      </c>
      <c r="BV31" s="284">
        <v>2342.9299999999998</v>
      </c>
      <c r="BW31" s="285">
        <v>50780.89</v>
      </c>
      <c r="BX31" s="291">
        <v>0</v>
      </c>
      <c r="BY31" s="284">
        <v>9947.8399999999947</v>
      </c>
      <c r="BZ31" s="284">
        <v>5838.5299999999988</v>
      </c>
      <c r="CA31" s="284">
        <v>1191</v>
      </c>
      <c r="CB31" s="284">
        <v>2508.31</v>
      </c>
      <c r="CC31" s="284">
        <v>1876.0899999999997</v>
      </c>
      <c r="CD31" s="284">
        <v>184.09999999999997</v>
      </c>
      <c r="CE31" s="284">
        <v>1980.55</v>
      </c>
      <c r="CF31" s="284">
        <v>2181.0300000000002</v>
      </c>
      <c r="CG31" s="284">
        <v>146.5</v>
      </c>
      <c r="CH31" s="284">
        <v>15</v>
      </c>
      <c r="CI31" s="284">
        <v>5636.3900000000012</v>
      </c>
      <c r="CJ31" s="284">
        <v>1326.2099999999996</v>
      </c>
      <c r="CK31" s="284">
        <v>880.94999999999993</v>
      </c>
      <c r="CL31" s="285">
        <v>23764.66</v>
      </c>
      <c r="CM31" s="291">
        <v>0</v>
      </c>
      <c r="CN31" s="284">
        <v>6975.059999999994</v>
      </c>
      <c r="CO31" s="284">
        <v>498.39</v>
      </c>
      <c r="CP31" s="284">
        <v>2494.3199999999997</v>
      </c>
      <c r="CQ31" s="284">
        <v>1493.29</v>
      </c>
      <c r="CR31" s="284">
        <v>1021.99</v>
      </c>
      <c r="CS31" s="284">
        <v>1805.58</v>
      </c>
      <c r="CT31" s="284">
        <v>5932.23</v>
      </c>
      <c r="CU31" s="284">
        <v>2594.5300000000002</v>
      </c>
      <c r="CV31" s="284">
        <v>1301.4600000000003</v>
      </c>
      <c r="CW31" s="284">
        <v>1885.25</v>
      </c>
      <c r="CX31" s="284">
        <v>5855</v>
      </c>
      <c r="CY31" s="284">
        <v>7555.39</v>
      </c>
      <c r="CZ31" s="284">
        <v>1372.9100000000003</v>
      </c>
      <c r="DA31" s="285">
        <v>33810.340000000004</v>
      </c>
      <c r="DB31" s="291">
        <v>0</v>
      </c>
      <c r="DC31" s="284">
        <v>1652.9399999999964</v>
      </c>
      <c r="DD31" s="284">
        <v>1400.0199999999998</v>
      </c>
      <c r="DE31" s="284">
        <v>2993.92</v>
      </c>
      <c r="DF31" s="284">
        <v>3063.3599999999997</v>
      </c>
      <c r="DG31" s="284">
        <v>11702.74</v>
      </c>
      <c r="DH31" s="284">
        <v>10038.210000000001</v>
      </c>
      <c r="DI31" s="284">
        <v>2478.9700000000003</v>
      </c>
      <c r="DJ31" s="284">
        <v>3157.6699999999992</v>
      </c>
      <c r="DK31" s="284">
        <v>4097.18</v>
      </c>
      <c r="DL31" s="284">
        <v>2391.98</v>
      </c>
      <c r="DM31" s="284">
        <v>2044.98</v>
      </c>
      <c r="DN31" s="284">
        <v>1614.98</v>
      </c>
      <c r="DO31" s="284">
        <v>1745.98</v>
      </c>
      <c r="DP31" s="285">
        <v>46729.990000000005</v>
      </c>
      <c r="DQ31" s="291">
        <v>0</v>
      </c>
      <c r="DR31" s="284">
        <v>6975.059999999994</v>
      </c>
      <c r="DS31" s="284">
        <v>3998.2000000000003</v>
      </c>
      <c r="DT31" s="284">
        <v>7555.73</v>
      </c>
      <c r="DU31" s="284">
        <v>4628.2</v>
      </c>
      <c r="DV31" s="284">
        <v>4150.7300000000005</v>
      </c>
      <c r="DW31" s="284">
        <v>4033.2000000000003</v>
      </c>
      <c r="DX31" s="284">
        <v>3652.7300000000005</v>
      </c>
      <c r="DY31" s="284">
        <v>4628.2</v>
      </c>
      <c r="DZ31" s="284">
        <v>4212.7299999999996</v>
      </c>
      <c r="EA31" s="284">
        <v>4531.2</v>
      </c>
      <c r="EB31" s="284">
        <v>4247.7300000000005</v>
      </c>
      <c r="EC31" s="284">
        <v>4033.2000000000003</v>
      </c>
      <c r="ED31" s="284">
        <v>4033.2000000000003</v>
      </c>
      <c r="EE31" s="285">
        <v>53705.05</v>
      </c>
      <c r="EF31" s="291">
        <v>0</v>
      </c>
      <c r="EG31" s="311">
        <v>6975.059999999994</v>
      </c>
    </row>
    <row r="32" spans="2:138">
      <c r="B32" s="312" t="s">
        <v>28</v>
      </c>
      <c r="C32" s="284">
        <v>1360.34</v>
      </c>
      <c r="D32" s="284">
        <v>1842.0900000000001</v>
      </c>
      <c r="E32" s="284">
        <v>1848.7899999999997</v>
      </c>
      <c r="F32" s="284">
        <v>1443.44</v>
      </c>
      <c r="G32" s="284">
        <v>2437.4300000000003</v>
      </c>
      <c r="H32" s="284">
        <v>698.68999999999994</v>
      </c>
      <c r="I32" s="284">
        <v>1496.8500000000001</v>
      </c>
      <c r="J32" s="284">
        <v>700</v>
      </c>
      <c r="K32" s="284">
        <v>956.81999999999994</v>
      </c>
      <c r="L32" s="284">
        <v>1547.24</v>
      </c>
      <c r="M32" s="284">
        <v>1993.1700000000003</v>
      </c>
      <c r="N32" s="284">
        <v>2329.5899999999997</v>
      </c>
      <c r="O32" s="285">
        <v>18654.45</v>
      </c>
      <c r="P32" s="291">
        <v>0</v>
      </c>
      <c r="Q32" s="284">
        <v>4919.5899999999965</v>
      </c>
      <c r="R32" s="284">
        <v>0</v>
      </c>
      <c r="S32" s="284">
        <v>3007.0900000000006</v>
      </c>
      <c r="T32" s="284">
        <v>683.15</v>
      </c>
      <c r="U32" s="284">
        <v>1080.47</v>
      </c>
      <c r="V32" s="284">
        <v>1503.06</v>
      </c>
      <c r="W32" s="284">
        <v>0</v>
      </c>
      <c r="X32" s="284">
        <v>2979.59</v>
      </c>
      <c r="Y32" s="284">
        <v>0</v>
      </c>
      <c r="Z32" s="284">
        <v>1149.5999999999999</v>
      </c>
      <c r="AA32" s="284">
        <v>314.08000000000004</v>
      </c>
      <c r="AB32" s="284">
        <v>2982.29</v>
      </c>
      <c r="AC32" s="284">
        <v>1151.9600000000003</v>
      </c>
      <c r="AD32" s="285">
        <v>14851.290000000003</v>
      </c>
      <c r="AE32" s="291">
        <v>0</v>
      </c>
      <c r="AF32" s="284">
        <v>4919.5899999999965</v>
      </c>
      <c r="AG32" s="284">
        <v>974.45999999999981</v>
      </c>
      <c r="AH32" s="284">
        <v>1125.0600000000002</v>
      </c>
      <c r="AI32" s="284">
        <v>0</v>
      </c>
      <c r="AJ32" s="284">
        <v>0</v>
      </c>
      <c r="AK32" s="284">
        <v>1802.1</v>
      </c>
      <c r="AL32" s="284">
        <v>1926.56</v>
      </c>
      <c r="AM32" s="284">
        <v>1601.25</v>
      </c>
      <c r="AN32" s="284">
        <v>506.51</v>
      </c>
      <c r="AO32" s="284">
        <v>1858.43</v>
      </c>
      <c r="AP32" s="284">
        <v>126.48</v>
      </c>
      <c r="AQ32" s="284">
        <v>0</v>
      </c>
      <c r="AR32" s="284">
        <v>0</v>
      </c>
      <c r="AS32" s="285">
        <v>9920.85</v>
      </c>
      <c r="AT32" s="291">
        <v>0</v>
      </c>
      <c r="AU32" s="284">
        <v>4919.5899999999965</v>
      </c>
      <c r="AV32" s="284">
        <v>0</v>
      </c>
      <c r="AW32" s="284">
        <v>1130.9000000000003</v>
      </c>
      <c r="AX32" s="284">
        <v>58.5</v>
      </c>
      <c r="AY32" s="284">
        <v>1515.4</v>
      </c>
      <c r="AZ32" s="284">
        <v>1582.91</v>
      </c>
      <c r="BA32" s="284">
        <v>1240.5400000000002</v>
      </c>
      <c r="BB32" s="284">
        <v>1304.3900000000003</v>
      </c>
      <c r="BC32" s="284">
        <v>0</v>
      </c>
      <c r="BD32" s="284">
        <v>71</v>
      </c>
      <c r="BE32" s="284">
        <v>50</v>
      </c>
      <c r="BF32" s="284">
        <v>2248.29</v>
      </c>
      <c r="BG32" s="284">
        <v>1048.6999999999998</v>
      </c>
      <c r="BH32" s="285">
        <v>10250.630000000001</v>
      </c>
      <c r="BI32" s="291">
        <v>0</v>
      </c>
      <c r="BJ32" s="284">
        <v>4919.5899999999965</v>
      </c>
      <c r="BK32" s="284">
        <v>825.12</v>
      </c>
      <c r="BL32" s="284">
        <v>1074.06</v>
      </c>
      <c r="BM32" s="284">
        <v>653.44999999999993</v>
      </c>
      <c r="BN32" s="284">
        <v>925.56999999999994</v>
      </c>
      <c r="BO32" s="284">
        <v>133.57999999999998</v>
      </c>
      <c r="BP32" s="284">
        <v>1334.43</v>
      </c>
      <c r="BQ32" s="284">
        <v>2131.54</v>
      </c>
      <c r="BR32" s="284">
        <v>1770</v>
      </c>
      <c r="BS32" s="284">
        <v>784.06</v>
      </c>
      <c r="BT32" s="284">
        <v>1206.2900000000002</v>
      </c>
      <c r="BU32" s="284">
        <v>355.8</v>
      </c>
      <c r="BV32" s="284">
        <v>578.29999999999995</v>
      </c>
      <c r="BW32" s="285">
        <v>11772.199999999999</v>
      </c>
      <c r="BX32" s="291">
        <v>0</v>
      </c>
      <c r="BY32" s="284">
        <v>4919.5899999999965</v>
      </c>
      <c r="BZ32" s="284">
        <v>745.90999999999985</v>
      </c>
      <c r="CA32" s="284">
        <v>943</v>
      </c>
      <c r="CB32" s="284">
        <v>2212.06</v>
      </c>
      <c r="CC32" s="284">
        <v>1886.0899999999997</v>
      </c>
      <c r="CD32" s="284">
        <v>194.09999999999997</v>
      </c>
      <c r="CE32" s="284">
        <v>882.7</v>
      </c>
      <c r="CF32" s="284">
        <v>2181.0300000000002</v>
      </c>
      <c r="CG32" s="284">
        <v>176.5</v>
      </c>
      <c r="CH32" s="284">
        <v>25</v>
      </c>
      <c r="CI32" s="284">
        <v>4474.4900000000007</v>
      </c>
      <c r="CJ32" s="284">
        <v>1287.2299999999996</v>
      </c>
      <c r="CK32" s="284">
        <v>0</v>
      </c>
      <c r="CL32" s="285">
        <v>15008.11</v>
      </c>
      <c r="CM32" s="291">
        <v>0</v>
      </c>
      <c r="CN32" s="284">
        <v>4919.5899999999965</v>
      </c>
      <c r="CO32" s="284">
        <v>399</v>
      </c>
      <c r="CP32" s="284">
        <v>2494.3199999999997</v>
      </c>
      <c r="CQ32" s="284">
        <v>1182.02</v>
      </c>
      <c r="CR32" s="284">
        <v>1031.99</v>
      </c>
      <c r="CS32" s="284">
        <v>1287.58</v>
      </c>
      <c r="CT32" s="284">
        <v>2441.5500000000002</v>
      </c>
      <c r="CU32" s="284">
        <v>1627.1399999999999</v>
      </c>
      <c r="CV32" s="284">
        <v>1301.4600000000003</v>
      </c>
      <c r="CW32" s="284">
        <v>1424.71</v>
      </c>
      <c r="CX32" s="284">
        <v>1284</v>
      </c>
      <c r="CY32" s="284">
        <v>6629.8300000000008</v>
      </c>
      <c r="CZ32" s="284">
        <v>693.33</v>
      </c>
      <c r="DA32" s="285">
        <v>21796.930000000004</v>
      </c>
      <c r="DB32" s="291">
        <v>0</v>
      </c>
      <c r="DC32" s="284">
        <v>4919.5899999999965</v>
      </c>
      <c r="DD32" s="284">
        <v>1288.6599999999999</v>
      </c>
      <c r="DE32" s="284">
        <v>2518.73</v>
      </c>
      <c r="DF32" s="284">
        <v>3063.3599999999997</v>
      </c>
      <c r="DG32" s="284">
        <v>10547.01</v>
      </c>
      <c r="DH32" s="284">
        <v>4173.7</v>
      </c>
      <c r="DI32" s="284">
        <v>2227.5100000000002</v>
      </c>
      <c r="DJ32" s="284">
        <v>2261.8399999999992</v>
      </c>
      <c r="DK32" s="284">
        <v>3801.28</v>
      </c>
      <c r="DL32" s="284">
        <v>2153.98</v>
      </c>
      <c r="DM32" s="284">
        <v>1358.98</v>
      </c>
      <c r="DN32" s="284">
        <v>1421.98</v>
      </c>
      <c r="DO32" s="284">
        <v>1592.98</v>
      </c>
      <c r="DP32" s="285">
        <v>36410.010000000009</v>
      </c>
      <c r="DQ32" s="291">
        <v>0</v>
      </c>
      <c r="DR32" s="284">
        <v>4919.5899999999965</v>
      </c>
      <c r="DS32" s="284">
        <v>2865.3</v>
      </c>
      <c r="DT32" s="284">
        <v>3460.3</v>
      </c>
      <c r="DU32" s="284">
        <v>4055.3</v>
      </c>
      <c r="DV32" s="284">
        <v>3363.3</v>
      </c>
      <c r="DW32" s="284">
        <v>3460.3</v>
      </c>
      <c r="DX32" s="284">
        <v>2865.3</v>
      </c>
      <c r="DY32" s="284">
        <v>4055.3</v>
      </c>
      <c r="DZ32" s="284">
        <v>2865.3</v>
      </c>
      <c r="EA32" s="284">
        <v>3958.3</v>
      </c>
      <c r="EB32" s="284">
        <v>3460.3</v>
      </c>
      <c r="EC32" s="284">
        <v>3460.3</v>
      </c>
      <c r="ED32" s="284">
        <v>3460.3</v>
      </c>
      <c r="EE32" s="285">
        <v>41329.600000000006</v>
      </c>
      <c r="EF32" s="291">
        <v>0</v>
      </c>
      <c r="EG32" s="317">
        <v>4919.5899999999965</v>
      </c>
      <c r="EH32" s="47" t="s">
        <v>829</v>
      </c>
    </row>
    <row r="33" spans="2:139">
      <c r="B33" s="312" t="s">
        <v>25</v>
      </c>
      <c r="C33" s="284">
        <v>518.68000000000006</v>
      </c>
      <c r="D33" s="284">
        <v>319.24</v>
      </c>
      <c r="E33" s="284">
        <v>664.7</v>
      </c>
      <c r="F33" s="284">
        <v>370.61</v>
      </c>
      <c r="G33" s="284">
        <v>1148.7899999999997</v>
      </c>
      <c r="H33" s="284">
        <v>199.19000000000003</v>
      </c>
      <c r="I33" s="284">
        <v>1194.6199999999999</v>
      </c>
      <c r="J33" s="284">
        <v>57.269999999999996</v>
      </c>
      <c r="K33" s="284">
        <v>75.34</v>
      </c>
      <c r="L33" s="284">
        <v>768.6400000000001</v>
      </c>
      <c r="M33" s="284">
        <v>740.22</v>
      </c>
      <c r="N33" s="284">
        <v>719.4</v>
      </c>
      <c r="O33" s="285">
        <v>6776.7000000000007</v>
      </c>
      <c r="P33" s="291">
        <v>0</v>
      </c>
      <c r="Q33" s="284">
        <v>-293.86999999999989</v>
      </c>
      <c r="R33" s="284">
        <v>656.05000000000007</v>
      </c>
      <c r="S33" s="284">
        <v>871.56</v>
      </c>
      <c r="T33" s="284">
        <v>186.83</v>
      </c>
      <c r="U33" s="284">
        <v>824.67</v>
      </c>
      <c r="V33" s="284">
        <v>407.91</v>
      </c>
      <c r="W33" s="284">
        <v>479.01</v>
      </c>
      <c r="X33" s="284">
        <v>538.4899999999999</v>
      </c>
      <c r="Y33" s="284">
        <v>1440.0499999999997</v>
      </c>
      <c r="Z33" s="284">
        <v>0</v>
      </c>
      <c r="AA33" s="284">
        <v>577.95000000000005</v>
      </c>
      <c r="AB33" s="284">
        <v>446.13000000000005</v>
      </c>
      <c r="AC33" s="284">
        <v>621.31999999999994</v>
      </c>
      <c r="AD33" s="285">
        <v>7049.9699999999993</v>
      </c>
      <c r="AE33" s="291">
        <v>0</v>
      </c>
      <c r="AF33" s="284">
        <v>-293.86999999999989</v>
      </c>
      <c r="AG33" s="284">
        <v>635.85000000000014</v>
      </c>
      <c r="AH33" s="284">
        <v>666.56</v>
      </c>
      <c r="AI33" s="284">
        <v>975.11000000000024</v>
      </c>
      <c r="AJ33" s="284">
        <v>742.19</v>
      </c>
      <c r="AK33" s="284">
        <v>325.01</v>
      </c>
      <c r="AL33" s="284">
        <v>820.0100000000001</v>
      </c>
      <c r="AM33" s="284">
        <v>992.36</v>
      </c>
      <c r="AN33" s="284">
        <v>483.05999999999995</v>
      </c>
      <c r="AO33" s="284">
        <v>928.74</v>
      </c>
      <c r="AP33" s="284">
        <v>71.38</v>
      </c>
      <c r="AQ33" s="284">
        <v>729.24</v>
      </c>
      <c r="AR33" s="284">
        <v>339.81</v>
      </c>
      <c r="AS33" s="285">
        <v>7709.32</v>
      </c>
      <c r="AT33" s="291">
        <v>0</v>
      </c>
      <c r="AU33" s="284">
        <v>-293.86999999999989</v>
      </c>
      <c r="AV33" s="284">
        <v>665.43999999999994</v>
      </c>
      <c r="AW33" s="284">
        <v>989.03000000000009</v>
      </c>
      <c r="AX33" s="284">
        <v>2285.4799999999996</v>
      </c>
      <c r="AY33" s="284">
        <v>1385.33</v>
      </c>
      <c r="AZ33" s="284">
        <v>1317.4300000000003</v>
      </c>
      <c r="BA33" s="284">
        <v>1065.8700000000001</v>
      </c>
      <c r="BB33" s="284">
        <v>1202.5600000000002</v>
      </c>
      <c r="BC33" s="284">
        <v>608.72</v>
      </c>
      <c r="BD33" s="284">
        <v>1016.3900000000001</v>
      </c>
      <c r="BE33" s="284">
        <v>764.73</v>
      </c>
      <c r="BF33" s="284">
        <v>1017.6100000000001</v>
      </c>
      <c r="BG33" s="284">
        <v>998.13999999999987</v>
      </c>
      <c r="BH33" s="285">
        <v>13316.729999999998</v>
      </c>
      <c r="BI33" s="291">
        <v>0</v>
      </c>
      <c r="BJ33" s="284">
        <v>-293.86999999999989</v>
      </c>
      <c r="BK33" s="284">
        <v>1167.5900000000004</v>
      </c>
      <c r="BL33" s="284">
        <v>665.55000000000007</v>
      </c>
      <c r="BM33" s="284">
        <v>985.16999999999985</v>
      </c>
      <c r="BN33" s="284">
        <v>985.16999999999985</v>
      </c>
      <c r="BO33" s="284">
        <v>137.43</v>
      </c>
      <c r="BP33" s="284">
        <v>1210.56</v>
      </c>
      <c r="BQ33" s="284">
        <v>2042.3999999999999</v>
      </c>
      <c r="BR33" s="284">
        <v>1245</v>
      </c>
      <c r="BS33" s="284">
        <v>1549.6200000000001</v>
      </c>
      <c r="BT33" s="284">
        <v>1257.6500000000001</v>
      </c>
      <c r="BU33" s="284">
        <v>1006.2199999999999</v>
      </c>
      <c r="BV33" s="284">
        <v>78.139999999999986</v>
      </c>
      <c r="BW33" s="285">
        <v>12330.499999999998</v>
      </c>
      <c r="BX33" s="291">
        <v>0</v>
      </c>
      <c r="BY33" s="284">
        <v>-293.86999999999989</v>
      </c>
      <c r="BZ33" s="284">
        <v>2108.64</v>
      </c>
      <c r="CA33" s="284">
        <v>246</v>
      </c>
      <c r="CB33" s="284">
        <v>0</v>
      </c>
      <c r="CC33" s="284">
        <v>0</v>
      </c>
      <c r="CD33" s="284">
        <v>0</v>
      </c>
      <c r="CE33" s="284">
        <v>1117.8499999999999</v>
      </c>
      <c r="CF33" s="284">
        <v>0</v>
      </c>
      <c r="CG33" s="284">
        <v>0</v>
      </c>
      <c r="CH33" s="284">
        <v>0</v>
      </c>
      <c r="CI33" s="284">
        <v>1171.9000000000001</v>
      </c>
      <c r="CJ33" s="284">
        <v>0</v>
      </c>
      <c r="CK33" s="284">
        <v>572.06999999999994</v>
      </c>
      <c r="CL33" s="285">
        <v>5216.4599999999991</v>
      </c>
      <c r="CM33" s="291">
        <v>0</v>
      </c>
      <c r="CN33" s="284">
        <v>-293.86999999999989</v>
      </c>
      <c r="CO33" s="284">
        <v>0</v>
      </c>
      <c r="CP33" s="284">
        <v>0</v>
      </c>
      <c r="CQ33" s="284">
        <v>311.27</v>
      </c>
      <c r="CR33" s="284">
        <v>0</v>
      </c>
      <c r="CS33" s="284">
        <v>218</v>
      </c>
      <c r="CT33" s="284">
        <v>269.39999999999998</v>
      </c>
      <c r="CU33" s="284">
        <v>886.53</v>
      </c>
      <c r="CV33" s="284">
        <v>0</v>
      </c>
      <c r="CW33" s="284">
        <v>10.029999999999999</v>
      </c>
      <c r="CX33" s="284">
        <v>0</v>
      </c>
      <c r="CY33" s="284">
        <v>464.45</v>
      </c>
      <c r="CZ33" s="284">
        <v>679.58000000000015</v>
      </c>
      <c r="DA33" s="285">
        <v>2839.26</v>
      </c>
      <c r="DB33" s="291">
        <v>0</v>
      </c>
      <c r="DC33" s="284">
        <v>-293.86999999999989</v>
      </c>
      <c r="DD33" s="284">
        <v>68.3</v>
      </c>
      <c r="DE33" s="284">
        <v>475.19</v>
      </c>
      <c r="DF33" s="284">
        <v>0</v>
      </c>
      <c r="DG33" s="284">
        <v>34</v>
      </c>
      <c r="DH33" s="284">
        <v>1465.15</v>
      </c>
      <c r="DI33" s="284">
        <v>0</v>
      </c>
      <c r="DJ33" s="284">
        <v>0</v>
      </c>
      <c r="DK33" s="284">
        <v>43.88</v>
      </c>
      <c r="DL33" s="284">
        <v>85</v>
      </c>
      <c r="DM33" s="284">
        <v>275</v>
      </c>
      <c r="DN33" s="284">
        <v>40</v>
      </c>
      <c r="DO33" s="284">
        <v>0</v>
      </c>
      <c r="DP33" s="285">
        <v>2486.52</v>
      </c>
      <c r="DQ33" s="291">
        <v>0</v>
      </c>
      <c r="DR33" s="284">
        <v>-293.86999999999989</v>
      </c>
      <c r="DS33" s="284">
        <v>560</v>
      </c>
      <c r="DT33" s="284">
        <v>214.53</v>
      </c>
      <c r="DU33" s="284">
        <v>0</v>
      </c>
      <c r="DV33" s="284">
        <v>214.53</v>
      </c>
      <c r="DW33" s="284">
        <v>0</v>
      </c>
      <c r="DX33" s="284">
        <v>214.53</v>
      </c>
      <c r="DY33" s="284">
        <v>0</v>
      </c>
      <c r="DZ33" s="284">
        <v>774.53</v>
      </c>
      <c r="EA33" s="284">
        <v>0</v>
      </c>
      <c r="EB33" s="284">
        <v>214.53</v>
      </c>
      <c r="EC33" s="284">
        <v>0</v>
      </c>
      <c r="ED33" s="284">
        <v>0</v>
      </c>
      <c r="EE33" s="285">
        <v>2192.65</v>
      </c>
      <c r="EF33" s="291">
        <v>0</v>
      </c>
      <c r="EG33" s="311">
        <v>-293.86999999999989</v>
      </c>
    </row>
    <row r="34" spans="2:139">
      <c r="B34" s="312" t="s">
        <v>23</v>
      </c>
      <c r="C34" s="284">
        <v>897.16000000000008</v>
      </c>
      <c r="D34" s="284">
        <v>739.83999999999992</v>
      </c>
      <c r="E34" s="284">
        <v>568.99000000000012</v>
      </c>
      <c r="F34" s="284">
        <v>804.82999999999993</v>
      </c>
      <c r="G34" s="284">
        <v>1152.1000000000001</v>
      </c>
      <c r="H34" s="284">
        <v>663.87</v>
      </c>
      <c r="I34" s="284">
        <v>966.93999999999994</v>
      </c>
      <c r="J34" s="284">
        <v>294.62</v>
      </c>
      <c r="K34" s="284">
        <v>931.34</v>
      </c>
      <c r="L34" s="284">
        <v>1248.44</v>
      </c>
      <c r="M34" s="284">
        <v>1246.45</v>
      </c>
      <c r="N34" s="284">
        <v>1253.31</v>
      </c>
      <c r="O34" s="285">
        <v>10767.89</v>
      </c>
      <c r="P34" s="291">
        <v>0</v>
      </c>
      <c r="Q34" s="284">
        <v>5322.1199999999981</v>
      </c>
      <c r="R34" s="284">
        <v>954.09</v>
      </c>
      <c r="S34" s="284">
        <v>1984.3700000000001</v>
      </c>
      <c r="T34" s="284">
        <v>2100.89</v>
      </c>
      <c r="U34" s="284">
        <v>473.19000000000005</v>
      </c>
      <c r="V34" s="284">
        <v>1120.8200000000002</v>
      </c>
      <c r="W34" s="284">
        <v>921.53</v>
      </c>
      <c r="X34" s="284">
        <v>782.83999999999992</v>
      </c>
      <c r="Y34" s="284">
        <v>839.30000000000007</v>
      </c>
      <c r="Z34" s="284">
        <v>860.26</v>
      </c>
      <c r="AA34" s="284">
        <v>829.46</v>
      </c>
      <c r="AB34" s="284">
        <v>804.38000000000011</v>
      </c>
      <c r="AC34" s="284">
        <v>417.6</v>
      </c>
      <c r="AD34" s="285">
        <v>12088.730000000001</v>
      </c>
      <c r="AE34" s="291">
        <v>0</v>
      </c>
      <c r="AF34" s="284">
        <v>5322.1199999999981</v>
      </c>
      <c r="AG34" s="284">
        <v>1079.5500000000002</v>
      </c>
      <c r="AH34" s="284">
        <v>962.55</v>
      </c>
      <c r="AI34" s="284">
        <v>0</v>
      </c>
      <c r="AJ34" s="284">
        <v>1001.9200000000002</v>
      </c>
      <c r="AK34" s="284">
        <v>6.3</v>
      </c>
      <c r="AL34" s="284">
        <v>648.56999999999994</v>
      </c>
      <c r="AM34" s="284">
        <v>539.76</v>
      </c>
      <c r="AN34" s="284">
        <v>270.79000000000002</v>
      </c>
      <c r="AO34" s="284">
        <v>9.84</v>
      </c>
      <c r="AP34" s="284">
        <v>923.1</v>
      </c>
      <c r="AQ34" s="284">
        <v>3379.05</v>
      </c>
      <c r="AR34" s="284">
        <v>1308.0900000000001</v>
      </c>
      <c r="AS34" s="285">
        <v>10129.52</v>
      </c>
      <c r="AT34" s="291">
        <v>0</v>
      </c>
      <c r="AU34" s="284">
        <v>5322.1199999999981</v>
      </c>
      <c r="AV34" s="284">
        <v>866.5</v>
      </c>
      <c r="AW34" s="284">
        <v>345.07</v>
      </c>
      <c r="AX34" s="284">
        <v>1151.2600000000002</v>
      </c>
      <c r="AY34" s="284">
        <v>1491.6000000000001</v>
      </c>
      <c r="AZ34" s="284">
        <v>887.56</v>
      </c>
      <c r="BA34" s="284">
        <v>1272.72</v>
      </c>
      <c r="BB34" s="284">
        <v>1331.84</v>
      </c>
      <c r="BC34" s="284">
        <v>620.05999999999995</v>
      </c>
      <c r="BD34" s="284">
        <v>990.31999999999994</v>
      </c>
      <c r="BE34" s="284">
        <v>677.07</v>
      </c>
      <c r="BF34" s="284">
        <v>970.17000000000007</v>
      </c>
      <c r="BG34" s="284">
        <v>2004.7400000000005</v>
      </c>
      <c r="BH34" s="285">
        <v>12608.91</v>
      </c>
      <c r="BI34" s="291">
        <v>0</v>
      </c>
      <c r="BJ34" s="284">
        <v>5322.1199999999981</v>
      </c>
      <c r="BK34" s="284">
        <v>1481.72</v>
      </c>
      <c r="BL34" s="284">
        <v>1201.78</v>
      </c>
      <c r="BM34" s="284">
        <v>1258.97</v>
      </c>
      <c r="BN34" s="284">
        <v>2461.88</v>
      </c>
      <c r="BO34" s="284">
        <v>3225.45</v>
      </c>
      <c r="BP34" s="284">
        <v>2634.73</v>
      </c>
      <c r="BQ34" s="284">
        <v>1631</v>
      </c>
      <c r="BR34" s="284">
        <v>1749</v>
      </c>
      <c r="BS34" s="284">
        <v>511</v>
      </c>
      <c r="BT34" s="284">
        <v>3023.7799999999997</v>
      </c>
      <c r="BU34" s="284">
        <v>4043.09</v>
      </c>
      <c r="BV34" s="284">
        <v>1686.4899999999998</v>
      </c>
      <c r="BW34" s="285">
        <v>24908.89</v>
      </c>
      <c r="BX34" s="291">
        <v>0</v>
      </c>
      <c r="BY34" s="284">
        <v>5322.1199999999981</v>
      </c>
      <c r="BZ34" s="284">
        <v>1532.98</v>
      </c>
      <c r="CA34" s="284">
        <v>2</v>
      </c>
      <c r="CB34" s="284">
        <v>0</v>
      </c>
      <c r="CC34" s="284">
        <v>0</v>
      </c>
      <c r="CD34" s="284">
        <v>0</v>
      </c>
      <c r="CE34" s="284">
        <v>0</v>
      </c>
      <c r="CF34" s="284">
        <v>0</v>
      </c>
      <c r="CG34" s="284">
        <v>0</v>
      </c>
      <c r="CH34" s="284">
        <v>0</v>
      </c>
      <c r="CI34" s="284">
        <v>0</v>
      </c>
      <c r="CJ34" s="284">
        <v>0</v>
      </c>
      <c r="CK34" s="284">
        <v>0</v>
      </c>
      <c r="CL34" s="285">
        <v>1534.98</v>
      </c>
      <c r="CM34" s="291">
        <v>0</v>
      </c>
      <c r="CN34" s="284">
        <v>5322.1199999999981</v>
      </c>
      <c r="CO34" s="284">
        <v>0</v>
      </c>
      <c r="CP34" s="284">
        <v>0</v>
      </c>
      <c r="CQ34" s="284">
        <v>0</v>
      </c>
      <c r="CR34" s="284">
        <v>0</v>
      </c>
      <c r="CS34" s="284">
        <v>0</v>
      </c>
      <c r="CT34" s="284">
        <v>0</v>
      </c>
      <c r="CU34" s="284">
        <v>0</v>
      </c>
      <c r="CV34" s="284">
        <v>0</v>
      </c>
      <c r="CW34" s="284">
        <v>0</v>
      </c>
      <c r="CX34" s="284">
        <v>0</v>
      </c>
      <c r="CY34" s="284">
        <v>0</v>
      </c>
      <c r="CZ34" s="284">
        <v>0</v>
      </c>
      <c r="DA34" s="285">
        <v>0</v>
      </c>
      <c r="DB34" s="291">
        <v>0</v>
      </c>
      <c r="DC34" s="284">
        <v>0</v>
      </c>
      <c r="DD34" s="284">
        <v>43.06</v>
      </c>
      <c r="DE34" s="284">
        <v>0</v>
      </c>
      <c r="DF34" s="284">
        <v>0</v>
      </c>
      <c r="DG34" s="284">
        <v>0</v>
      </c>
      <c r="DH34" s="284">
        <v>260.18</v>
      </c>
      <c r="DI34" s="284">
        <v>251.46</v>
      </c>
      <c r="DJ34" s="284">
        <v>245.28</v>
      </c>
      <c r="DK34" s="284">
        <v>140.69999999999999</v>
      </c>
      <c r="DL34" s="284">
        <v>153</v>
      </c>
      <c r="DM34" s="284">
        <v>153</v>
      </c>
      <c r="DN34" s="284">
        <v>153</v>
      </c>
      <c r="DO34" s="284">
        <v>153</v>
      </c>
      <c r="DP34" s="285">
        <v>1552.68</v>
      </c>
      <c r="DQ34" s="291">
        <v>0</v>
      </c>
      <c r="DR34" s="284">
        <v>5322.1199999999981</v>
      </c>
      <c r="DS34" s="284">
        <v>572.9</v>
      </c>
      <c r="DT34" s="284">
        <v>572.9</v>
      </c>
      <c r="DU34" s="284">
        <v>572.9</v>
      </c>
      <c r="DV34" s="284">
        <v>572.9</v>
      </c>
      <c r="DW34" s="284">
        <v>572.9</v>
      </c>
      <c r="DX34" s="284">
        <v>572.9</v>
      </c>
      <c r="DY34" s="284">
        <v>572.9</v>
      </c>
      <c r="DZ34" s="284">
        <v>572.9</v>
      </c>
      <c r="EA34" s="284">
        <v>572.9</v>
      </c>
      <c r="EB34" s="284">
        <v>572.9</v>
      </c>
      <c r="EC34" s="284">
        <v>572.9</v>
      </c>
      <c r="ED34" s="284">
        <v>572.9</v>
      </c>
      <c r="EE34" s="285">
        <v>6874.7999999999984</v>
      </c>
      <c r="EF34" s="291">
        <v>0</v>
      </c>
      <c r="EG34" s="317">
        <v>5322.1199999999981</v>
      </c>
      <c r="EH34" s="47" t="s">
        <v>810</v>
      </c>
    </row>
    <row r="35" spans="2:139">
      <c r="B35" s="312" t="s">
        <v>24</v>
      </c>
      <c r="C35" s="284">
        <v>-7</v>
      </c>
      <c r="D35" s="284">
        <v>0</v>
      </c>
      <c r="E35" s="284">
        <v>0</v>
      </c>
      <c r="F35" s="284">
        <v>0</v>
      </c>
      <c r="G35" s="284">
        <v>-14</v>
      </c>
      <c r="H35" s="284">
        <v>0</v>
      </c>
      <c r="I35" s="284">
        <v>-42</v>
      </c>
      <c r="J35" s="284">
        <v>-7</v>
      </c>
      <c r="K35" s="284">
        <v>0</v>
      </c>
      <c r="L35" s="284">
        <v>0</v>
      </c>
      <c r="M35" s="284">
        <v>0</v>
      </c>
      <c r="N35" s="284">
        <v>-14</v>
      </c>
      <c r="O35" s="285">
        <v>-84</v>
      </c>
      <c r="P35" s="291">
        <v>0</v>
      </c>
      <c r="Q35" s="284">
        <v>0</v>
      </c>
      <c r="R35" s="284">
        <v>0</v>
      </c>
      <c r="S35" s="284">
        <v>-7</v>
      </c>
      <c r="T35" s="284">
        <v>0</v>
      </c>
      <c r="U35" s="284">
        <v>-7</v>
      </c>
      <c r="V35" s="284">
        <v>0</v>
      </c>
      <c r="W35" s="284">
        <v>0</v>
      </c>
      <c r="X35" s="284">
        <v>0</v>
      </c>
      <c r="Y35" s="284">
        <v>0</v>
      </c>
      <c r="Z35" s="284">
        <v>0</v>
      </c>
      <c r="AA35" s="284">
        <v>0</v>
      </c>
      <c r="AB35" s="284">
        <v>0</v>
      </c>
      <c r="AC35" s="284">
        <v>0</v>
      </c>
      <c r="AD35" s="285">
        <v>-14</v>
      </c>
      <c r="AE35" s="291">
        <v>0</v>
      </c>
      <c r="AF35" s="284">
        <v>0</v>
      </c>
      <c r="AG35" s="284">
        <v>0</v>
      </c>
      <c r="AH35" s="284">
        <v>0</v>
      </c>
      <c r="AI35" s="284">
        <v>0</v>
      </c>
      <c r="AJ35" s="284">
        <v>0</v>
      </c>
      <c r="AK35" s="284">
        <v>0</v>
      </c>
      <c r="AL35" s="284">
        <v>0</v>
      </c>
      <c r="AM35" s="284">
        <v>0</v>
      </c>
      <c r="AN35" s="284">
        <v>-28</v>
      </c>
      <c r="AO35" s="284">
        <v>-14</v>
      </c>
      <c r="AP35" s="284">
        <v>-7</v>
      </c>
      <c r="AQ35" s="284">
        <v>0</v>
      </c>
      <c r="AR35" s="284">
        <v>-14</v>
      </c>
      <c r="AS35" s="285">
        <v>-63</v>
      </c>
      <c r="AT35" s="291">
        <v>0</v>
      </c>
      <c r="AU35" s="284">
        <v>0</v>
      </c>
      <c r="AV35" s="284">
        <v>0</v>
      </c>
      <c r="AW35" s="284">
        <v>0</v>
      </c>
      <c r="AX35" s="284">
        <v>0</v>
      </c>
      <c r="AY35" s="284">
        <v>-14</v>
      </c>
      <c r="AZ35" s="284">
        <v>217</v>
      </c>
      <c r="BA35" s="284">
        <v>5227.6000000000004</v>
      </c>
      <c r="BB35" s="284">
        <v>912.28</v>
      </c>
      <c r="BC35" s="284">
        <v>2451.5400000000004</v>
      </c>
      <c r="BD35" s="284">
        <v>2641.28</v>
      </c>
      <c r="BE35" s="284">
        <v>1141.44</v>
      </c>
      <c r="BF35" s="284">
        <v>-21</v>
      </c>
      <c r="BG35" s="284">
        <v>1673</v>
      </c>
      <c r="BH35" s="285">
        <v>14229.140000000001</v>
      </c>
      <c r="BI35" s="291">
        <v>0</v>
      </c>
      <c r="BJ35" s="284">
        <v>0</v>
      </c>
      <c r="BK35" s="284">
        <v>-21</v>
      </c>
      <c r="BL35" s="284">
        <v>-7</v>
      </c>
      <c r="BM35" s="284">
        <v>-21</v>
      </c>
      <c r="BN35" s="284">
        <v>539</v>
      </c>
      <c r="BO35" s="284">
        <v>-14</v>
      </c>
      <c r="BP35" s="284">
        <v>633.5</v>
      </c>
      <c r="BQ35" s="284">
        <v>169</v>
      </c>
      <c r="BR35" s="284">
        <v>0</v>
      </c>
      <c r="BS35" s="284">
        <v>-10</v>
      </c>
      <c r="BT35" s="284">
        <v>530.79999999999995</v>
      </c>
      <c r="BU35" s="284">
        <v>-30</v>
      </c>
      <c r="BV35" s="284">
        <v>0</v>
      </c>
      <c r="BW35" s="285">
        <v>1769.3</v>
      </c>
      <c r="BX35" s="291">
        <v>0</v>
      </c>
      <c r="BY35" s="284">
        <v>0</v>
      </c>
      <c r="BZ35" s="284">
        <v>1451</v>
      </c>
      <c r="CA35" s="284">
        <v>0</v>
      </c>
      <c r="CB35" s="284">
        <v>-10</v>
      </c>
      <c r="CC35" s="284">
        <v>-10</v>
      </c>
      <c r="CD35" s="284">
        <v>-10</v>
      </c>
      <c r="CE35" s="284">
        <v>-20</v>
      </c>
      <c r="CF35" s="284">
        <v>0</v>
      </c>
      <c r="CG35" s="284">
        <v>-30</v>
      </c>
      <c r="CH35" s="284">
        <v>-10</v>
      </c>
      <c r="CI35" s="284">
        <v>-10</v>
      </c>
      <c r="CJ35" s="284">
        <v>0</v>
      </c>
      <c r="CK35" s="284">
        <v>0</v>
      </c>
      <c r="CL35" s="285">
        <v>1351</v>
      </c>
      <c r="CM35" s="291">
        <v>0</v>
      </c>
      <c r="CN35" s="284">
        <v>0</v>
      </c>
      <c r="CO35" s="284">
        <v>0</v>
      </c>
      <c r="CP35" s="284">
        <v>0</v>
      </c>
      <c r="CQ35" s="284">
        <v>0</v>
      </c>
      <c r="CR35" s="284">
        <v>-10</v>
      </c>
      <c r="CS35" s="284">
        <v>0</v>
      </c>
      <c r="CT35" s="284">
        <v>3030.0499999999997</v>
      </c>
      <c r="CU35" s="284">
        <v>80.86</v>
      </c>
      <c r="CV35" s="284">
        <v>0</v>
      </c>
      <c r="CW35" s="284">
        <v>151.10999999999999</v>
      </c>
      <c r="CX35" s="284">
        <v>-10</v>
      </c>
      <c r="CY35" s="284">
        <v>0</v>
      </c>
      <c r="CZ35" s="284">
        <v>0</v>
      </c>
      <c r="DA35" s="285">
        <v>3242.02</v>
      </c>
      <c r="DB35" s="291">
        <v>0</v>
      </c>
      <c r="DC35" s="284">
        <v>0</v>
      </c>
      <c r="DD35" s="284">
        <v>0</v>
      </c>
      <c r="DE35" s="284">
        <v>0</v>
      </c>
      <c r="DF35" s="284">
        <v>0</v>
      </c>
      <c r="DG35" s="284">
        <v>0</v>
      </c>
      <c r="DH35" s="284">
        <v>3488</v>
      </c>
      <c r="DI35" s="284">
        <v>0</v>
      </c>
      <c r="DJ35" s="284">
        <v>0</v>
      </c>
      <c r="DK35" s="284">
        <v>-180</v>
      </c>
      <c r="DL35" s="284">
        <v>0</v>
      </c>
      <c r="DM35" s="284">
        <v>0</v>
      </c>
      <c r="DN35" s="284">
        <v>0</v>
      </c>
      <c r="DO35" s="284">
        <v>0</v>
      </c>
      <c r="DP35" s="285">
        <v>3308</v>
      </c>
      <c r="DQ35" s="291">
        <v>0</v>
      </c>
      <c r="DR35" s="284">
        <v>0</v>
      </c>
      <c r="DS35" s="284">
        <v>0</v>
      </c>
      <c r="DT35" s="284">
        <v>3308</v>
      </c>
      <c r="DU35" s="284">
        <v>0</v>
      </c>
      <c r="DV35" s="284">
        <v>0</v>
      </c>
      <c r="DW35" s="284">
        <v>0</v>
      </c>
      <c r="DX35" s="284">
        <v>0</v>
      </c>
      <c r="DY35" s="284">
        <v>0</v>
      </c>
      <c r="DZ35" s="284">
        <v>0</v>
      </c>
      <c r="EA35" s="284">
        <v>0</v>
      </c>
      <c r="EB35" s="284">
        <v>0</v>
      </c>
      <c r="EC35" s="284">
        <v>0</v>
      </c>
      <c r="ED35" s="284">
        <v>0</v>
      </c>
      <c r="EE35" s="285">
        <v>3308</v>
      </c>
      <c r="EF35" s="291">
        <v>0</v>
      </c>
      <c r="EG35" s="317">
        <v>0</v>
      </c>
      <c r="EH35" s="47" t="s">
        <v>814</v>
      </c>
    </row>
    <row r="36" spans="2:139">
      <c r="B36" s="312" t="s">
        <v>21</v>
      </c>
      <c r="C36" s="284">
        <v>0</v>
      </c>
      <c r="D36" s="284">
        <v>0</v>
      </c>
      <c r="E36" s="284">
        <v>0</v>
      </c>
      <c r="F36" s="284">
        <v>670</v>
      </c>
      <c r="G36" s="284">
        <v>0</v>
      </c>
      <c r="H36" s="284">
        <v>0</v>
      </c>
      <c r="I36" s="284">
        <v>0</v>
      </c>
      <c r="J36" s="284">
        <v>0</v>
      </c>
      <c r="K36" s="284">
        <v>0</v>
      </c>
      <c r="L36" s="284">
        <v>0</v>
      </c>
      <c r="M36" s="284">
        <v>0</v>
      </c>
      <c r="N36" s="284">
        <v>0</v>
      </c>
      <c r="O36" s="285">
        <v>670</v>
      </c>
      <c r="P36" s="291">
        <v>0</v>
      </c>
      <c r="Q36" s="284">
        <v>-2972.78</v>
      </c>
      <c r="R36" s="284">
        <v>0</v>
      </c>
      <c r="S36" s="284">
        <v>86.9</v>
      </c>
      <c r="T36" s="284">
        <v>0</v>
      </c>
      <c r="U36" s="284">
        <v>0</v>
      </c>
      <c r="V36" s="284">
        <v>0</v>
      </c>
      <c r="W36" s="284">
        <v>0</v>
      </c>
      <c r="X36" s="284">
        <v>0</v>
      </c>
      <c r="Y36" s="284">
        <v>0</v>
      </c>
      <c r="Z36" s="284">
        <v>0</v>
      </c>
      <c r="AA36" s="284">
        <v>0</v>
      </c>
      <c r="AB36" s="284">
        <v>0</v>
      </c>
      <c r="AC36" s="284">
        <v>0</v>
      </c>
      <c r="AD36" s="285">
        <v>86.9</v>
      </c>
      <c r="AE36" s="291">
        <v>0</v>
      </c>
      <c r="AF36" s="284">
        <v>-2972.78</v>
      </c>
      <c r="AG36" s="284">
        <v>0</v>
      </c>
      <c r="AH36" s="284">
        <v>0</v>
      </c>
      <c r="AI36" s="284">
        <v>0</v>
      </c>
      <c r="AJ36" s="284">
        <v>0</v>
      </c>
      <c r="AK36" s="284">
        <v>0</v>
      </c>
      <c r="AL36" s="284">
        <v>0</v>
      </c>
      <c r="AM36" s="284">
        <v>0</v>
      </c>
      <c r="AN36" s="284">
        <v>0</v>
      </c>
      <c r="AO36" s="284">
        <v>0</v>
      </c>
      <c r="AP36" s="284">
        <v>0</v>
      </c>
      <c r="AQ36" s="284">
        <v>0</v>
      </c>
      <c r="AR36" s="284">
        <v>0</v>
      </c>
      <c r="AS36" s="285">
        <v>0</v>
      </c>
      <c r="AT36" s="291">
        <v>0</v>
      </c>
      <c r="AU36" s="284">
        <v>0</v>
      </c>
      <c r="AV36" s="284">
        <v>0</v>
      </c>
      <c r="AW36" s="284">
        <v>0</v>
      </c>
      <c r="AX36" s="284">
        <v>0</v>
      </c>
      <c r="AY36" s="284">
        <v>0</v>
      </c>
      <c r="AZ36" s="284">
        <v>0</v>
      </c>
      <c r="BA36" s="284">
        <v>0</v>
      </c>
      <c r="BB36" s="284">
        <v>0</v>
      </c>
      <c r="BC36" s="284">
        <v>0</v>
      </c>
      <c r="BD36" s="284">
        <v>0</v>
      </c>
      <c r="BE36" s="284">
        <v>0</v>
      </c>
      <c r="BF36" s="284">
        <v>461.8</v>
      </c>
      <c r="BG36" s="284">
        <v>0</v>
      </c>
      <c r="BH36" s="285">
        <v>461.8</v>
      </c>
      <c r="BI36" s="291">
        <v>0</v>
      </c>
      <c r="BJ36" s="284">
        <v>-2972.78</v>
      </c>
      <c r="BK36" s="284">
        <v>0</v>
      </c>
      <c r="BL36" s="284">
        <v>0</v>
      </c>
      <c r="BM36" s="284">
        <v>0</v>
      </c>
      <c r="BN36" s="284">
        <v>0</v>
      </c>
      <c r="BO36" s="284">
        <v>0</v>
      </c>
      <c r="BP36" s="284">
        <v>0</v>
      </c>
      <c r="BQ36" s="284">
        <v>0</v>
      </c>
      <c r="BR36" s="284">
        <v>0</v>
      </c>
      <c r="BS36" s="284">
        <v>0</v>
      </c>
      <c r="BT36" s="284">
        <v>0</v>
      </c>
      <c r="BU36" s="284">
        <v>0</v>
      </c>
      <c r="BV36" s="284">
        <v>0</v>
      </c>
      <c r="BW36" s="285">
        <v>0</v>
      </c>
      <c r="BX36" s="291">
        <v>0</v>
      </c>
      <c r="BY36" s="284">
        <v>0</v>
      </c>
      <c r="BZ36" s="284">
        <v>0</v>
      </c>
      <c r="CA36" s="284">
        <v>0</v>
      </c>
      <c r="CB36" s="284">
        <v>306.25</v>
      </c>
      <c r="CC36" s="284">
        <v>0</v>
      </c>
      <c r="CD36" s="284">
        <v>0</v>
      </c>
      <c r="CE36" s="284">
        <v>0</v>
      </c>
      <c r="CF36" s="284">
        <v>0</v>
      </c>
      <c r="CG36" s="284">
        <v>0</v>
      </c>
      <c r="CH36" s="284">
        <v>0</v>
      </c>
      <c r="CI36" s="284">
        <v>0</v>
      </c>
      <c r="CJ36" s="284">
        <v>38.979999999999997</v>
      </c>
      <c r="CK36" s="284">
        <v>308.88</v>
      </c>
      <c r="CL36" s="285">
        <v>654.11</v>
      </c>
      <c r="CM36" s="291">
        <v>0</v>
      </c>
      <c r="CN36" s="284">
        <v>-2972.78</v>
      </c>
      <c r="CO36" s="284">
        <v>99.39</v>
      </c>
      <c r="CP36" s="284">
        <v>0</v>
      </c>
      <c r="CQ36" s="284">
        <v>0</v>
      </c>
      <c r="CR36" s="284">
        <v>0</v>
      </c>
      <c r="CS36" s="284">
        <v>0</v>
      </c>
      <c r="CT36" s="284">
        <v>191.23</v>
      </c>
      <c r="CU36" s="284">
        <v>0</v>
      </c>
      <c r="CV36" s="284">
        <v>0</v>
      </c>
      <c r="CW36" s="284">
        <v>299.39999999999998</v>
      </c>
      <c r="CX36" s="284">
        <v>513</v>
      </c>
      <c r="CY36" s="284">
        <v>461.11</v>
      </c>
      <c r="CZ36" s="284">
        <v>0</v>
      </c>
      <c r="DA36" s="285">
        <v>1564.13</v>
      </c>
      <c r="DB36" s="291">
        <v>0</v>
      </c>
      <c r="DC36" s="284">
        <v>-2972.78</v>
      </c>
      <c r="DD36" s="284">
        <v>0</v>
      </c>
      <c r="DE36" s="284">
        <v>0</v>
      </c>
      <c r="DF36" s="284">
        <v>0</v>
      </c>
      <c r="DG36" s="284">
        <v>1121.73</v>
      </c>
      <c r="DH36" s="284">
        <v>651.17999999999995</v>
      </c>
      <c r="DI36" s="284">
        <v>0</v>
      </c>
      <c r="DJ36" s="284">
        <v>650.54999999999995</v>
      </c>
      <c r="DK36" s="284">
        <v>291.32</v>
      </c>
      <c r="DL36" s="284">
        <v>0</v>
      </c>
      <c r="DM36" s="284">
        <v>258</v>
      </c>
      <c r="DN36" s="284">
        <v>0</v>
      </c>
      <c r="DO36" s="284">
        <v>0</v>
      </c>
      <c r="DP36" s="285">
        <v>2972.78</v>
      </c>
      <c r="DQ36" s="291">
        <v>0</v>
      </c>
      <c r="DR36" s="284">
        <v>-2972.78</v>
      </c>
      <c r="DS36" s="284">
        <v>0</v>
      </c>
      <c r="DT36" s="284">
        <v>0</v>
      </c>
      <c r="DU36" s="284">
        <v>0</v>
      </c>
      <c r="DV36" s="284">
        <v>0</v>
      </c>
      <c r="DW36" s="284">
        <v>0</v>
      </c>
      <c r="DX36" s="284">
        <v>0</v>
      </c>
      <c r="DY36" s="284">
        <v>0</v>
      </c>
      <c r="DZ36" s="284">
        <v>0</v>
      </c>
      <c r="EA36" s="284">
        <v>0</v>
      </c>
      <c r="EB36" s="284">
        <v>0</v>
      </c>
      <c r="EC36" s="284">
        <v>0</v>
      </c>
      <c r="ED36" s="284">
        <v>0</v>
      </c>
      <c r="EE36" s="285">
        <v>0</v>
      </c>
      <c r="EF36" s="291">
        <v>0</v>
      </c>
      <c r="EG36" s="317">
        <v>-2972.78</v>
      </c>
      <c r="EH36" s="47"/>
    </row>
    <row r="37" spans="2:139">
      <c r="B37" s="312" t="s">
        <v>32</v>
      </c>
      <c r="C37" s="284">
        <v>0</v>
      </c>
      <c r="D37" s="284">
        <v>0</v>
      </c>
      <c r="E37" s="284">
        <v>0</v>
      </c>
      <c r="F37" s="284">
        <v>0</v>
      </c>
      <c r="G37" s="284">
        <v>0</v>
      </c>
      <c r="H37" s="284">
        <v>0</v>
      </c>
      <c r="I37" s="284">
        <v>0</v>
      </c>
      <c r="J37" s="284">
        <v>0</v>
      </c>
      <c r="K37" s="284">
        <v>0</v>
      </c>
      <c r="L37" s="284">
        <v>0</v>
      </c>
      <c r="M37" s="284">
        <v>0</v>
      </c>
      <c r="N37" s="284">
        <v>0</v>
      </c>
      <c r="O37" s="285">
        <v>0</v>
      </c>
      <c r="P37" s="291">
        <v>0</v>
      </c>
      <c r="Q37" s="284">
        <v>0</v>
      </c>
      <c r="R37" s="284">
        <v>0</v>
      </c>
      <c r="S37" s="284">
        <v>0</v>
      </c>
      <c r="T37" s="284">
        <v>0</v>
      </c>
      <c r="U37" s="284">
        <v>0</v>
      </c>
      <c r="V37" s="284">
        <v>0</v>
      </c>
      <c r="W37" s="284">
        <v>0</v>
      </c>
      <c r="X37" s="284">
        <v>0</v>
      </c>
      <c r="Y37" s="284">
        <v>0</v>
      </c>
      <c r="Z37" s="284">
        <v>0</v>
      </c>
      <c r="AA37" s="284">
        <v>0</v>
      </c>
      <c r="AB37" s="284">
        <v>0</v>
      </c>
      <c r="AC37" s="284">
        <v>0</v>
      </c>
      <c r="AD37" s="285">
        <v>0</v>
      </c>
      <c r="AE37" s="291">
        <v>0</v>
      </c>
      <c r="AF37" s="284">
        <v>0</v>
      </c>
      <c r="AG37" s="284">
        <v>0</v>
      </c>
      <c r="AH37" s="284">
        <v>0</v>
      </c>
      <c r="AI37" s="284">
        <v>0</v>
      </c>
      <c r="AJ37" s="284">
        <v>0</v>
      </c>
      <c r="AK37" s="284">
        <v>0</v>
      </c>
      <c r="AL37" s="284">
        <v>0</v>
      </c>
      <c r="AM37" s="284">
        <v>0</v>
      </c>
      <c r="AN37" s="284">
        <v>0</v>
      </c>
      <c r="AO37" s="284">
        <v>0</v>
      </c>
      <c r="AP37" s="284">
        <v>0</v>
      </c>
      <c r="AQ37" s="284">
        <v>0</v>
      </c>
      <c r="AR37" s="284">
        <v>0</v>
      </c>
      <c r="AS37" s="285">
        <v>0</v>
      </c>
      <c r="AT37" s="291">
        <v>0</v>
      </c>
      <c r="AU37" s="284">
        <v>0</v>
      </c>
      <c r="AV37" s="284">
        <v>0</v>
      </c>
      <c r="AW37" s="284">
        <v>0</v>
      </c>
      <c r="AX37" s="284">
        <v>0</v>
      </c>
      <c r="AY37" s="284">
        <v>0</v>
      </c>
      <c r="AZ37" s="284">
        <v>0</v>
      </c>
      <c r="BA37" s="284">
        <v>0</v>
      </c>
      <c r="BB37" s="284">
        <v>0</v>
      </c>
      <c r="BC37" s="284">
        <v>0</v>
      </c>
      <c r="BD37" s="284">
        <v>224.49</v>
      </c>
      <c r="BE37" s="284">
        <v>0</v>
      </c>
      <c r="BF37" s="284">
        <v>0</v>
      </c>
      <c r="BG37" s="284">
        <v>0</v>
      </c>
      <c r="BH37" s="285">
        <v>224.49</v>
      </c>
      <c r="BI37" s="291">
        <v>0</v>
      </c>
      <c r="BJ37" s="284">
        <v>0</v>
      </c>
      <c r="BK37" s="284">
        <v>0</v>
      </c>
      <c r="BL37" s="284">
        <v>0</v>
      </c>
      <c r="BM37" s="284">
        <v>0</v>
      </c>
      <c r="BN37" s="284">
        <v>0</v>
      </c>
      <c r="BO37" s="284">
        <v>0</v>
      </c>
      <c r="BP37" s="284">
        <v>0</v>
      </c>
      <c r="BQ37" s="284">
        <v>0</v>
      </c>
      <c r="BR37" s="284">
        <v>0</v>
      </c>
      <c r="BS37" s="284">
        <v>0</v>
      </c>
      <c r="BT37" s="284">
        <v>0</v>
      </c>
      <c r="BU37" s="284">
        <v>0</v>
      </c>
      <c r="BV37" s="284">
        <v>0</v>
      </c>
      <c r="BW37" s="285">
        <v>0</v>
      </c>
      <c r="BX37" s="291">
        <v>0</v>
      </c>
      <c r="BY37" s="284">
        <v>0</v>
      </c>
      <c r="BZ37" s="284">
        <v>0</v>
      </c>
      <c r="CA37" s="284">
        <v>0</v>
      </c>
      <c r="CB37" s="284">
        <v>0</v>
      </c>
      <c r="CC37" s="284">
        <v>0</v>
      </c>
      <c r="CD37" s="284">
        <v>0</v>
      </c>
      <c r="CE37" s="284">
        <v>0</v>
      </c>
      <c r="CF37" s="284">
        <v>0</v>
      </c>
      <c r="CG37" s="284">
        <v>0</v>
      </c>
      <c r="CH37" s="284">
        <v>0</v>
      </c>
      <c r="CI37" s="284">
        <v>0</v>
      </c>
      <c r="CJ37" s="284">
        <v>0</v>
      </c>
      <c r="CK37" s="284">
        <v>0</v>
      </c>
      <c r="CL37" s="285">
        <v>0</v>
      </c>
      <c r="CM37" s="291">
        <v>0</v>
      </c>
      <c r="CN37" s="284">
        <v>0</v>
      </c>
      <c r="CO37" s="284">
        <v>0</v>
      </c>
      <c r="CP37" s="284">
        <v>0</v>
      </c>
      <c r="CQ37" s="284">
        <v>0</v>
      </c>
      <c r="CR37" s="284">
        <v>0</v>
      </c>
      <c r="CS37" s="284">
        <v>0</v>
      </c>
      <c r="CT37" s="284">
        <v>0</v>
      </c>
      <c r="CU37" s="284">
        <v>0</v>
      </c>
      <c r="CV37" s="284">
        <v>0</v>
      </c>
      <c r="CW37" s="284">
        <v>0</v>
      </c>
      <c r="CX37" s="284">
        <v>4067.9999999999995</v>
      </c>
      <c r="CY37" s="284">
        <v>0</v>
      </c>
      <c r="CZ37" s="284">
        <v>0</v>
      </c>
      <c r="DA37" s="285">
        <v>4067.9999999999995</v>
      </c>
      <c r="DB37" s="291">
        <v>0</v>
      </c>
      <c r="DC37" s="284">
        <v>0</v>
      </c>
      <c r="DD37" s="284">
        <v>0</v>
      </c>
      <c r="DE37" s="284">
        <v>0</v>
      </c>
      <c r="DF37" s="284">
        <v>0</v>
      </c>
      <c r="DG37" s="284">
        <v>0</v>
      </c>
      <c r="DH37" s="284">
        <v>0</v>
      </c>
      <c r="DI37" s="284">
        <v>0</v>
      </c>
      <c r="DJ37" s="284">
        <v>0</v>
      </c>
      <c r="DK37" s="284">
        <v>0</v>
      </c>
      <c r="DL37" s="284">
        <v>0</v>
      </c>
      <c r="DM37" s="284">
        <v>0</v>
      </c>
      <c r="DN37" s="284">
        <v>0</v>
      </c>
      <c r="DO37" s="284">
        <v>0</v>
      </c>
      <c r="DP37" s="285">
        <v>0</v>
      </c>
      <c r="DQ37" s="291">
        <v>0</v>
      </c>
      <c r="DR37" s="284">
        <v>0</v>
      </c>
      <c r="DS37" s="284">
        <v>0</v>
      </c>
      <c r="DT37" s="284">
        <v>0</v>
      </c>
      <c r="DU37" s="284">
        <v>0</v>
      </c>
      <c r="DV37" s="284">
        <v>0</v>
      </c>
      <c r="DW37" s="284">
        <v>0</v>
      </c>
      <c r="DX37" s="284">
        <v>0</v>
      </c>
      <c r="DY37" s="284">
        <v>0</v>
      </c>
      <c r="DZ37" s="284">
        <v>0</v>
      </c>
      <c r="EA37" s="284">
        <v>0</v>
      </c>
      <c r="EB37" s="284">
        <v>0</v>
      </c>
      <c r="EC37" s="284">
        <v>0</v>
      </c>
      <c r="ED37" s="284">
        <v>0</v>
      </c>
      <c r="EE37" s="285">
        <v>0</v>
      </c>
      <c r="EF37" s="291">
        <v>0</v>
      </c>
      <c r="EG37" s="311">
        <v>0</v>
      </c>
    </row>
    <row r="38" spans="2:139">
      <c r="B38" s="312" t="s">
        <v>26</v>
      </c>
      <c r="C38" s="284">
        <v>0</v>
      </c>
      <c r="D38" s="284">
        <v>0</v>
      </c>
      <c r="E38" s="284">
        <v>0</v>
      </c>
      <c r="F38" s="284">
        <v>0</v>
      </c>
      <c r="G38" s="284">
        <v>0</v>
      </c>
      <c r="H38" s="284">
        <v>0</v>
      </c>
      <c r="I38" s="284">
        <v>0</v>
      </c>
      <c r="J38" s="284">
        <v>0</v>
      </c>
      <c r="K38" s="284">
        <v>0</v>
      </c>
      <c r="L38" s="284">
        <v>0</v>
      </c>
      <c r="M38" s="284">
        <v>0</v>
      </c>
      <c r="N38" s="284">
        <v>0</v>
      </c>
      <c r="O38" s="285">
        <v>0</v>
      </c>
      <c r="P38" s="291">
        <v>0</v>
      </c>
      <c r="Q38" s="284">
        <v>0</v>
      </c>
      <c r="R38" s="284">
        <v>0</v>
      </c>
      <c r="S38" s="284">
        <v>0</v>
      </c>
      <c r="T38" s="284">
        <v>0</v>
      </c>
      <c r="U38" s="284">
        <v>0</v>
      </c>
      <c r="V38" s="284">
        <v>0</v>
      </c>
      <c r="W38" s="284">
        <v>0</v>
      </c>
      <c r="X38" s="284">
        <v>0</v>
      </c>
      <c r="Y38" s="284">
        <v>0</v>
      </c>
      <c r="Z38" s="284">
        <v>0</v>
      </c>
      <c r="AA38" s="284">
        <v>0</v>
      </c>
      <c r="AB38" s="284">
        <v>0</v>
      </c>
      <c r="AC38" s="284">
        <v>0</v>
      </c>
      <c r="AD38" s="285">
        <v>0</v>
      </c>
      <c r="AE38" s="291">
        <v>0</v>
      </c>
      <c r="AF38" s="284">
        <v>0</v>
      </c>
      <c r="AG38" s="284">
        <v>0</v>
      </c>
      <c r="AH38" s="284">
        <v>0</v>
      </c>
      <c r="AI38" s="284">
        <v>0</v>
      </c>
      <c r="AJ38" s="284">
        <v>0</v>
      </c>
      <c r="AK38" s="284">
        <v>0</v>
      </c>
      <c r="AL38" s="284">
        <v>0</v>
      </c>
      <c r="AM38" s="284">
        <v>0</v>
      </c>
      <c r="AN38" s="284">
        <v>0</v>
      </c>
      <c r="AO38" s="284">
        <v>0</v>
      </c>
      <c r="AP38" s="284">
        <v>0</v>
      </c>
      <c r="AQ38" s="284">
        <v>0</v>
      </c>
      <c r="AR38" s="284">
        <v>0</v>
      </c>
      <c r="AS38" s="285">
        <v>0</v>
      </c>
      <c r="AT38" s="291">
        <v>0</v>
      </c>
      <c r="AU38" s="284">
        <v>0</v>
      </c>
      <c r="AV38" s="284">
        <v>0</v>
      </c>
      <c r="AW38" s="284">
        <v>0</v>
      </c>
      <c r="AX38" s="284">
        <v>0</v>
      </c>
      <c r="AY38" s="284">
        <v>0</v>
      </c>
      <c r="AZ38" s="284">
        <v>0</v>
      </c>
      <c r="BA38" s="284">
        <v>0</v>
      </c>
      <c r="BB38" s="284">
        <v>0</v>
      </c>
      <c r="BC38" s="284">
        <v>0</v>
      </c>
      <c r="BD38" s="284">
        <v>0</v>
      </c>
      <c r="BE38" s="284">
        <v>0</v>
      </c>
      <c r="BF38" s="284">
        <v>0</v>
      </c>
      <c r="BG38" s="284">
        <v>0</v>
      </c>
      <c r="BH38" s="285">
        <v>0</v>
      </c>
      <c r="BI38" s="291">
        <v>0</v>
      </c>
      <c r="BJ38" s="284">
        <v>0</v>
      </c>
      <c r="BK38" s="284">
        <v>0</v>
      </c>
      <c r="BL38" s="284">
        <v>0</v>
      </c>
      <c r="BM38" s="284">
        <v>0</v>
      </c>
      <c r="BN38" s="284">
        <v>0</v>
      </c>
      <c r="BO38" s="284">
        <v>0</v>
      </c>
      <c r="BP38" s="284">
        <v>0</v>
      </c>
      <c r="BQ38" s="284">
        <v>0</v>
      </c>
      <c r="BR38" s="284">
        <v>0</v>
      </c>
      <c r="BS38" s="284">
        <v>0</v>
      </c>
      <c r="BT38" s="284">
        <v>0</v>
      </c>
      <c r="BU38" s="284">
        <v>0</v>
      </c>
      <c r="BV38" s="284">
        <v>0</v>
      </c>
      <c r="BW38" s="285">
        <v>0</v>
      </c>
      <c r="BX38" s="291">
        <v>0</v>
      </c>
      <c r="BY38" s="284">
        <v>0</v>
      </c>
      <c r="BZ38" s="284">
        <v>0</v>
      </c>
      <c r="CA38" s="284">
        <v>0</v>
      </c>
      <c r="CB38" s="284">
        <v>0</v>
      </c>
      <c r="CC38" s="284">
        <v>0</v>
      </c>
      <c r="CD38" s="284">
        <v>0</v>
      </c>
      <c r="CE38" s="284">
        <v>0</v>
      </c>
      <c r="CF38" s="284">
        <v>0</v>
      </c>
      <c r="CG38" s="284">
        <v>0</v>
      </c>
      <c r="CH38" s="284">
        <v>0</v>
      </c>
      <c r="CI38" s="284">
        <v>0</v>
      </c>
      <c r="CJ38" s="284">
        <v>0</v>
      </c>
      <c r="CK38" s="284">
        <v>0</v>
      </c>
      <c r="CL38" s="285">
        <v>0</v>
      </c>
      <c r="CM38" s="291">
        <v>0</v>
      </c>
      <c r="CN38" s="284">
        <v>0</v>
      </c>
      <c r="CO38" s="284">
        <v>0</v>
      </c>
      <c r="CP38" s="284">
        <v>0</v>
      </c>
      <c r="CQ38" s="284">
        <v>0</v>
      </c>
      <c r="CR38" s="284">
        <v>0</v>
      </c>
      <c r="CS38" s="284">
        <v>300</v>
      </c>
      <c r="CT38" s="284">
        <v>0</v>
      </c>
      <c r="CU38" s="284">
        <v>0</v>
      </c>
      <c r="CV38" s="284">
        <v>0</v>
      </c>
      <c r="CW38" s="284">
        <v>0</v>
      </c>
      <c r="CX38" s="284">
        <v>0</v>
      </c>
      <c r="CY38" s="284">
        <v>0</v>
      </c>
      <c r="CZ38" s="284">
        <v>0</v>
      </c>
      <c r="DA38" s="285">
        <v>300</v>
      </c>
      <c r="DB38" s="291">
        <v>0</v>
      </c>
      <c r="DC38" s="284">
        <v>0</v>
      </c>
      <c r="DD38" s="284">
        <v>0</v>
      </c>
      <c r="DE38" s="284">
        <v>0</v>
      </c>
      <c r="DF38" s="284">
        <v>0</v>
      </c>
      <c r="DG38" s="284">
        <v>0</v>
      </c>
      <c r="DH38" s="284">
        <v>0</v>
      </c>
      <c r="DI38" s="284">
        <v>0</v>
      </c>
      <c r="DJ38" s="284">
        <v>0</v>
      </c>
      <c r="DK38" s="284">
        <v>0</v>
      </c>
      <c r="DL38" s="284">
        <v>0</v>
      </c>
      <c r="DM38" s="284">
        <v>0</v>
      </c>
      <c r="DN38" s="284">
        <v>0</v>
      </c>
      <c r="DO38" s="284">
        <v>0</v>
      </c>
      <c r="DP38" s="285">
        <v>0</v>
      </c>
      <c r="DQ38" s="291">
        <v>0</v>
      </c>
      <c r="DR38" s="284">
        <v>0</v>
      </c>
      <c r="DS38" s="284">
        <v>0</v>
      </c>
      <c r="DT38" s="284">
        <v>0</v>
      </c>
      <c r="DU38" s="284">
        <v>0</v>
      </c>
      <c r="DV38" s="284">
        <v>0</v>
      </c>
      <c r="DW38" s="284">
        <v>0</v>
      </c>
      <c r="DX38" s="284">
        <v>0</v>
      </c>
      <c r="DY38" s="284">
        <v>0</v>
      </c>
      <c r="DZ38" s="284">
        <v>0</v>
      </c>
      <c r="EA38" s="284">
        <v>0</v>
      </c>
      <c r="EB38" s="284">
        <v>0</v>
      </c>
      <c r="EC38" s="284">
        <v>0</v>
      </c>
      <c r="ED38" s="284">
        <v>0</v>
      </c>
      <c r="EE38" s="285">
        <v>0</v>
      </c>
      <c r="EF38" s="291">
        <v>0</v>
      </c>
      <c r="EG38" s="317">
        <v>0</v>
      </c>
      <c r="EH38" s="47"/>
    </row>
    <row r="39" spans="2:139">
      <c r="B39" s="312" t="s">
        <v>27</v>
      </c>
      <c r="C39" s="284">
        <v>0</v>
      </c>
      <c r="D39" s="284">
        <v>0</v>
      </c>
      <c r="E39" s="284">
        <v>0</v>
      </c>
      <c r="F39" s="284">
        <v>0</v>
      </c>
      <c r="G39" s="284">
        <v>0</v>
      </c>
      <c r="H39" s="284">
        <v>0</v>
      </c>
      <c r="I39" s="284">
        <v>0</v>
      </c>
      <c r="J39" s="284">
        <v>0</v>
      </c>
      <c r="K39" s="284">
        <v>260.87</v>
      </c>
      <c r="L39" s="284">
        <v>0</v>
      </c>
      <c r="M39" s="284">
        <v>0</v>
      </c>
      <c r="N39" s="284">
        <v>0</v>
      </c>
      <c r="O39" s="285">
        <v>260.87</v>
      </c>
      <c r="P39" s="291">
        <v>0</v>
      </c>
      <c r="Q39" s="284">
        <v>0</v>
      </c>
      <c r="R39" s="284">
        <v>0</v>
      </c>
      <c r="S39" s="284">
        <v>0</v>
      </c>
      <c r="T39" s="284">
        <v>0</v>
      </c>
      <c r="U39" s="284">
        <v>0</v>
      </c>
      <c r="V39" s="284">
        <v>0</v>
      </c>
      <c r="W39" s="284">
        <v>0</v>
      </c>
      <c r="X39" s="284">
        <v>0</v>
      </c>
      <c r="Y39" s="284">
        <v>0</v>
      </c>
      <c r="Z39" s="284">
        <v>0</v>
      </c>
      <c r="AA39" s="284">
        <v>0</v>
      </c>
      <c r="AB39" s="284">
        <v>0</v>
      </c>
      <c r="AC39" s="284">
        <v>0</v>
      </c>
      <c r="AD39" s="285">
        <v>0</v>
      </c>
      <c r="AE39" s="291">
        <v>0</v>
      </c>
      <c r="AF39" s="284">
        <v>0</v>
      </c>
      <c r="AG39" s="284">
        <v>0</v>
      </c>
      <c r="AH39" s="284">
        <v>0</v>
      </c>
      <c r="AI39" s="284">
        <v>665</v>
      </c>
      <c r="AJ39" s="284">
        <v>0</v>
      </c>
      <c r="AK39" s="284">
        <v>0</v>
      </c>
      <c r="AL39" s="284">
        <v>0</v>
      </c>
      <c r="AM39" s="284">
        <v>0</v>
      </c>
      <c r="AN39" s="284">
        <v>0</v>
      </c>
      <c r="AO39" s="284">
        <v>0</v>
      </c>
      <c r="AP39" s="284">
        <v>0</v>
      </c>
      <c r="AQ39" s="284">
        <v>0</v>
      </c>
      <c r="AR39" s="284">
        <v>0</v>
      </c>
      <c r="AS39" s="285">
        <v>665</v>
      </c>
      <c r="AT39" s="291">
        <v>0</v>
      </c>
      <c r="AU39" s="284">
        <v>0</v>
      </c>
      <c r="AV39" s="284">
        <v>0</v>
      </c>
      <c r="AW39" s="284">
        <v>0</v>
      </c>
      <c r="AX39" s="284">
        <v>0</v>
      </c>
      <c r="AY39" s="284">
        <v>0</v>
      </c>
      <c r="AZ39" s="284">
        <v>0</v>
      </c>
      <c r="BA39" s="284">
        <v>0</v>
      </c>
      <c r="BB39" s="284">
        <v>0</v>
      </c>
      <c r="BC39" s="284">
        <v>0</v>
      </c>
      <c r="BD39" s="284">
        <v>0</v>
      </c>
      <c r="BE39" s="284">
        <v>0</v>
      </c>
      <c r="BF39" s="284">
        <v>0</v>
      </c>
      <c r="BG39" s="284">
        <v>0</v>
      </c>
      <c r="BH39" s="285">
        <v>0</v>
      </c>
      <c r="BI39" s="291">
        <v>0</v>
      </c>
      <c r="BJ39" s="284">
        <v>0</v>
      </c>
      <c r="BK39" s="284">
        <v>0</v>
      </c>
      <c r="BL39" s="284">
        <v>0</v>
      </c>
      <c r="BM39" s="284">
        <v>0</v>
      </c>
      <c r="BN39" s="284">
        <v>0</v>
      </c>
      <c r="BO39" s="284">
        <v>0</v>
      </c>
      <c r="BP39" s="284">
        <v>0</v>
      </c>
      <c r="BQ39" s="284">
        <v>0</v>
      </c>
      <c r="BR39" s="284">
        <v>0</v>
      </c>
      <c r="BS39" s="284">
        <v>0</v>
      </c>
      <c r="BT39" s="284">
        <v>0</v>
      </c>
      <c r="BU39" s="284">
        <v>0</v>
      </c>
      <c r="BV39" s="284">
        <v>0</v>
      </c>
      <c r="BW39" s="285">
        <v>0</v>
      </c>
      <c r="BX39" s="291">
        <v>0</v>
      </c>
      <c r="BY39" s="284">
        <v>0</v>
      </c>
      <c r="BZ39" s="284">
        <v>0</v>
      </c>
      <c r="CA39" s="284">
        <v>0</v>
      </c>
      <c r="CB39" s="284">
        <v>0</v>
      </c>
      <c r="CC39" s="284">
        <v>0</v>
      </c>
      <c r="CD39" s="284">
        <v>0</v>
      </c>
      <c r="CE39" s="284">
        <v>0</v>
      </c>
      <c r="CF39" s="284">
        <v>0</v>
      </c>
      <c r="CG39" s="284">
        <v>0</v>
      </c>
      <c r="CH39" s="284">
        <v>0</v>
      </c>
      <c r="CI39" s="284">
        <v>0</v>
      </c>
      <c r="CJ39" s="284">
        <v>0</v>
      </c>
      <c r="CK39" s="284">
        <v>0</v>
      </c>
      <c r="CL39" s="285">
        <v>0</v>
      </c>
      <c r="CM39" s="291">
        <v>0</v>
      </c>
      <c r="CN39" s="284">
        <v>0</v>
      </c>
      <c r="CO39" s="284">
        <v>0</v>
      </c>
      <c r="CP39" s="284">
        <v>0</v>
      </c>
      <c r="CQ39" s="284">
        <v>0</v>
      </c>
      <c r="CR39" s="284">
        <v>0</v>
      </c>
      <c r="CS39" s="284">
        <v>0</v>
      </c>
      <c r="CT39" s="284">
        <v>0</v>
      </c>
      <c r="CU39" s="284">
        <v>0</v>
      </c>
      <c r="CV39" s="284">
        <v>0</v>
      </c>
      <c r="CW39" s="284">
        <v>0</v>
      </c>
      <c r="CX39" s="284">
        <v>0</v>
      </c>
      <c r="CY39" s="284">
        <v>0</v>
      </c>
      <c r="CZ39" s="284">
        <v>0</v>
      </c>
      <c r="DA39" s="285">
        <v>0</v>
      </c>
      <c r="DB39" s="291">
        <v>0</v>
      </c>
      <c r="DC39" s="284">
        <v>0</v>
      </c>
      <c r="DD39" s="284">
        <v>0</v>
      </c>
      <c r="DE39" s="284">
        <v>0</v>
      </c>
      <c r="DF39" s="284">
        <v>0</v>
      </c>
      <c r="DG39" s="284">
        <v>0</v>
      </c>
      <c r="DH39" s="284">
        <v>0</v>
      </c>
      <c r="DI39" s="284">
        <v>0</v>
      </c>
      <c r="DJ39" s="284">
        <v>0</v>
      </c>
      <c r="DK39" s="284">
        <v>0</v>
      </c>
      <c r="DL39" s="284">
        <v>0</v>
      </c>
      <c r="DM39" s="284">
        <v>0</v>
      </c>
      <c r="DN39" s="284">
        <v>0</v>
      </c>
      <c r="DO39" s="284">
        <v>0</v>
      </c>
      <c r="DP39" s="285">
        <v>0</v>
      </c>
      <c r="DQ39" s="291">
        <v>0</v>
      </c>
      <c r="DR39" s="284">
        <v>0</v>
      </c>
      <c r="DS39" s="284">
        <v>0</v>
      </c>
      <c r="DT39" s="284">
        <v>0</v>
      </c>
      <c r="DU39" s="284">
        <v>0</v>
      </c>
      <c r="DV39" s="284">
        <v>0</v>
      </c>
      <c r="DW39" s="284">
        <v>0</v>
      </c>
      <c r="DX39" s="284">
        <v>0</v>
      </c>
      <c r="DY39" s="284">
        <v>0</v>
      </c>
      <c r="DZ39" s="284">
        <v>0</v>
      </c>
      <c r="EA39" s="284">
        <v>0</v>
      </c>
      <c r="EB39" s="284">
        <v>0</v>
      </c>
      <c r="EC39" s="284">
        <v>0</v>
      </c>
      <c r="ED39" s="284">
        <v>0</v>
      </c>
      <c r="EE39" s="285">
        <v>0</v>
      </c>
      <c r="EF39" s="291">
        <v>0</v>
      </c>
      <c r="EG39" s="311">
        <v>0</v>
      </c>
    </row>
    <row r="40" spans="2:139">
      <c r="B40" s="288" t="s">
        <v>0</v>
      </c>
      <c r="C40" s="284">
        <v>1979.83</v>
      </c>
      <c r="D40" s="284">
        <v>294.5</v>
      </c>
      <c r="E40" s="284">
        <v>227.64</v>
      </c>
      <c r="F40" s="284">
        <v>857.58999999999992</v>
      </c>
      <c r="G40" s="284">
        <v>694.17000000000007</v>
      </c>
      <c r="H40" s="284">
        <v>693.1</v>
      </c>
      <c r="I40" s="284">
        <v>2483.75</v>
      </c>
      <c r="J40" s="284">
        <v>250.53000000000003</v>
      </c>
      <c r="K40" s="284">
        <v>383.28</v>
      </c>
      <c r="L40" s="284">
        <v>335.43</v>
      </c>
      <c r="M40" s="284">
        <v>328.72</v>
      </c>
      <c r="N40" s="284">
        <v>329.81</v>
      </c>
      <c r="O40" s="285">
        <v>8858.3499999999985</v>
      </c>
      <c r="P40" s="291">
        <v>0</v>
      </c>
      <c r="Q40" s="284">
        <v>-7434.3766666666779</v>
      </c>
      <c r="R40" s="284">
        <v>498.67</v>
      </c>
      <c r="S40" s="284">
        <v>400.34000000000003</v>
      </c>
      <c r="T40" s="284">
        <v>611.26</v>
      </c>
      <c r="U40" s="284">
        <v>485.27000000000004</v>
      </c>
      <c r="V40" s="284">
        <v>414.71000000000004</v>
      </c>
      <c r="W40" s="284">
        <v>493.62</v>
      </c>
      <c r="X40" s="284">
        <v>359.59999999999997</v>
      </c>
      <c r="Y40" s="284">
        <v>877.89</v>
      </c>
      <c r="Z40" s="284">
        <v>877.73</v>
      </c>
      <c r="AA40" s="284">
        <v>878.78</v>
      </c>
      <c r="AB40" s="284">
        <v>1345.56</v>
      </c>
      <c r="AC40" s="284">
        <v>878.6</v>
      </c>
      <c r="AD40" s="285">
        <v>8122.0300000000007</v>
      </c>
      <c r="AE40" s="291">
        <v>0</v>
      </c>
      <c r="AF40" s="284">
        <v>-7434.3766666666779</v>
      </c>
      <c r="AG40" s="284">
        <v>1792.5000000000002</v>
      </c>
      <c r="AH40" s="284">
        <v>734.01</v>
      </c>
      <c r="AI40" s="284">
        <v>616.59</v>
      </c>
      <c r="AJ40" s="284">
        <v>716.87</v>
      </c>
      <c r="AK40" s="284">
        <v>754.28000000000009</v>
      </c>
      <c r="AL40" s="284">
        <v>192.54</v>
      </c>
      <c r="AM40" s="284">
        <v>1474.47</v>
      </c>
      <c r="AN40" s="284">
        <v>769.12000000000012</v>
      </c>
      <c r="AO40" s="284">
        <v>10032.42</v>
      </c>
      <c r="AP40" s="284">
        <v>1077.21</v>
      </c>
      <c r="AQ40" s="284">
        <v>694.93000000000006</v>
      </c>
      <c r="AR40" s="284">
        <v>1203.0299999999997</v>
      </c>
      <c r="AS40" s="285">
        <v>20057.969999999998</v>
      </c>
      <c r="AT40" s="291">
        <v>0</v>
      </c>
      <c r="AU40" s="284">
        <v>-7434.3766666666779</v>
      </c>
      <c r="AV40" s="284">
        <v>1078.53</v>
      </c>
      <c r="AW40" s="284">
        <v>383.31</v>
      </c>
      <c r="AX40" s="284">
        <v>520.38</v>
      </c>
      <c r="AY40" s="284">
        <v>710.81999999999994</v>
      </c>
      <c r="AZ40" s="284">
        <v>565.35</v>
      </c>
      <c r="BA40" s="284">
        <v>698.3900000000001</v>
      </c>
      <c r="BB40" s="284">
        <v>390.18</v>
      </c>
      <c r="BC40" s="284">
        <v>1607.35</v>
      </c>
      <c r="BD40" s="284">
        <v>491.9</v>
      </c>
      <c r="BE40" s="284">
        <v>337.52000000000004</v>
      </c>
      <c r="BF40" s="284">
        <v>160.22999999999999</v>
      </c>
      <c r="BG40" s="284">
        <v>2811.1</v>
      </c>
      <c r="BH40" s="285">
        <v>9755.06</v>
      </c>
      <c r="BI40" s="291">
        <v>0</v>
      </c>
      <c r="BJ40" s="284">
        <v>-7434.3766666666779</v>
      </c>
      <c r="BK40" s="284">
        <v>27.36</v>
      </c>
      <c r="BL40" s="284">
        <v>23.97</v>
      </c>
      <c r="BM40" s="284">
        <v>86.72</v>
      </c>
      <c r="BN40" s="284">
        <v>24</v>
      </c>
      <c r="BO40" s="284">
        <v>23.87</v>
      </c>
      <c r="BP40" s="284">
        <v>22.44</v>
      </c>
      <c r="BQ40" s="284">
        <v>21.9</v>
      </c>
      <c r="BR40" s="284">
        <v>21</v>
      </c>
      <c r="BS40" s="284">
        <v>21.12</v>
      </c>
      <c r="BT40" s="284">
        <v>2882.55</v>
      </c>
      <c r="BU40" s="284">
        <v>0</v>
      </c>
      <c r="BV40" s="284">
        <v>44.260000000000005</v>
      </c>
      <c r="BW40" s="285">
        <v>3199.1900000000005</v>
      </c>
      <c r="BX40" s="291">
        <v>0</v>
      </c>
      <c r="BY40" s="284">
        <v>-7434.3766666666779</v>
      </c>
      <c r="BZ40" s="284">
        <v>21.16</v>
      </c>
      <c r="CA40" s="284">
        <v>4</v>
      </c>
      <c r="CB40" s="284">
        <v>128.79</v>
      </c>
      <c r="CC40" s="284">
        <v>24.51</v>
      </c>
      <c r="CD40" s="284">
        <v>2892.8399999999997</v>
      </c>
      <c r="CE40" s="284">
        <v>983.38</v>
      </c>
      <c r="CF40" s="284">
        <v>1511.96</v>
      </c>
      <c r="CG40" s="284">
        <v>3417.2</v>
      </c>
      <c r="CH40" s="284">
        <v>0</v>
      </c>
      <c r="CI40" s="284">
        <v>75.88</v>
      </c>
      <c r="CJ40" s="284">
        <v>30.52</v>
      </c>
      <c r="CK40" s="284">
        <v>37.520000000000003</v>
      </c>
      <c r="CL40" s="285">
        <v>9127.76</v>
      </c>
      <c r="CM40" s="291">
        <v>0</v>
      </c>
      <c r="CN40" s="284">
        <v>-7434.3766666666779</v>
      </c>
      <c r="CO40" s="284">
        <v>5957.64</v>
      </c>
      <c r="CP40" s="284">
        <v>36.68</v>
      </c>
      <c r="CQ40" s="284">
        <v>0</v>
      </c>
      <c r="CR40" s="284">
        <v>39.479999999999997</v>
      </c>
      <c r="CS40" s="284">
        <v>175.5</v>
      </c>
      <c r="CT40" s="284">
        <v>240</v>
      </c>
      <c r="CU40" s="284">
        <v>1850</v>
      </c>
      <c r="CV40" s="284">
        <v>1600.01</v>
      </c>
      <c r="CW40" s="284">
        <v>230.33</v>
      </c>
      <c r="CX40" s="284">
        <v>145</v>
      </c>
      <c r="CY40" s="284">
        <v>0</v>
      </c>
      <c r="CZ40" s="284">
        <v>0</v>
      </c>
      <c r="DA40" s="285">
        <v>10274.64</v>
      </c>
      <c r="DB40" s="291">
        <v>0</v>
      </c>
      <c r="DC40" s="284">
        <v>-7434.3766666666779</v>
      </c>
      <c r="DD40" s="284">
        <v>0</v>
      </c>
      <c r="DE40" s="284">
        <v>3000</v>
      </c>
      <c r="DF40" s="284">
        <v>4324.63</v>
      </c>
      <c r="DG40" s="284">
        <v>20824.599999999999</v>
      </c>
      <c r="DH40" s="284">
        <v>3100</v>
      </c>
      <c r="DI40" s="284">
        <v>437.14</v>
      </c>
      <c r="DJ40" s="284">
        <v>2457.5699999999997</v>
      </c>
      <c r="DK40" s="284">
        <v>0</v>
      </c>
      <c r="DL40" s="284">
        <v>822.60916666666662</v>
      </c>
      <c r="DM40" s="284">
        <v>822.60916666666662</v>
      </c>
      <c r="DN40" s="284">
        <v>822.60916666666662</v>
      </c>
      <c r="DO40" s="284">
        <v>822.60916666666662</v>
      </c>
      <c r="DP40" s="285">
        <v>37434.376666666678</v>
      </c>
      <c r="DQ40" s="291">
        <v>0</v>
      </c>
      <c r="DR40" s="284">
        <v>-7434.3766666666779</v>
      </c>
      <c r="DS40" s="284">
        <v>0</v>
      </c>
      <c r="DT40" s="284">
        <v>17200</v>
      </c>
      <c r="DU40" s="284">
        <v>1200</v>
      </c>
      <c r="DV40" s="284">
        <v>1200</v>
      </c>
      <c r="DW40" s="284">
        <v>8950</v>
      </c>
      <c r="DX40" s="284">
        <v>1200</v>
      </c>
      <c r="DY40" s="284">
        <v>0</v>
      </c>
      <c r="DZ40" s="284">
        <v>0</v>
      </c>
      <c r="EA40" s="284">
        <v>250</v>
      </c>
      <c r="EB40" s="284">
        <v>0</v>
      </c>
      <c r="EC40" s="284">
        <v>0</v>
      </c>
      <c r="ED40" s="284">
        <v>0</v>
      </c>
      <c r="EE40" s="285">
        <v>30000</v>
      </c>
      <c r="EF40" s="291">
        <v>0</v>
      </c>
      <c r="EG40" s="311">
        <v>-7434.3766666666779</v>
      </c>
    </row>
    <row r="41" spans="2:139">
      <c r="B41" s="312" t="s">
        <v>2</v>
      </c>
      <c r="C41" s="284">
        <v>1979.83</v>
      </c>
      <c r="D41" s="284">
        <v>294.5</v>
      </c>
      <c r="E41" s="284">
        <v>227.64</v>
      </c>
      <c r="F41" s="284">
        <v>857.58999999999992</v>
      </c>
      <c r="G41" s="284">
        <v>694.17000000000007</v>
      </c>
      <c r="H41" s="284">
        <v>693.1</v>
      </c>
      <c r="I41" s="284">
        <v>2483.75</v>
      </c>
      <c r="J41" s="284">
        <v>250.53000000000003</v>
      </c>
      <c r="K41" s="284">
        <v>383.28</v>
      </c>
      <c r="L41" s="284">
        <v>335.43</v>
      </c>
      <c r="M41" s="284">
        <v>328.72</v>
      </c>
      <c r="N41" s="284">
        <v>329.81</v>
      </c>
      <c r="O41" s="285">
        <v>8858.3499999999985</v>
      </c>
      <c r="P41" s="291">
        <v>0</v>
      </c>
      <c r="Q41" s="284">
        <v>-7434.3766666666779</v>
      </c>
      <c r="R41" s="284">
        <v>498.67</v>
      </c>
      <c r="S41" s="284">
        <v>400.34000000000003</v>
      </c>
      <c r="T41" s="284">
        <v>611.26</v>
      </c>
      <c r="U41" s="284">
        <v>485.27000000000004</v>
      </c>
      <c r="V41" s="284">
        <v>414.71000000000004</v>
      </c>
      <c r="W41" s="284">
        <v>493.62</v>
      </c>
      <c r="X41" s="284">
        <v>359.59999999999997</v>
      </c>
      <c r="Y41" s="284">
        <v>877.89</v>
      </c>
      <c r="Z41" s="284">
        <v>877.73</v>
      </c>
      <c r="AA41" s="284">
        <v>878.78</v>
      </c>
      <c r="AB41" s="284">
        <v>1345.56</v>
      </c>
      <c r="AC41" s="284">
        <v>878.6</v>
      </c>
      <c r="AD41" s="285">
        <v>8122.0300000000007</v>
      </c>
      <c r="AE41" s="291">
        <v>0</v>
      </c>
      <c r="AF41" s="284">
        <v>-7434.3766666666779</v>
      </c>
      <c r="AG41" s="284">
        <v>1792.5000000000002</v>
      </c>
      <c r="AH41" s="284">
        <v>734.01</v>
      </c>
      <c r="AI41" s="284">
        <v>616.59</v>
      </c>
      <c r="AJ41" s="284">
        <v>716.87</v>
      </c>
      <c r="AK41" s="284">
        <v>754.28000000000009</v>
      </c>
      <c r="AL41" s="284">
        <v>192.54</v>
      </c>
      <c r="AM41" s="284">
        <v>1474.47</v>
      </c>
      <c r="AN41" s="284">
        <v>769.12000000000012</v>
      </c>
      <c r="AO41" s="284">
        <v>10032.42</v>
      </c>
      <c r="AP41" s="284">
        <v>1077.21</v>
      </c>
      <c r="AQ41" s="284">
        <v>694.93000000000006</v>
      </c>
      <c r="AR41" s="284">
        <v>1203.0299999999997</v>
      </c>
      <c r="AS41" s="285">
        <v>20057.969999999998</v>
      </c>
      <c r="AT41" s="291">
        <v>0</v>
      </c>
      <c r="AU41" s="284">
        <v>-7434.3766666666779</v>
      </c>
      <c r="AV41" s="284">
        <v>1078.53</v>
      </c>
      <c r="AW41" s="284">
        <v>383.31</v>
      </c>
      <c r="AX41" s="284">
        <v>520.38</v>
      </c>
      <c r="AY41" s="284">
        <v>710.81999999999994</v>
      </c>
      <c r="AZ41" s="284">
        <v>565.35</v>
      </c>
      <c r="BA41" s="284">
        <v>698.3900000000001</v>
      </c>
      <c r="BB41" s="284">
        <v>390.18</v>
      </c>
      <c r="BC41" s="284">
        <v>1607.35</v>
      </c>
      <c r="BD41" s="284">
        <v>491.9</v>
      </c>
      <c r="BE41" s="284">
        <v>337.52000000000004</v>
      </c>
      <c r="BF41" s="284">
        <v>160.22999999999999</v>
      </c>
      <c r="BG41" s="284">
        <v>2811.1</v>
      </c>
      <c r="BH41" s="285">
        <v>9755.06</v>
      </c>
      <c r="BI41" s="291">
        <v>0</v>
      </c>
      <c r="BJ41" s="284">
        <v>-7434.3766666666779</v>
      </c>
      <c r="BK41" s="284">
        <v>27.36</v>
      </c>
      <c r="BL41" s="284">
        <v>23.97</v>
      </c>
      <c r="BM41" s="284">
        <v>86.72</v>
      </c>
      <c r="BN41" s="284">
        <v>24</v>
      </c>
      <c r="BO41" s="284">
        <v>23.87</v>
      </c>
      <c r="BP41" s="284">
        <v>22.44</v>
      </c>
      <c r="BQ41" s="284">
        <v>21.9</v>
      </c>
      <c r="BR41" s="284">
        <v>21</v>
      </c>
      <c r="BS41" s="284">
        <v>21.12</v>
      </c>
      <c r="BT41" s="284">
        <v>2882.55</v>
      </c>
      <c r="BU41" s="284">
        <v>0</v>
      </c>
      <c r="BV41" s="284">
        <v>44.260000000000005</v>
      </c>
      <c r="BW41" s="285">
        <v>3199.1900000000005</v>
      </c>
      <c r="BX41" s="291">
        <v>0</v>
      </c>
      <c r="BY41" s="284">
        <v>-7434.3766666666779</v>
      </c>
      <c r="BZ41" s="284">
        <v>21.16</v>
      </c>
      <c r="CA41" s="284">
        <v>4</v>
      </c>
      <c r="CB41" s="284">
        <v>128.79</v>
      </c>
      <c r="CC41" s="284">
        <v>24.51</v>
      </c>
      <c r="CD41" s="284">
        <v>2892.8399999999997</v>
      </c>
      <c r="CE41" s="284">
        <v>983.38</v>
      </c>
      <c r="CF41" s="284">
        <v>1511.96</v>
      </c>
      <c r="CG41" s="284">
        <v>3417.2</v>
      </c>
      <c r="CH41" s="284">
        <v>0</v>
      </c>
      <c r="CI41" s="284">
        <v>75.88</v>
      </c>
      <c r="CJ41" s="284">
        <v>30.52</v>
      </c>
      <c r="CK41" s="284">
        <v>37.520000000000003</v>
      </c>
      <c r="CL41" s="285">
        <v>9127.76</v>
      </c>
      <c r="CM41" s="291">
        <v>0</v>
      </c>
      <c r="CN41" s="284">
        <v>-7434.3766666666779</v>
      </c>
      <c r="CO41" s="284">
        <v>5957.64</v>
      </c>
      <c r="CP41" s="284">
        <v>36.68</v>
      </c>
      <c r="CQ41" s="284">
        <v>0</v>
      </c>
      <c r="CR41" s="284">
        <v>39.479999999999997</v>
      </c>
      <c r="CS41" s="284">
        <v>175.5</v>
      </c>
      <c r="CT41" s="284">
        <v>240</v>
      </c>
      <c r="CU41" s="284">
        <v>1850</v>
      </c>
      <c r="CV41" s="284">
        <v>1600.01</v>
      </c>
      <c r="CW41" s="284">
        <v>230.33</v>
      </c>
      <c r="CX41" s="284">
        <v>145</v>
      </c>
      <c r="CY41" s="284">
        <v>0</v>
      </c>
      <c r="CZ41" s="284">
        <v>0</v>
      </c>
      <c r="DA41" s="285">
        <v>10274.64</v>
      </c>
      <c r="DB41" s="291">
        <v>0</v>
      </c>
      <c r="DC41" s="284">
        <v>-7434.3766666666779</v>
      </c>
      <c r="DD41" s="284">
        <v>0</v>
      </c>
      <c r="DE41" s="284">
        <v>3000</v>
      </c>
      <c r="DF41" s="284">
        <v>4324.63</v>
      </c>
      <c r="DG41" s="284">
        <v>20824.599999999999</v>
      </c>
      <c r="DH41" s="284">
        <v>3100</v>
      </c>
      <c r="DI41" s="284">
        <v>437.14</v>
      </c>
      <c r="DJ41" s="284">
        <v>2457.5699999999997</v>
      </c>
      <c r="DK41" s="284">
        <v>0</v>
      </c>
      <c r="DL41" s="284">
        <v>822.60916666666662</v>
      </c>
      <c r="DM41" s="284">
        <v>822.60916666666662</v>
      </c>
      <c r="DN41" s="284">
        <v>822.60916666666662</v>
      </c>
      <c r="DO41" s="284">
        <v>822.60916666666662</v>
      </c>
      <c r="DP41" s="285">
        <v>37434.376666666678</v>
      </c>
      <c r="DQ41" s="291">
        <v>0</v>
      </c>
      <c r="DR41" s="284">
        <v>-7434.3766666666779</v>
      </c>
      <c r="DS41" s="284">
        <v>0</v>
      </c>
      <c r="DT41" s="284">
        <v>17200</v>
      </c>
      <c r="DU41" s="284">
        <v>1200</v>
      </c>
      <c r="DV41" s="284">
        <v>1200</v>
      </c>
      <c r="DW41" s="284">
        <v>8950</v>
      </c>
      <c r="DX41" s="284">
        <v>1200</v>
      </c>
      <c r="DY41" s="284">
        <v>0</v>
      </c>
      <c r="DZ41" s="284">
        <v>0</v>
      </c>
      <c r="EA41" s="284">
        <v>250</v>
      </c>
      <c r="EB41" s="284">
        <v>0</v>
      </c>
      <c r="EC41" s="284">
        <v>0</v>
      </c>
      <c r="ED41" s="284">
        <v>0</v>
      </c>
      <c r="EE41" s="285">
        <v>30000</v>
      </c>
      <c r="EF41" s="291">
        <v>0</v>
      </c>
      <c r="EG41" s="317">
        <v>-7434.3766666666779</v>
      </c>
      <c r="EH41" s="47" t="s">
        <v>830</v>
      </c>
      <c r="EI41" s="47"/>
    </row>
    <row r="42" spans="2:139">
      <c r="B42" s="288" t="s">
        <v>13</v>
      </c>
      <c r="C42" s="284">
        <v>2536.31</v>
      </c>
      <c r="D42" s="284">
        <v>2563.8399999999997</v>
      </c>
      <c r="E42" s="284">
        <v>2533.85</v>
      </c>
      <c r="F42" s="284">
        <v>2533.85</v>
      </c>
      <c r="G42" s="284">
        <v>2420.9699999999998</v>
      </c>
      <c r="H42" s="284">
        <v>2886.99</v>
      </c>
      <c r="I42" s="284">
        <v>9130.48</v>
      </c>
      <c r="J42" s="284">
        <v>2428.2399999999998</v>
      </c>
      <c r="K42" s="284">
        <v>2459.19</v>
      </c>
      <c r="L42" s="284">
        <v>3004.19</v>
      </c>
      <c r="M42" s="284">
        <v>2687.19</v>
      </c>
      <c r="N42" s="284">
        <v>19.899999999999999</v>
      </c>
      <c r="O42" s="285">
        <v>35204.999999999993</v>
      </c>
      <c r="P42" s="291">
        <v>0</v>
      </c>
      <c r="Q42" s="284">
        <v>21315.64</v>
      </c>
      <c r="R42" s="284">
        <v>4918.38</v>
      </c>
      <c r="S42" s="284">
        <v>3149.19</v>
      </c>
      <c r="T42" s="284">
        <v>2586.81</v>
      </c>
      <c r="U42" s="284">
        <v>2771.81</v>
      </c>
      <c r="V42" s="284">
        <v>3840.25</v>
      </c>
      <c r="W42" s="284">
        <v>2602.29</v>
      </c>
      <c r="X42" s="284">
        <v>2602.29</v>
      </c>
      <c r="Y42" s="284">
        <v>2608.33</v>
      </c>
      <c r="Z42" s="284">
        <v>2627.11</v>
      </c>
      <c r="AA42" s="284">
        <v>3877.0200000000004</v>
      </c>
      <c r="AB42" s="284">
        <v>2627.11</v>
      </c>
      <c r="AC42" s="284">
        <v>2627.11</v>
      </c>
      <c r="AD42" s="285">
        <v>36837.700000000004</v>
      </c>
      <c r="AE42" s="291">
        <v>0</v>
      </c>
      <c r="AF42" s="284">
        <v>16241.779999999999</v>
      </c>
      <c r="AG42" s="284">
        <v>2627.11</v>
      </c>
      <c r="AH42" s="284">
        <v>3611.11</v>
      </c>
      <c r="AI42" s="284">
        <v>2750.26</v>
      </c>
      <c r="AJ42" s="284">
        <v>2750.26</v>
      </c>
      <c r="AK42" s="284">
        <v>2750.26</v>
      </c>
      <c r="AL42" s="284">
        <v>2758.21</v>
      </c>
      <c r="AM42" s="284">
        <v>2758.21</v>
      </c>
      <c r="AN42" s="284">
        <v>2767.57</v>
      </c>
      <c r="AO42" s="284">
        <v>2819.27</v>
      </c>
      <c r="AP42" s="284">
        <v>3474.27</v>
      </c>
      <c r="AQ42" s="284">
        <v>2819.27</v>
      </c>
      <c r="AR42" s="284">
        <v>3819.27</v>
      </c>
      <c r="AS42" s="285">
        <v>35705.07</v>
      </c>
      <c r="AT42" s="291">
        <v>0</v>
      </c>
      <c r="AU42" s="284">
        <v>16241.779999999999</v>
      </c>
      <c r="AV42" s="284">
        <v>0</v>
      </c>
      <c r="AW42" s="284">
        <v>655</v>
      </c>
      <c r="AX42" s="284">
        <v>0</v>
      </c>
      <c r="AY42" s="284">
        <v>0</v>
      </c>
      <c r="AZ42" s="284">
        <v>0</v>
      </c>
      <c r="BA42" s="284">
        <v>100.41</v>
      </c>
      <c r="BB42" s="284">
        <v>0</v>
      </c>
      <c r="BC42" s="284">
        <v>279.98</v>
      </c>
      <c r="BD42" s="284">
        <v>1470</v>
      </c>
      <c r="BE42" s="284">
        <v>0</v>
      </c>
      <c r="BF42" s="284">
        <v>488.05</v>
      </c>
      <c r="BG42" s="284">
        <v>5704.47</v>
      </c>
      <c r="BH42" s="285">
        <v>8697.91</v>
      </c>
      <c r="BI42" s="291">
        <v>0</v>
      </c>
      <c r="BJ42" s="284">
        <v>16241.779999999999</v>
      </c>
      <c r="BK42" s="284">
        <v>377.9</v>
      </c>
      <c r="BL42" s="284">
        <v>0</v>
      </c>
      <c r="BM42" s="284">
        <v>0</v>
      </c>
      <c r="BN42" s="284">
        <v>140.63999999999999</v>
      </c>
      <c r="BO42" s="284">
        <v>0</v>
      </c>
      <c r="BP42" s="284">
        <v>0</v>
      </c>
      <c r="BQ42" s="284">
        <v>0</v>
      </c>
      <c r="BR42" s="284">
        <v>0</v>
      </c>
      <c r="BS42" s="284">
        <v>189.12</v>
      </c>
      <c r="BT42" s="284">
        <v>0</v>
      </c>
      <c r="BU42" s="284">
        <v>0</v>
      </c>
      <c r="BV42" s="284">
        <v>0</v>
      </c>
      <c r="BW42" s="285">
        <v>707.66</v>
      </c>
      <c r="BX42" s="291">
        <v>0</v>
      </c>
      <c r="BY42" s="284">
        <v>489.77999999999975</v>
      </c>
      <c r="BZ42" s="284">
        <v>105.9</v>
      </c>
      <c r="CA42" s="284">
        <v>0</v>
      </c>
      <c r="CB42" s="284">
        <v>689.8</v>
      </c>
      <c r="CC42" s="284">
        <v>228</v>
      </c>
      <c r="CD42" s="284">
        <v>0</v>
      </c>
      <c r="CE42" s="284">
        <v>132.9</v>
      </c>
      <c r="CF42" s="284">
        <v>0</v>
      </c>
      <c r="CG42" s="284">
        <v>5394</v>
      </c>
      <c r="CH42" s="284">
        <v>82.77</v>
      </c>
      <c r="CI42" s="284">
        <v>227.05</v>
      </c>
      <c r="CJ42" s="284">
        <v>370.3</v>
      </c>
      <c r="CK42" s="284">
        <v>1155</v>
      </c>
      <c r="CL42" s="285">
        <v>8385.7199999999993</v>
      </c>
      <c r="CM42" s="291">
        <v>0</v>
      </c>
      <c r="CN42" s="284">
        <v>5563.64</v>
      </c>
      <c r="CO42" s="284">
        <v>9518</v>
      </c>
      <c r="CP42" s="284">
        <v>304.54999999999995</v>
      </c>
      <c r="CQ42" s="284">
        <v>17.61</v>
      </c>
      <c r="CR42" s="284">
        <v>636.5</v>
      </c>
      <c r="CS42" s="284">
        <v>0</v>
      </c>
      <c r="CT42" s="284">
        <v>3108</v>
      </c>
      <c r="CU42" s="284">
        <v>1086.9000000000001</v>
      </c>
      <c r="CV42" s="284">
        <v>1094.3</v>
      </c>
      <c r="CW42" s="284">
        <v>22731</v>
      </c>
      <c r="CX42" s="284">
        <v>1120</v>
      </c>
      <c r="CY42" s="284">
        <v>2346.0500000000002</v>
      </c>
      <c r="CZ42" s="284">
        <v>-21563.25</v>
      </c>
      <c r="DA42" s="285">
        <v>20399.659999999996</v>
      </c>
      <c r="DB42" s="291">
        <v>0</v>
      </c>
      <c r="DC42" s="284">
        <v>21315.64</v>
      </c>
      <c r="DD42" s="284">
        <v>302.39999999999998</v>
      </c>
      <c r="DE42" s="284">
        <v>676.44</v>
      </c>
      <c r="DF42" s="284">
        <v>723.09</v>
      </c>
      <c r="DG42" s="284">
        <v>899.42000000000007</v>
      </c>
      <c r="DH42" s="284">
        <v>976.03</v>
      </c>
      <c r="DI42" s="284">
        <v>0</v>
      </c>
      <c r="DJ42" s="284">
        <v>406.81</v>
      </c>
      <c r="DK42" s="284">
        <v>1502.17</v>
      </c>
      <c r="DL42" s="284">
        <v>4418</v>
      </c>
      <c r="DM42" s="284">
        <v>0</v>
      </c>
      <c r="DN42" s="284">
        <v>2100</v>
      </c>
      <c r="DO42" s="284">
        <v>0</v>
      </c>
      <c r="DP42" s="285">
        <v>12004.36</v>
      </c>
      <c r="DQ42" s="291">
        <v>0</v>
      </c>
      <c r="DR42" s="284">
        <v>21315.64</v>
      </c>
      <c r="DS42" s="284">
        <v>2480</v>
      </c>
      <c r="DT42" s="284">
        <v>2480</v>
      </c>
      <c r="DU42" s="284">
        <v>2480</v>
      </c>
      <c r="DV42" s="284">
        <v>2480</v>
      </c>
      <c r="DW42" s="284">
        <v>2480</v>
      </c>
      <c r="DX42" s="284">
        <v>2480</v>
      </c>
      <c r="DY42" s="284">
        <v>2480</v>
      </c>
      <c r="DZ42" s="284">
        <v>2480</v>
      </c>
      <c r="EA42" s="284">
        <v>6040</v>
      </c>
      <c r="EB42" s="284">
        <v>2480</v>
      </c>
      <c r="EC42" s="284">
        <v>2480</v>
      </c>
      <c r="ED42" s="284">
        <v>2480</v>
      </c>
      <c r="EE42" s="285">
        <v>33320</v>
      </c>
      <c r="EF42" s="291">
        <v>0</v>
      </c>
      <c r="EG42" s="311">
        <v>21315.64</v>
      </c>
    </row>
    <row r="43" spans="2:139">
      <c r="B43" s="288" t="s">
        <v>107</v>
      </c>
      <c r="C43" s="284">
        <v>0</v>
      </c>
      <c r="D43" s="284">
        <v>0</v>
      </c>
      <c r="E43" s="284">
        <v>0</v>
      </c>
      <c r="F43" s="284">
        <v>0</v>
      </c>
      <c r="G43" s="284">
        <v>0</v>
      </c>
      <c r="H43" s="284">
        <v>0</v>
      </c>
      <c r="I43" s="284">
        <v>0</v>
      </c>
      <c r="J43" s="284">
        <v>0</v>
      </c>
      <c r="K43" s="284">
        <v>0</v>
      </c>
      <c r="L43" s="284">
        <v>0</v>
      </c>
      <c r="M43" s="284">
        <v>0</v>
      </c>
      <c r="N43" s="284">
        <v>0</v>
      </c>
      <c r="O43" s="285">
        <v>0</v>
      </c>
      <c r="P43" s="291">
        <v>0</v>
      </c>
      <c r="Q43" s="284">
        <v>0</v>
      </c>
      <c r="R43" s="284">
        <v>0</v>
      </c>
      <c r="S43" s="284">
        <v>0</v>
      </c>
      <c r="T43" s="284">
        <v>0</v>
      </c>
      <c r="U43" s="284">
        <v>0</v>
      </c>
      <c r="V43" s="284">
        <v>0</v>
      </c>
      <c r="W43" s="284">
        <v>0</v>
      </c>
      <c r="X43" s="284">
        <v>0</v>
      </c>
      <c r="Y43" s="284">
        <v>0</v>
      </c>
      <c r="Z43" s="284">
        <v>0</v>
      </c>
      <c r="AA43" s="284">
        <v>0</v>
      </c>
      <c r="AB43" s="284">
        <v>0</v>
      </c>
      <c r="AC43" s="284">
        <v>0</v>
      </c>
      <c r="AD43" s="285">
        <v>0</v>
      </c>
      <c r="AE43" s="291">
        <v>0</v>
      </c>
      <c r="AF43" s="284">
        <v>0</v>
      </c>
      <c r="AG43" s="284">
        <v>0</v>
      </c>
      <c r="AH43" s="284">
        <v>0</v>
      </c>
      <c r="AI43" s="284">
        <v>0</v>
      </c>
      <c r="AJ43" s="284">
        <v>0</v>
      </c>
      <c r="AK43" s="284">
        <v>0</v>
      </c>
      <c r="AL43" s="284">
        <v>0</v>
      </c>
      <c r="AM43" s="284">
        <v>0</v>
      </c>
      <c r="AN43" s="284">
        <v>0</v>
      </c>
      <c r="AO43" s="284">
        <v>0</v>
      </c>
      <c r="AP43" s="284">
        <v>0</v>
      </c>
      <c r="AQ43" s="284">
        <v>0</v>
      </c>
      <c r="AR43" s="284">
        <v>0</v>
      </c>
      <c r="AS43" s="285">
        <v>0</v>
      </c>
      <c r="AT43" s="291">
        <v>0</v>
      </c>
      <c r="AU43" s="284">
        <v>0</v>
      </c>
      <c r="AV43" s="284">
        <v>0</v>
      </c>
      <c r="AW43" s="284">
        <v>0</v>
      </c>
      <c r="AX43" s="284">
        <v>0</v>
      </c>
      <c r="AY43" s="284">
        <v>0</v>
      </c>
      <c r="AZ43" s="284">
        <v>0</v>
      </c>
      <c r="BA43" s="284">
        <v>0</v>
      </c>
      <c r="BB43" s="284">
        <v>0</v>
      </c>
      <c r="BC43" s="284">
        <v>0</v>
      </c>
      <c r="BD43" s="284">
        <v>0</v>
      </c>
      <c r="BE43" s="284">
        <v>0</v>
      </c>
      <c r="BF43" s="284">
        <v>0</v>
      </c>
      <c r="BG43" s="284">
        <v>0</v>
      </c>
      <c r="BH43" s="285">
        <v>0</v>
      </c>
      <c r="BI43" s="291">
        <v>0</v>
      </c>
      <c r="BJ43" s="284">
        <v>0</v>
      </c>
      <c r="BK43" s="284">
        <v>0</v>
      </c>
      <c r="BL43" s="284">
        <v>0</v>
      </c>
      <c r="BM43" s="284">
        <v>0</v>
      </c>
      <c r="BN43" s="284">
        <v>0</v>
      </c>
      <c r="BO43" s="284">
        <v>0</v>
      </c>
      <c r="BP43" s="284">
        <v>0</v>
      </c>
      <c r="BQ43" s="284">
        <v>0</v>
      </c>
      <c r="BR43" s="284">
        <v>0</v>
      </c>
      <c r="BS43" s="284">
        <v>0</v>
      </c>
      <c r="BT43" s="284">
        <v>0</v>
      </c>
      <c r="BU43" s="284">
        <v>0</v>
      </c>
      <c r="BV43" s="284">
        <v>0</v>
      </c>
      <c r="BW43" s="285">
        <v>0</v>
      </c>
      <c r="BX43" s="291">
        <v>0</v>
      </c>
      <c r="BY43" s="284">
        <v>0</v>
      </c>
      <c r="BZ43" s="284">
        <v>0</v>
      </c>
      <c r="CA43" s="284">
        <v>0</v>
      </c>
      <c r="CB43" s="284">
        <v>0</v>
      </c>
      <c r="CC43" s="284">
        <v>0</v>
      </c>
      <c r="CD43" s="284">
        <v>0</v>
      </c>
      <c r="CE43" s="284">
        <v>0</v>
      </c>
      <c r="CF43" s="284">
        <v>0</v>
      </c>
      <c r="CG43" s="284">
        <v>0</v>
      </c>
      <c r="CH43" s="284">
        <v>0</v>
      </c>
      <c r="CI43" s="284">
        <v>0</v>
      </c>
      <c r="CJ43" s="284">
        <v>0</v>
      </c>
      <c r="CK43" s="284">
        <v>0</v>
      </c>
      <c r="CL43" s="285">
        <v>0</v>
      </c>
      <c r="CM43" s="291">
        <v>0</v>
      </c>
      <c r="CN43" s="284">
        <v>0</v>
      </c>
      <c r="CO43" s="284">
        <v>0</v>
      </c>
      <c r="CP43" s="284">
        <v>0</v>
      </c>
      <c r="CQ43" s="284">
        <v>0</v>
      </c>
      <c r="CR43" s="284">
        <v>0</v>
      </c>
      <c r="CS43" s="284">
        <v>0</v>
      </c>
      <c r="CT43" s="284">
        <v>0</v>
      </c>
      <c r="CU43" s="284">
        <v>0</v>
      </c>
      <c r="CV43" s="284">
        <v>0</v>
      </c>
      <c r="CW43" s="284">
        <v>0</v>
      </c>
      <c r="CX43" s="284">
        <v>0</v>
      </c>
      <c r="CY43" s="284">
        <v>0</v>
      </c>
      <c r="CZ43" s="284">
        <v>0</v>
      </c>
      <c r="DA43" s="285">
        <v>0</v>
      </c>
      <c r="DB43" s="291">
        <v>0</v>
      </c>
      <c r="DC43" s="284">
        <v>0</v>
      </c>
      <c r="DD43" s="284">
        <v>0</v>
      </c>
      <c r="DE43" s="284">
        <v>0</v>
      </c>
      <c r="DF43" s="284">
        <v>0</v>
      </c>
      <c r="DG43" s="284">
        <v>0</v>
      </c>
      <c r="DH43" s="284">
        <v>0</v>
      </c>
      <c r="DI43" s="284">
        <v>0</v>
      </c>
      <c r="DJ43" s="284">
        <v>0</v>
      </c>
      <c r="DK43" s="284">
        <v>0</v>
      </c>
      <c r="DL43" s="284">
        <v>0</v>
      </c>
      <c r="DM43" s="284">
        <v>0</v>
      </c>
      <c r="DN43" s="284">
        <v>0</v>
      </c>
      <c r="DO43" s="284">
        <v>0</v>
      </c>
      <c r="DP43" s="285">
        <v>0</v>
      </c>
      <c r="DQ43" s="291">
        <v>0</v>
      </c>
      <c r="DR43" s="284">
        <v>0</v>
      </c>
      <c r="DS43" s="284">
        <v>899.80486626984134</v>
      </c>
      <c r="DT43" s="284">
        <v>899.80486626984134</v>
      </c>
      <c r="DU43" s="284">
        <v>899.80486626984134</v>
      </c>
      <c r="DV43" s="284">
        <v>899.80486626984134</v>
      </c>
      <c r="DW43" s="284">
        <v>899.80486626984134</v>
      </c>
      <c r="DX43" s="284">
        <v>899.80486626984134</v>
      </c>
      <c r="DY43" s="284">
        <v>899.80486626984134</v>
      </c>
      <c r="DZ43" s="284">
        <v>899.80486626984134</v>
      </c>
      <c r="EA43" s="284">
        <v>899.80486626984134</v>
      </c>
      <c r="EB43" s="284">
        <v>899.80486626984134</v>
      </c>
      <c r="EC43" s="284">
        <v>899.80486626984134</v>
      </c>
      <c r="ED43" s="284">
        <v>899.80486626984134</v>
      </c>
      <c r="EE43" s="285">
        <v>10797.658395238095</v>
      </c>
      <c r="EF43" s="291">
        <v>0</v>
      </c>
      <c r="EG43" s="311">
        <v>10797.658395238095</v>
      </c>
      <c r="EH43" s="47" t="s">
        <v>831</v>
      </c>
    </row>
    <row r="44" spans="2:139">
      <c r="B44" s="288" t="s">
        <v>17</v>
      </c>
      <c r="C44" s="284">
        <v>0</v>
      </c>
      <c r="D44" s="284">
        <v>0</v>
      </c>
      <c r="E44" s="284">
        <v>0</v>
      </c>
      <c r="F44" s="284">
        <v>0</v>
      </c>
      <c r="G44" s="284">
        <v>0</v>
      </c>
      <c r="H44" s="284">
        <v>0</v>
      </c>
      <c r="I44" s="284">
        <v>0</v>
      </c>
      <c r="J44" s="284">
        <v>0</v>
      </c>
      <c r="K44" s="284">
        <v>0</v>
      </c>
      <c r="L44" s="284">
        <v>0</v>
      </c>
      <c r="M44" s="284">
        <v>0</v>
      </c>
      <c r="N44" s="284">
        <v>0</v>
      </c>
      <c r="O44" s="285">
        <v>0</v>
      </c>
      <c r="P44" s="291">
        <v>0</v>
      </c>
      <c r="Q44" s="284">
        <v>0</v>
      </c>
      <c r="R44" s="284">
        <v>0</v>
      </c>
      <c r="S44" s="284">
        <v>0</v>
      </c>
      <c r="T44" s="284">
        <v>0</v>
      </c>
      <c r="U44" s="284">
        <v>0</v>
      </c>
      <c r="V44" s="284">
        <v>0</v>
      </c>
      <c r="W44" s="284">
        <v>0</v>
      </c>
      <c r="X44" s="284">
        <v>0</v>
      </c>
      <c r="Y44" s="284">
        <v>0</v>
      </c>
      <c r="Z44" s="284">
        <v>0</v>
      </c>
      <c r="AA44" s="284">
        <v>0</v>
      </c>
      <c r="AB44" s="284">
        <v>0</v>
      </c>
      <c r="AC44" s="284">
        <v>0.51</v>
      </c>
      <c r="AD44" s="285">
        <v>0.51</v>
      </c>
      <c r="AE44" s="291">
        <v>0</v>
      </c>
      <c r="AF44" s="284">
        <v>0</v>
      </c>
      <c r="AG44" s="284">
        <v>0.5</v>
      </c>
      <c r="AH44" s="284">
        <v>0</v>
      </c>
      <c r="AI44" s="284">
        <v>0</v>
      </c>
      <c r="AJ44" s="284">
        <v>0</v>
      </c>
      <c r="AK44" s="284">
        <v>0</v>
      </c>
      <c r="AL44" s="284">
        <v>0</v>
      </c>
      <c r="AM44" s="284">
        <v>0</v>
      </c>
      <c r="AN44" s="284">
        <v>0</v>
      </c>
      <c r="AO44" s="284">
        <v>0</v>
      </c>
      <c r="AP44" s="284">
        <v>0</v>
      </c>
      <c r="AQ44" s="284">
        <v>0</v>
      </c>
      <c r="AR44" s="284">
        <v>0</v>
      </c>
      <c r="AS44" s="285">
        <v>0.5</v>
      </c>
      <c r="AT44" s="291">
        <v>0</v>
      </c>
      <c r="AU44" s="284">
        <v>0</v>
      </c>
      <c r="AV44" s="284">
        <v>0</v>
      </c>
      <c r="AW44" s="284">
        <v>0</v>
      </c>
      <c r="AX44" s="284">
        <v>0</v>
      </c>
      <c r="AY44" s="284">
        <v>0</v>
      </c>
      <c r="AZ44" s="284">
        <v>0</v>
      </c>
      <c r="BA44" s="284">
        <v>0</v>
      </c>
      <c r="BB44" s="284">
        <v>0</v>
      </c>
      <c r="BC44" s="284">
        <v>0</v>
      </c>
      <c r="BD44" s="284">
        <v>9.4499999999999993</v>
      </c>
      <c r="BE44" s="284">
        <v>0</v>
      </c>
      <c r="BF44" s="284">
        <v>0</v>
      </c>
      <c r="BG44" s="284">
        <v>0</v>
      </c>
      <c r="BH44" s="285">
        <v>9.4499999999999993</v>
      </c>
      <c r="BI44" s="291">
        <v>0</v>
      </c>
      <c r="BJ44" s="284">
        <v>0</v>
      </c>
      <c r="BK44" s="284">
        <v>0</v>
      </c>
      <c r="BL44" s="284">
        <v>0</v>
      </c>
      <c r="BM44" s="284">
        <v>0</v>
      </c>
      <c r="BN44" s="284">
        <v>0</v>
      </c>
      <c r="BO44" s="284">
        <v>0</v>
      </c>
      <c r="BP44" s="284">
        <v>0</v>
      </c>
      <c r="BQ44" s="284">
        <v>0</v>
      </c>
      <c r="BR44" s="284">
        <v>0</v>
      </c>
      <c r="BS44" s="284">
        <v>0</v>
      </c>
      <c r="BT44" s="284">
        <v>0</v>
      </c>
      <c r="BU44" s="284">
        <v>0</v>
      </c>
      <c r="BV44" s="284">
        <v>0</v>
      </c>
      <c r="BW44" s="285">
        <v>0</v>
      </c>
      <c r="BX44" s="291">
        <v>0</v>
      </c>
      <c r="BY44" s="284">
        <v>0</v>
      </c>
      <c r="BZ44" s="284">
        <v>0</v>
      </c>
      <c r="CA44" s="284">
        <v>0</v>
      </c>
      <c r="CB44" s="284">
        <v>0</v>
      </c>
      <c r="CC44" s="284">
        <v>0</v>
      </c>
      <c r="CD44" s="284">
        <v>0</v>
      </c>
      <c r="CE44" s="284">
        <v>0</v>
      </c>
      <c r="CF44" s="284">
        <v>0</v>
      </c>
      <c r="CG44" s="284">
        <v>0</v>
      </c>
      <c r="CH44" s="284">
        <v>0</v>
      </c>
      <c r="CI44" s="284">
        <v>0</v>
      </c>
      <c r="CJ44" s="284">
        <v>0</v>
      </c>
      <c r="CK44" s="284">
        <v>0</v>
      </c>
      <c r="CL44" s="285">
        <v>0</v>
      </c>
      <c r="CM44" s="291">
        <v>0</v>
      </c>
      <c r="CN44" s="284">
        <v>0</v>
      </c>
      <c r="CO44" s="284">
        <v>0</v>
      </c>
      <c r="CP44" s="284">
        <v>0</v>
      </c>
      <c r="CQ44" s="284">
        <v>0</v>
      </c>
      <c r="CR44" s="284">
        <v>0</v>
      </c>
      <c r="CS44" s="284">
        <v>0</v>
      </c>
      <c r="CT44" s="284">
        <v>0</v>
      </c>
      <c r="CU44" s="284">
        <v>0</v>
      </c>
      <c r="CV44" s="284">
        <v>0</v>
      </c>
      <c r="CW44" s="284">
        <v>0</v>
      </c>
      <c r="CX44" s="284">
        <v>0</v>
      </c>
      <c r="CY44" s="284">
        <v>0</v>
      </c>
      <c r="CZ44" s="284">
        <v>0</v>
      </c>
      <c r="DA44" s="285">
        <v>0</v>
      </c>
      <c r="DB44" s="291">
        <v>0</v>
      </c>
      <c r="DC44" s="284">
        <v>0</v>
      </c>
      <c r="DD44" s="284">
        <v>0</v>
      </c>
      <c r="DE44" s="284">
        <v>0</v>
      </c>
      <c r="DF44" s="284">
        <v>0</v>
      </c>
      <c r="DG44" s="284">
        <v>0</v>
      </c>
      <c r="DH44" s="284">
        <v>0</v>
      </c>
      <c r="DI44" s="284">
        <v>0</v>
      </c>
      <c r="DJ44" s="284">
        <v>0</v>
      </c>
      <c r="DK44" s="284">
        <v>0</v>
      </c>
      <c r="DL44" s="284">
        <v>0</v>
      </c>
      <c r="DM44" s="284">
        <v>0</v>
      </c>
      <c r="DN44" s="284">
        <v>0</v>
      </c>
      <c r="DO44" s="284">
        <v>0</v>
      </c>
      <c r="DP44" s="285">
        <v>0</v>
      </c>
      <c r="DQ44" s="291">
        <v>0</v>
      </c>
      <c r="DR44" s="284">
        <v>0</v>
      </c>
      <c r="DS44" s="284">
        <v>0</v>
      </c>
      <c r="DT44" s="284">
        <v>0</v>
      </c>
      <c r="DU44" s="284">
        <v>0</v>
      </c>
      <c r="DV44" s="284">
        <v>0</v>
      </c>
      <c r="DW44" s="284">
        <v>0</v>
      </c>
      <c r="DX44" s="284">
        <v>0</v>
      </c>
      <c r="DY44" s="284">
        <v>0</v>
      </c>
      <c r="DZ44" s="284">
        <v>0</v>
      </c>
      <c r="EA44" s="284">
        <v>0</v>
      </c>
      <c r="EB44" s="284">
        <v>0</v>
      </c>
      <c r="EC44" s="284">
        <v>0</v>
      </c>
      <c r="ED44" s="284">
        <v>0</v>
      </c>
      <c r="EE44" s="285">
        <v>0</v>
      </c>
      <c r="EF44" s="291">
        <v>0</v>
      </c>
      <c r="EG44" s="311">
        <v>0</v>
      </c>
      <c r="EH44" s="47" t="s">
        <v>815</v>
      </c>
    </row>
    <row r="45" spans="2:139">
      <c r="B45" s="288" t="s">
        <v>19</v>
      </c>
      <c r="C45" s="284">
        <v>0</v>
      </c>
      <c r="D45" s="284">
        <v>0</v>
      </c>
      <c r="E45" s="284">
        <v>0</v>
      </c>
      <c r="F45" s="284">
        <v>0</v>
      </c>
      <c r="G45" s="284">
        <v>0</v>
      </c>
      <c r="H45" s="284">
        <v>0</v>
      </c>
      <c r="I45" s="284">
        <v>0</v>
      </c>
      <c r="J45" s="284">
        <v>0</v>
      </c>
      <c r="K45" s="284">
        <v>0</v>
      </c>
      <c r="L45" s="284">
        <v>0</v>
      </c>
      <c r="M45" s="284">
        <v>0</v>
      </c>
      <c r="N45" s="284">
        <v>0</v>
      </c>
      <c r="O45" s="285">
        <v>0</v>
      </c>
      <c r="P45" s="291">
        <v>0</v>
      </c>
      <c r="Q45" s="284">
        <v>0</v>
      </c>
      <c r="R45" s="284">
        <v>0</v>
      </c>
      <c r="S45" s="284">
        <v>0</v>
      </c>
      <c r="T45" s="284">
        <v>0</v>
      </c>
      <c r="U45" s="284">
        <v>0</v>
      </c>
      <c r="V45" s="284">
        <v>0</v>
      </c>
      <c r="W45" s="284">
        <v>0</v>
      </c>
      <c r="X45" s="284">
        <v>0</v>
      </c>
      <c r="Y45" s="284">
        <v>0</v>
      </c>
      <c r="Z45" s="284">
        <v>0</v>
      </c>
      <c r="AA45" s="284">
        <v>0</v>
      </c>
      <c r="AB45" s="284">
        <v>0</v>
      </c>
      <c r="AC45" s="284">
        <v>0</v>
      </c>
      <c r="AD45" s="285">
        <v>0</v>
      </c>
      <c r="AE45" s="291">
        <v>0</v>
      </c>
      <c r="AF45" s="284">
        <v>0</v>
      </c>
      <c r="AG45" s="284">
        <v>0</v>
      </c>
      <c r="AH45" s="284">
        <v>0</v>
      </c>
      <c r="AI45" s="284">
        <v>0</v>
      </c>
      <c r="AJ45" s="284">
        <v>0</v>
      </c>
      <c r="AK45" s="284">
        <v>0</v>
      </c>
      <c r="AL45" s="284">
        <v>0</v>
      </c>
      <c r="AM45" s="284">
        <v>0</v>
      </c>
      <c r="AN45" s="284">
        <v>0</v>
      </c>
      <c r="AO45" s="284">
        <v>0</v>
      </c>
      <c r="AP45" s="284">
        <v>0</v>
      </c>
      <c r="AQ45" s="284">
        <v>0</v>
      </c>
      <c r="AR45" s="284">
        <v>0</v>
      </c>
      <c r="AS45" s="285">
        <v>0</v>
      </c>
      <c r="AT45" s="291">
        <v>0</v>
      </c>
      <c r="AU45" s="284">
        <v>0</v>
      </c>
      <c r="AV45" s="284">
        <v>0</v>
      </c>
      <c r="AW45" s="284">
        <v>0</v>
      </c>
      <c r="AX45" s="284">
        <v>0</v>
      </c>
      <c r="AY45" s="284">
        <v>0</v>
      </c>
      <c r="AZ45" s="284">
        <v>207.01</v>
      </c>
      <c r="BA45" s="284">
        <v>0</v>
      </c>
      <c r="BB45" s="284">
        <v>0</v>
      </c>
      <c r="BC45" s="284">
        <v>0</v>
      </c>
      <c r="BD45" s="284">
        <v>0</v>
      </c>
      <c r="BE45" s="284">
        <v>0</v>
      </c>
      <c r="BF45" s="284">
        <v>0</v>
      </c>
      <c r="BG45" s="284">
        <v>0</v>
      </c>
      <c r="BH45" s="285">
        <v>207.01</v>
      </c>
      <c r="BI45" s="291">
        <v>0</v>
      </c>
      <c r="BJ45" s="284">
        <v>0</v>
      </c>
      <c r="BK45" s="284">
        <v>0</v>
      </c>
      <c r="BL45" s="284">
        <v>0</v>
      </c>
      <c r="BM45" s="284">
        <v>0</v>
      </c>
      <c r="BN45" s="284">
        <v>0</v>
      </c>
      <c r="BO45" s="284">
        <v>234.49</v>
      </c>
      <c r="BP45" s="284">
        <v>0</v>
      </c>
      <c r="BQ45" s="284">
        <v>0</v>
      </c>
      <c r="BR45" s="284">
        <v>0</v>
      </c>
      <c r="BS45" s="284">
        <v>0</v>
      </c>
      <c r="BT45" s="284">
        <v>0</v>
      </c>
      <c r="BU45" s="284">
        <v>979.6</v>
      </c>
      <c r="BV45" s="284">
        <v>0</v>
      </c>
      <c r="BW45" s="285">
        <v>1214.0900000000001</v>
      </c>
      <c r="BX45" s="291">
        <v>0</v>
      </c>
      <c r="BY45" s="284">
        <v>0</v>
      </c>
      <c r="BZ45" s="284">
        <v>0</v>
      </c>
      <c r="CA45" s="284">
        <v>0</v>
      </c>
      <c r="CB45" s="284">
        <v>0</v>
      </c>
      <c r="CC45" s="284">
        <v>0</v>
      </c>
      <c r="CD45" s="284">
        <v>0</v>
      </c>
      <c r="CE45" s="284">
        <v>0</v>
      </c>
      <c r="CF45" s="284">
        <v>0</v>
      </c>
      <c r="CG45" s="284">
        <v>13923.34</v>
      </c>
      <c r="CH45" s="284">
        <v>-13923.34</v>
      </c>
      <c r="CI45" s="284">
        <v>0</v>
      </c>
      <c r="CJ45" s="284">
        <v>0</v>
      </c>
      <c r="CK45" s="284">
        <v>0</v>
      </c>
      <c r="CL45" s="285">
        <v>0</v>
      </c>
      <c r="CM45" s="291">
        <v>0</v>
      </c>
      <c r="CN45" s="284">
        <v>0</v>
      </c>
      <c r="CO45" s="284">
        <v>0</v>
      </c>
      <c r="CP45" s="284">
        <v>0</v>
      </c>
      <c r="CQ45" s="284">
        <v>0</v>
      </c>
      <c r="CR45" s="284">
        <v>0</v>
      </c>
      <c r="CS45" s="284">
        <v>99.88</v>
      </c>
      <c r="CT45" s="284">
        <v>24.2</v>
      </c>
      <c r="CU45" s="284">
        <v>0</v>
      </c>
      <c r="CV45" s="284">
        <v>0</v>
      </c>
      <c r="CW45" s="284">
        <v>0</v>
      </c>
      <c r="CX45" s="284">
        <v>0</v>
      </c>
      <c r="CY45" s="284">
        <v>0</v>
      </c>
      <c r="CZ45" s="284">
        <v>0</v>
      </c>
      <c r="DA45" s="285">
        <v>124.08</v>
      </c>
      <c r="DB45" s="291">
        <v>0</v>
      </c>
      <c r="DC45" s="284">
        <v>0</v>
      </c>
      <c r="DD45" s="284">
        <v>0</v>
      </c>
      <c r="DE45" s="284">
        <v>1023.26</v>
      </c>
      <c r="DF45" s="284">
        <v>76.98</v>
      </c>
      <c r="DG45" s="284">
        <v>0</v>
      </c>
      <c r="DH45" s="284">
        <v>0</v>
      </c>
      <c r="DI45" s="284">
        <v>0</v>
      </c>
      <c r="DJ45" s="284">
        <v>0</v>
      </c>
      <c r="DK45" s="284">
        <v>0</v>
      </c>
      <c r="DL45" s="284">
        <v>0</v>
      </c>
      <c r="DM45" s="284">
        <v>0</v>
      </c>
      <c r="DN45" s="284">
        <v>0</v>
      </c>
      <c r="DO45" s="284">
        <v>0</v>
      </c>
      <c r="DP45" s="285">
        <v>1100.24</v>
      </c>
      <c r="DQ45" s="291">
        <v>0</v>
      </c>
      <c r="DR45" s="284">
        <v>99.759999999999991</v>
      </c>
      <c r="DS45" s="284">
        <v>100</v>
      </c>
      <c r="DT45" s="284">
        <v>100</v>
      </c>
      <c r="DU45" s="284">
        <v>100</v>
      </c>
      <c r="DV45" s="284">
        <v>100</v>
      </c>
      <c r="DW45" s="284">
        <v>100</v>
      </c>
      <c r="DX45" s="284">
        <v>100</v>
      </c>
      <c r="DY45" s="284">
        <v>100</v>
      </c>
      <c r="DZ45" s="284">
        <v>100</v>
      </c>
      <c r="EA45" s="284">
        <v>100</v>
      </c>
      <c r="EB45" s="284">
        <v>100</v>
      </c>
      <c r="EC45" s="284">
        <v>100</v>
      </c>
      <c r="ED45" s="284">
        <v>100</v>
      </c>
      <c r="EE45" s="285">
        <v>1200</v>
      </c>
      <c r="EF45" s="291">
        <v>0</v>
      </c>
      <c r="EG45" s="311">
        <v>99.759999999999991</v>
      </c>
      <c r="EH45" s="47" t="s">
        <v>832</v>
      </c>
    </row>
    <row r="46" spans="2:139">
      <c r="B46" s="287" t="s">
        <v>721</v>
      </c>
      <c r="C46" s="284">
        <v>5108.3899999999994</v>
      </c>
      <c r="D46" s="284">
        <v>7970.4299999999985</v>
      </c>
      <c r="E46" s="284">
        <v>1239.42</v>
      </c>
      <c r="F46" s="284">
        <v>7084.6000000000013</v>
      </c>
      <c r="G46" s="284">
        <v>3547.6600000000003</v>
      </c>
      <c r="H46" s="284">
        <v>13927.230000000001</v>
      </c>
      <c r="I46" s="284">
        <v>3063.13</v>
      </c>
      <c r="J46" s="284">
        <v>13134.690000000002</v>
      </c>
      <c r="K46" s="284">
        <v>2213.35</v>
      </c>
      <c r="L46" s="284">
        <v>7432.91</v>
      </c>
      <c r="M46" s="284">
        <v>357.84999999999997</v>
      </c>
      <c r="N46" s="284">
        <v>4423.2900000000009</v>
      </c>
      <c r="O46" s="285">
        <v>69502.95</v>
      </c>
      <c r="P46" s="291">
        <v>0</v>
      </c>
      <c r="Q46" s="284">
        <v>0</v>
      </c>
      <c r="R46" s="284">
        <v>6141.7500000000009</v>
      </c>
      <c r="S46" s="284">
        <v>40911.270000000055</v>
      </c>
      <c r="T46" s="284">
        <v>56702.190000000082</v>
      </c>
      <c r="U46" s="284">
        <v>58738.039999999906</v>
      </c>
      <c r="V46" s="284">
        <v>90800.939999999915</v>
      </c>
      <c r="W46" s="284">
        <v>57274.940000000031</v>
      </c>
      <c r="X46" s="284">
        <v>46371.580000000038</v>
      </c>
      <c r="Y46" s="284">
        <v>25544.21</v>
      </c>
      <c r="Z46" s="284">
        <v>16113.199999999999</v>
      </c>
      <c r="AA46" s="284">
        <v>4991.8</v>
      </c>
      <c r="AB46" s="284">
        <v>39513.209999999985</v>
      </c>
      <c r="AC46" s="284">
        <v>3515.9499999999989</v>
      </c>
      <c r="AD46" s="285">
        <v>446619.08000000013</v>
      </c>
      <c r="AE46" s="291">
        <v>0</v>
      </c>
      <c r="AF46" s="284">
        <v>0</v>
      </c>
      <c r="AG46" s="284">
        <v>20087.060000000005</v>
      </c>
      <c r="AH46" s="284">
        <v>7845.6299999999992</v>
      </c>
      <c r="AI46" s="284">
        <v>22911.419999999984</v>
      </c>
      <c r="AJ46" s="284">
        <v>2755.9499999999994</v>
      </c>
      <c r="AK46" s="284">
        <v>5528.130000000001</v>
      </c>
      <c r="AL46" s="284">
        <v>6640.4800000000005</v>
      </c>
      <c r="AM46" s="284">
        <v>28997.42</v>
      </c>
      <c r="AN46" s="284">
        <v>16345.020000000004</v>
      </c>
      <c r="AO46" s="284">
        <v>205.46</v>
      </c>
      <c r="AP46" s="284">
        <v>841.86</v>
      </c>
      <c r="AQ46" s="284">
        <v>0</v>
      </c>
      <c r="AR46" s="284">
        <v>0</v>
      </c>
      <c r="AS46" s="285">
        <v>112158.43</v>
      </c>
      <c r="AT46" s="291">
        <v>0</v>
      </c>
      <c r="AU46" s="284">
        <v>0</v>
      </c>
      <c r="AV46" s="284">
        <v>0</v>
      </c>
      <c r="AW46" s="284">
        <v>0</v>
      </c>
      <c r="AX46" s="284">
        <v>0</v>
      </c>
      <c r="AY46" s="284">
        <v>0</v>
      </c>
      <c r="AZ46" s="284">
        <v>0</v>
      </c>
      <c r="BA46" s="284">
        <v>0</v>
      </c>
      <c r="BB46" s="284">
        <v>0</v>
      </c>
      <c r="BC46" s="284">
        <v>0</v>
      </c>
      <c r="BD46" s="284">
        <v>0</v>
      </c>
      <c r="BE46" s="284">
        <v>0</v>
      </c>
      <c r="BF46" s="284">
        <v>0</v>
      </c>
      <c r="BG46" s="284">
        <v>0</v>
      </c>
      <c r="BH46" s="285">
        <v>0</v>
      </c>
      <c r="BI46" s="291">
        <v>0</v>
      </c>
      <c r="BJ46" s="284">
        <v>0</v>
      </c>
      <c r="BK46" s="284">
        <v>0</v>
      </c>
      <c r="BL46" s="284">
        <v>0</v>
      </c>
      <c r="BM46" s="284">
        <v>0</v>
      </c>
      <c r="BN46" s="284">
        <v>0</v>
      </c>
      <c r="BO46" s="284">
        <v>0</v>
      </c>
      <c r="BP46" s="284">
        <v>0</v>
      </c>
      <c r="BQ46" s="284">
        <v>0</v>
      </c>
      <c r="BR46" s="284">
        <v>0</v>
      </c>
      <c r="BS46" s="284">
        <v>49.080000000000155</v>
      </c>
      <c r="BT46" s="284">
        <v>-210.51</v>
      </c>
      <c r="BU46" s="284">
        <v>0</v>
      </c>
      <c r="BV46" s="284">
        <v>0</v>
      </c>
      <c r="BW46" s="285">
        <v>-161.42999999999984</v>
      </c>
      <c r="BX46" s="291">
        <v>0</v>
      </c>
      <c r="BY46" s="284">
        <v>0</v>
      </c>
      <c r="BZ46" s="284">
        <v>0</v>
      </c>
      <c r="CA46" s="284">
        <v>0</v>
      </c>
      <c r="CB46" s="284">
        <v>0</v>
      </c>
      <c r="CC46" s="284">
        <v>0</v>
      </c>
      <c r="CD46" s="284">
        <v>0</v>
      </c>
      <c r="CE46" s="284">
        <v>0</v>
      </c>
      <c r="CF46" s="284">
        <v>0</v>
      </c>
      <c r="CG46" s="284">
        <v>0</v>
      </c>
      <c r="CH46" s="284">
        <v>0</v>
      </c>
      <c r="CI46" s="284">
        <v>0</v>
      </c>
      <c r="CJ46" s="284">
        <v>0</v>
      </c>
      <c r="CK46" s="284">
        <v>0</v>
      </c>
      <c r="CL46" s="285">
        <v>0</v>
      </c>
      <c r="CM46" s="291">
        <v>0</v>
      </c>
      <c r="CN46" s="284">
        <v>0</v>
      </c>
      <c r="CO46" s="284">
        <v>0</v>
      </c>
      <c r="CP46" s="284">
        <v>0</v>
      </c>
      <c r="CQ46" s="284">
        <v>0</v>
      </c>
      <c r="CR46" s="284">
        <v>0</v>
      </c>
      <c r="CS46" s="284">
        <v>0</v>
      </c>
      <c r="CT46" s="284">
        <v>0</v>
      </c>
      <c r="CU46" s="284">
        <v>0</v>
      </c>
      <c r="CV46" s="284">
        <v>0</v>
      </c>
      <c r="CW46" s="284">
        <v>0</v>
      </c>
      <c r="CX46" s="284">
        <v>0</v>
      </c>
      <c r="CY46" s="284">
        <v>0</v>
      </c>
      <c r="CZ46" s="284">
        <v>0</v>
      </c>
      <c r="DA46" s="285">
        <v>0</v>
      </c>
      <c r="DB46" s="291">
        <v>0</v>
      </c>
      <c r="DC46" s="284">
        <v>0</v>
      </c>
      <c r="DD46" s="284">
        <v>0</v>
      </c>
      <c r="DE46" s="284">
        <v>0</v>
      </c>
      <c r="DF46" s="284">
        <v>0</v>
      </c>
      <c r="DG46" s="284">
        <v>0</v>
      </c>
      <c r="DH46" s="284">
        <v>0</v>
      </c>
      <c r="DI46" s="284">
        <v>0</v>
      </c>
      <c r="DJ46" s="284">
        <v>0</v>
      </c>
      <c r="DK46" s="284">
        <v>0</v>
      </c>
      <c r="DL46" s="284">
        <v>0</v>
      </c>
      <c r="DM46" s="284">
        <v>0</v>
      </c>
      <c r="DN46" s="284">
        <v>0</v>
      </c>
      <c r="DO46" s="284">
        <v>0</v>
      </c>
      <c r="DP46" s="285">
        <v>0</v>
      </c>
      <c r="DQ46" s="291">
        <v>0</v>
      </c>
      <c r="DR46" s="284">
        <v>0</v>
      </c>
      <c r="DS46" s="284">
        <v>0</v>
      </c>
      <c r="DT46" s="284">
        <v>0</v>
      </c>
      <c r="DU46" s="284">
        <v>0</v>
      </c>
      <c r="DV46" s="284">
        <v>0</v>
      </c>
      <c r="DW46" s="284">
        <v>0</v>
      </c>
      <c r="DX46" s="284">
        <v>0</v>
      </c>
      <c r="DY46" s="284">
        <v>0</v>
      </c>
      <c r="DZ46" s="284">
        <v>0</v>
      </c>
      <c r="EA46" s="284">
        <v>0</v>
      </c>
      <c r="EB46" s="284">
        <v>0</v>
      </c>
      <c r="EC46" s="284">
        <v>0</v>
      </c>
      <c r="ED46" s="284">
        <v>0</v>
      </c>
      <c r="EE46" s="285">
        <v>0</v>
      </c>
      <c r="EF46" s="291">
        <v>0</v>
      </c>
      <c r="EG46" s="311">
        <v>0</v>
      </c>
    </row>
    <row r="47" spans="2:139">
      <c r="B47" s="287" t="s">
        <v>723</v>
      </c>
      <c r="C47" s="284">
        <v>0</v>
      </c>
      <c r="D47" s="284">
        <v>0</v>
      </c>
      <c r="E47" s="284">
        <v>0</v>
      </c>
      <c r="F47" s="284">
        <v>0</v>
      </c>
      <c r="G47" s="284">
        <v>0</v>
      </c>
      <c r="H47" s="284">
        <v>0</v>
      </c>
      <c r="I47" s="284">
        <v>0</v>
      </c>
      <c r="J47" s="284">
        <v>-62980.14</v>
      </c>
      <c r="K47" s="284">
        <v>0</v>
      </c>
      <c r="L47" s="284">
        <v>0</v>
      </c>
      <c r="M47" s="284">
        <v>0</v>
      </c>
      <c r="N47" s="284">
        <v>0</v>
      </c>
      <c r="O47" s="285">
        <v>-62980.14</v>
      </c>
      <c r="P47" s="291">
        <v>0</v>
      </c>
      <c r="Q47" s="284">
        <v>0</v>
      </c>
      <c r="R47" s="284">
        <v>0</v>
      </c>
      <c r="S47" s="284">
        <v>0</v>
      </c>
      <c r="T47" s="284">
        <v>1034.3499999999999</v>
      </c>
      <c r="U47" s="284">
        <v>5195.46</v>
      </c>
      <c r="V47" s="284">
        <v>3014.47</v>
      </c>
      <c r="W47" s="284">
        <v>2705.46</v>
      </c>
      <c r="X47" s="284">
        <v>1867.43</v>
      </c>
      <c r="Y47" s="284">
        <v>4543.9799999999996</v>
      </c>
      <c r="Z47" s="284">
        <v>4454.28</v>
      </c>
      <c r="AA47" s="284">
        <v>50077.7</v>
      </c>
      <c r="AB47" s="284">
        <v>2624.99</v>
      </c>
      <c r="AC47" s="284">
        <v>3755.61</v>
      </c>
      <c r="AD47" s="285">
        <v>79273.73</v>
      </c>
      <c r="AE47" s="291">
        <v>0</v>
      </c>
      <c r="AF47" s="284">
        <v>0</v>
      </c>
      <c r="AG47" s="284">
        <v>3028.98</v>
      </c>
      <c r="AH47" s="284">
        <v>2358.85</v>
      </c>
      <c r="AI47" s="284">
        <v>1097.5899999999999</v>
      </c>
      <c r="AJ47" s="284">
        <v>3655.39</v>
      </c>
      <c r="AK47" s="284">
        <v>2788.39</v>
      </c>
      <c r="AL47" s="284">
        <v>1241.6099999999999</v>
      </c>
      <c r="AM47" s="284">
        <v>2645.64</v>
      </c>
      <c r="AN47" s="284">
        <v>1150.4100000000001</v>
      </c>
      <c r="AO47" s="284">
        <v>980.96</v>
      </c>
      <c r="AP47" s="284">
        <v>1562.82</v>
      </c>
      <c r="AQ47" s="284">
        <v>0</v>
      </c>
      <c r="AR47" s="284">
        <v>0</v>
      </c>
      <c r="AS47" s="285">
        <v>20510.64</v>
      </c>
      <c r="AT47" s="291">
        <v>0</v>
      </c>
      <c r="AU47" s="284">
        <v>0</v>
      </c>
      <c r="AV47" s="284">
        <v>0</v>
      </c>
      <c r="AW47" s="284">
        <v>0</v>
      </c>
      <c r="AX47" s="284">
        <v>0</v>
      </c>
      <c r="AY47" s="284">
        <v>0</v>
      </c>
      <c r="AZ47" s="284">
        <v>0</v>
      </c>
      <c r="BA47" s="284">
        <v>0</v>
      </c>
      <c r="BB47" s="284">
        <v>0</v>
      </c>
      <c r="BC47" s="284">
        <v>0</v>
      </c>
      <c r="BD47" s="284">
        <v>0</v>
      </c>
      <c r="BE47" s="284">
        <v>0</v>
      </c>
      <c r="BF47" s="284">
        <v>0</v>
      </c>
      <c r="BG47" s="284">
        <v>0</v>
      </c>
      <c r="BH47" s="285">
        <v>0</v>
      </c>
      <c r="BI47" s="291">
        <v>0</v>
      </c>
      <c r="BJ47" s="284">
        <v>0</v>
      </c>
      <c r="BK47" s="284">
        <v>0</v>
      </c>
      <c r="BL47" s="284">
        <v>0</v>
      </c>
      <c r="BM47" s="284">
        <v>0</v>
      </c>
      <c r="BN47" s="284">
        <v>0</v>
      </c>
      <c r="BO47" s="284">
        <v>0</v>
      </c>
      <c r="BP47" s="284">
        <v>0</v>
      </c>
      <c r="BQ47" s="284">
        <v>0</v>
      </c>
      <c r="BR47" s="284">
        <v>0</v>
      </c>
      <c r="BS47" s="284">
        <v>0</v>
      </c>
      <c r="BT47" s="284">
        <v>0</v>
      </c>
      <c r="BU47" s="284">
        <v>0</v>
      </c>
      <c r="BV47" s="284">
        <v>0</v>
      </c>
      <c r="BW47" s="285">
        <v>0</v>
      </c>
      <c r="BX47" s="291">
        <v>0</v>
      </c>
      <c r="BY47" s="284">
        <v>0</v>
      </c>
      <c r="BZ47" s="284">
        <v>0</v>
      </c>
      <c r="CA47" s="284">
        <v>0</v>
      </c>
      <c r="CB47" s="284">
        <v>0</v>
      </c>
      <c r="CC47" s="284">
        <v>0</v>
      </c>
      <c r="CD47" s="284">
        <v>0</v>
      </c>
      <c r="CE47" s="284">
        <v>0</v>
      </c>
      <c r="CF47" s="284">
        <v>0</v>
      </c>
      <c r="CG47" s="284">
        <v>0</v>
      </c>
      <c r="CH47" s="284">
        <v>0</v>
      </c>
      <c r="CI47" s="284">
        <v>0</v>
      </c>
      <c r="CJ47" s="284">
        <v>0</v>
      </c>
      <c r="CK47" s="284">
        <v>0</v>
      </c>
      <c r="CL47" s="285">
        <v>0</v>
      </c>
      <c r="CM47" s="291">
        <v>0</v>
      </c>
      <c r="CN47" s="284">
        <v>0</v>
      </c>
      <c r="CO47" s="284">
        <v>0</v>
      </c>
      <c r="CP47" s="284">
        <v>0</v>
      </c>
      <c r="CQ47" s="284">
        <v>0</v>
      </c>
      <c r="CR47" s="284">
        <v>0</v>
      </c>
      <c r="CS47" s="284">
        <v>0</v>
      </c>
      <c r="CT47" s="284">
        <v>0</v>
      </c>
      <c r="CU47" s="284">
        <v>0</v>
      </c>
      <c r="CV47" s="284">
        <v>0</v>
      </c>
      <c r="CW47" s="284">
        <v>0</v>
      </c>
      <c r="CX47" s="284">
        <v>0</v>
      </c>
      <c r="CY47" s="284">
        <v>0</v>
      </c>
      <c r="CZ47" s="284">
        <v>0</v>
      </c>
      <c r="DA47" s="285">
        <v>0</v>
      </c>
      <c r="DB47" s="291">
        <v>0</v>
      </c>
      <c r="DC47" s="284">
        <v>0</v>
      </c>
      <c r="DD47" s="284">
        <v>0</v>
      </c>
      <c r="DE47" s="284">
        <v>0</v>
      </c>
      <c r="DF47" s="284">
        <v>0</v>
      </c>
      <c r="DG47" s="284">
        <v>0</v>
      </c>
      <c r="DH47" s="284">
        <v>0</v>
      </c>
      <c r="DI47" s="284">
        <v>0</v>
      </c>
      <c r="DJ47" s="284">
        <v>0</v>
      </c>
      <c r="DK47" s="284">
        <v>0</v>
      </c>
      <c r="DL47" s="284">
        <v>0</v>
      </c>
      <c r="DM47" s="284">
        <v>0</v>
      </c>
      <c r="DN47" s="284">
        <v>0</v>
      </c>
      <c r="DO47" s="284">
        <v>0</v>
      </c>
      <c r="DP47" s="285">
        <v>0</v>
      </c>
      <c r="DQ47" s="291">
        <v>0</v>
      </c>
      <c r="DR47" s="284">
        <v>0</v>
      </c>
      <c r="DS47" s="284">
        <v>0</v>
      </c>
      <c r="DT47" s="284">
        <v>0</v>
      </c>
      <c r="DU47" s="284">
        <v>0</v>
      </c>
      <c r="DV47" s="284">
        <v>0</v>
      </c>
      <c r="DW47" s="284">
        <v>0</v>
      </c>
      <c r="DX47" s="284">
        <v>0</v>
      </c>
      <c r="DY47" s="284">
        <v>0</v>
      </c>
      <c r="DZ47" s="284">
        <v>0</v>
      </c>
      <c r="EA47" s="284">
        <v>0</v>
      </c>
      <c r="EB47" s="284">
        <v>0</v>
      </c>
      <c r="EC47" s="284">
        <v>0</v>
      </c>
      <c r="ED47" s="284">
        <v>0</v>
      </c>
      <c r="EE47" s="285">
        <v>0</v>
      </c>
      <c r="EF47" s="291">
        <v>0</v>
      </c>
      <c r="EG47" s="311">
        <v>0</v>
      </c>
    </row>
    <row r="48" spans="2:139">
      <c r="B48" s="283" t="s">
        <v>53</v>
      </c>
      <c r="C48" s="284">
        <v>-172709.37000000002</v>
      </c>
      <c r="D48" s="284">
        <v>328986.87000000017</v>
      </c>
      <c r="E48" s="284">
        <v>445259.00999999995</v>
      </c>
      <c r="F48" s="284">
        <v>465769.72000000015</v>
      </c>
      <c r="G48" s="284">
        <v>459303.72999999992</v>
      </c>
      <c r="H48" s="284">
        <v>502720.15</v>
      </c>
      <c r="I48" s="284">
        <v>597911.16999999993</v>
      </c>
      <c r="J48" s="284">
        <v>437942.76000000013</v>
      </c>
      <c r="K48" s="284">
        <v>1349477.1499999992</v>
      </c>
      <c r="L48" s="284">
        <v>-391153.61000000016</v>
      </c>
      <c r="M48" s="284">
        <v>520917.05999999988</v>
      </c>
      <c r="N48" s="284">
        <v>483339.54999999981</v>
      </c>
      <c r="O48" s="285">
        <v>5027764.1900000004</v>
      </c>
      <c r="P48" s="291">
        <v>0</v>
      </c>
      <c r="Q48" s="284">
        <v>1277922.9101962531</v>
      </c>
      <c r="R48" s="284">
        <v>353778.92000000004</v>
      </c>
      <c r="S48" s="284">
        <v>617737.95000000019</v>
      </c>
      <c r="T48" s="284">
        <v>700682.66</v>
      </c>
      <c r="U48" s="284">
        <v>647173.56999999995</v>
      </c>
      <c r="V48" s="284">
        <v>769794.47000000009</v>
      </c>
      <c r="W48" s="284">
        <v>735600.89999999991</v>
      </c>
      <c r="X48" s="284">
        <v>1344289.4200000002</v>
      </c>
      <c r="Y48" s="284">
        <v>741516.80999999994</v>
      </c>
      <c r="Z48" s="284">
        <v>363169.73000000056</v>
      </c>
      <c r="AA48" s="284">
        <v>940781.89</v>
      </c>
      <c r="AB48" s="284">
        <v>824238.04000000015</v>
      </c>
      <c r="AC48" s="284">
        <v>1024472.1099999998</v>
      </c>
      <c r="AD48" s="285">
        <v>9063236.4700000025</v>
      </c>
      <c r="AE48" s="291">
        <v>0</v>
      </c>
      <c r="AF48" s="284">
        <v>1273164.290196253</v>
      </c>
      <c r="AG48" s="284">
        <v>54873.26000000006</v>
      </c>
      <c r="AH48" s="284">
        <v>572007.09999999963</v>
      </c>
      <c r="AI48" s="284">
        <v>644682.91999999911</v>
      </c>
      <c r="AJ48" s="284">
        <v>464091.05999999976</v>
      </c>
      <c r="AK48" s="284">
        <v>439219.01000000024</v>
      </c>
      <c r="AL48" s="284">
        <v>489749.00000000006</v>
      </c>
      <c r="AM48" s="284">
        <v>710859.65999999957</v>
      </c>
      <c r="AN48" s="284">
        <v>738038.01</v>
      </c>
      <c r="AO48" s="284">
        <v>691410.45000000007</v>
      </c>
      <c r="AP48" s="284">
        <v>787081.43999999983</v>
      </c>
      <c r="AQ48" s="284">
        <v>790296.05999999982</v>
      </c>
      <c r="AR48" s="284">
        <v>611314.88</v>
      </c>
      <c r="AS48" s="285">
        <v>6993622.8499999978</v>
      </c>
      <c r="AT48" s="291">
        <v>0</v>
      </c>
      <c r="AU48" s="284">
        <v>1134243.510196253</v>
      </c>
      <c r="AV48" s="284">
        <v>785715.06000000017</v>
      </c>
      <c r="AW48" s="284">
        <v>691434.94999999984</v>
      </c>
      <c r="AX48" s="284">
        <v>830625.90000000026</v>
      </c>
      <c r="AY48" s="284">
        <v>950577.60999999952</v>
      </c>
      <c r="AZ48" s="284">
        <v>980059.21999999986</v>
      </c>
      <c r="BA48" s="284">
        <v>719365.72000000032</v>
      </c>
      <c r="BB48" s="284">
        <v>832356.4</v>
      </c>
      <c r="BC48" s="284">
        <v>1016010.1099999996</v>
      </c>
      <c r="BD48" s="284">
        <v>885374.73999999964</v>
      </c>
      <c r="BE48" s="284">
        <v>939528.72000000032</v>
      </c>
      <c r="BF48" s="284">
        <v>1067742.27</v>
      </c>
      <c r="BG48" s="284">
        <v>1476275.8099999994</v>
      </c>
      <c r="BH48" s="285">
        <v>11175066.509999998</v>
      </c>
      <c r="BI48" s="291">
        <v>0</v>
      </c>
      <c r="BJ48" s="284">
        <v>1272849.050196253</v>
      </c>
      <c r="BK48" s="284">
        <v>891374.36999999953</v>
      </c>
      <c r="BL48" s="284">
        <v>22993.019999999789</v>
      </c>
      <c r="BM48" s="284">
        <v>1032389.9600000001</v>
      </c>
      <c r="BN48" s="284">
        <v>884894.69000000041</v>
      </c>
      <c r="BO48" s="284">
        <v>978961.78999999957</v>
      </c>
      <c r="BP48" s="284">
        <v>1048815.6599999999</v>
      </c>
      <c r="BQ48" s="284">
        <v>823023.54999999958</v>
      </c>
      <c r="BR48" s="284">
        <v>1377270</v>
      </c>
      <c r="BS48" s="284">
        <v>529551.99999999942</v>
      </c>
      <c r="BT48" s="284">
        <v>1361824.0100000002</v>
      </c>
      <c r="BU48" s="284">
        <v>924637.65999999922</v>
      </c>
      <c r="BV48" s="284">
        <v>734976.91000000411</v>
      </c>
      <c r="BW48" s="285">
        <v>10610713.620000005</v>
      </c>
      <c r="BX48" s="291">
        <v>0</v>
      </c>
      <c r="BY48" s="284">
        <v>1255777.7401962499</v>
      </c>
      <c r="BZ48" s="284">
        <v>1276427.6699999992</v>
      </c>
      <c r="CA48" s="284">
        <v>1034403</v>
      </c>
      <c r="CB48" s="284">
        <v>1201783.48</v>
      </c>
      <c r="CC48" s="284">
        <v>1062943.0500000003</v>
      </c>
      <c r="CD48" s="284">
        <v>1248131.6600000006</v>
      </c>
      <c r="CE48" s="284">
        <v>1478304.2199999993</v>
      </c>
      <c r="CF48" s="284">
        <v>1443757.8799999997</v>
      </c>
      <c r="CG48" s="284">
        <v>1284599.8299999998</v>
      </c>
      <c r="CH48" s="284">
        <v>887154.27000000014</v>
      </c>
      <c r="CI48" s="284">
        <v>1121263.93</v>
      </c>
      <c r="CJ48" s="284">
        <v>1112251.9099999995</v>
      </c>
      <c r="CK48" s="284">
        <v>1363564.1000000003</v>
      </c>
      <c r="CL48" s="285">
        <v>14514585</v>
      </c>
      <c r="CM48" s="291">
        <v>0</v>
      </c>
      <c r="CN48" s="284">
        <v>1253586.7301962469</v>
      </c>
      <c r="CO48" s="284">
        <v>640047.34999999986</v>
      </c>
      <c r="CP48" s="284">
        <v>1303100.3799999994</v>
      </c>
      <c r="CQ48" s="284">
        <v>924332.91999999864</v>
      </c>
      <c r="CR48" s="284">
        <v>1404865.4299999997</v>
      </c>
      <c r="CS48" s="284">
        <v>1151889.9500000004</v>
      </c>
      <c r="CT48" s="284">
        <v>721217.27000000048</v>
      </c>
      <c r="CU48" s="284">
        <v>871206.1800000004</v>
      </c>
      <c r="CV48" s="284">
        <v>10487429.42999997</v>
      </c>
      <c r="CW48" s="284">
        <v>12683477.98000001</v>
      </c>
      <c r="CX48" s="284">
        <v>5153673</v>
      </c>
      <c r="CY48" s="284">
        <v>3659580.6699999934</v>
      </c>
      <c r="CZ48" s="284">
        <v>3126082.8799999971</v>
      </c>
      <c r="DA48" s="285">
        <v>42126903.439999975</v>
      </c>
      <c r="DB48" s="291">
        <v>0</v>
      </c>
      <c r="DC48" s="284">
        <v>1272600.7901962532</v>
      </c>
      <c r="DD48" s="284">
        <v>1102977.3500000015</v>
      </c>
      <c r="DE48" s="284">
        <v>1220274.2899999998</v>
      </c>
      <c r="DF48" s="284">
        <v>1193740.6000000003</v>
      </c>
      <c r="DG48" s="284">
        <v>909120.85999999859</v>
      </c>
      <c r="DH48" s="284">
        <v>789163.22999999858</v>
      </c>
      <c r="DI48" s="284">
        <v>1629978.9399999995</v>
      </c>
      <c r="DJ48" s="284">
        <v>799250.65999999968</v>
      </c>
      <c r="DK48" s="284">
        <v>2039484.5799999998</v>
      </c>
      <c r="DL48" s="284">
        <v>1149431.1057368137</v>
      </c>
      <c r="DM48" s="284">
        <v>1217077.1197173651</v>
      </c>
      <c r="DN48" s="284">
        <v>1151329.8466726898</v>
      </c>
      <c r="DO48" s="284">
        <v>1052802.5394476885</v>
      </c>
      <c r="DP48" s="285">
        <v>14254631.121574556</v>
      </c>
      <c r="DQ48" s="291">
        <v>0</v>
      </c>
      <c r="DR48" s="284">
        <v>1304761.0001962532</v>
      </c>
      <c r="DS48" s="284">
        <v>1391486.2158812359</v>
      </c>
      <c r="DT48" s="284">
        <v>1214366.8256843744</v>
      </c>
      <c r="DU48" s="284">
        <v>1176863.5102453576</v>
      </c>
      <c r="DV48" s="284">
        <v>1208285.9696424259</v>
      </c>
      <c r="DW48" s="284">
        <v>1232931.2402469679</v>
      </c>
      <c r="DX48" s="284">
        <v>1300929.8715530783</v>
      </c>
      <c r="DY48" s="284">
        <v>1380739.8581025172</v>
      </c>
      <c r="DZ48" s="284">
        <v>1277134.4457772321</v>
      </c>
      <c r="EA48" s="284">
        <v>1420900.760824855</v>
      </c>
      <c r="EB48" s="284">
        <v>1476312.9112237461</v>
      </c>
      <c r="EC48" s="284">
        <v>1339451.7397948401</v>
      </c>
      <c r="ED48" s="284">
        <v>1150786.4311894176</v>
      </c>
      <c r="EE48" s="285">
        <v>15570189.780166049</v>
      </c>
      <c r="EF48" s="291">
        <v>0</v>
      </c>
      <c r="EG48" s="311">
        <v>1315558.6585914912</v>
      </c>
      <c r="EH48" s="47" t="s">
        <v>816</v>
      </c>
      <c r="EI48" s="47"/>
    </row>
    <row r="50" spans="138:138">
      <c r="EH50" s="47" t="s">
        <v>833</v>
      </c>
    </row>
    <row r="52" spans="138:138">
      <c r="EH52" s="47"/>
    </row>
    <row r="55" spans="138:138">
      <c r="EH55" t="s">
        <v>817</v>
      </c>
    </row>
    <row r="84" spans="3:150">
      <c r="C84" s="154"/>
      <c r="D84" s="154"/>
      <c r="E84" s="154"/>
      <c r="F84" s="154"/>
      <c r="G84" s="154"/>
      <c r="H84" s="154"/>
      <c r="I84" s="154"/>
      <c r="J84" s="154"/>
      <c r="K84" s="154"/>
      <c r="L84" s="154"/>
      <c r="M84" s="154"/>
      <c r="N84" s="154"/>
      <c r="O84" s="187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187"/>
      <c r="AG84" s="154"/>
      <c r="AH84" s="154"/>
      <c r="AI84" s="154"/>
      <c r="AJ84" s="154"/>
      <c r="AK84" s="154"/>
      <c r="AL84" s="154"/>
      <c r="AM84" s="154"/>
      <c r="AN84" s="154"/>
      <c r="AO84" s="154"/>
      <c r="AP84" s="154"/>
      <c r="AQ84" s="154"/>
      <c r="AR84" s="154"/>
      <c r="AS84" s="187"/>
      <c r="AV84" s="154"/>
      <c r="AW84" s="154"/>
      <c r="AX84" s="154"/>
      <c r="AY84" s="154"/>
      <c r="AZ84" s="154"/>
      <c r="BA84" s="154"/>
      <c r="BB84" s="154"/>
      <c r="BC84" s="154"/>
      <c r="BD84" s="154"/>
      <c r="BE84" s="154"/>
      <c r="BF84" s="154"/>
      <c r="BG84" s="154"/>
      <c r="BH84" s="187"/>
      <c r="BK84" s="154"/>
      <c r="BL84" s="154"/>
      <c r="BM84" s="154"/>
      <c r="BN84" s="154"/>
      <c r="BO84" s="154"/>
      <c r="BP84" s="154"/>
      <c r="BQ84" s="154"/>
      <c r="BR84" s="154"/>
      <c r="BS84" s="154"/>
      <c r="BT84" s="154"/>
      <c r="BU84" s="154"/>
      <c r="BV84" s="154"/>
      <c r="BW84" s="187"/>
      <c r="BZ84" s="154"/>
      <c r="CA84" s="154"/>
      <c r="CB84" s="154"/>
      <c r="CC84" s="154"/>
      <c r="CD84" s="154"/>
      <c r="CE84" s="154"/>
      <c r="CF84" s="154"/>
      <c r="CG84" s="154"/>
      <c r="CH84" s="154"/>
      <c r="CI84" s="154"/>
      <c r="CJ84" s="154"/>
      <c r="CK84" s="154"/>
      <c r="CL84" s="187"/>
      <c r="CO84" s="154"/>
      <c r="CP84" s="154"/>
      <c r="CQ84" s="154"/>
      <c r="CR84" s="154"/>
      <c r="CS84" s="154"/>
      <c r="CT84" s="154"/>
      <c r="CU84" s="154"/>
      <c r="CV84" s="154"/>
      <c r="CW84" s="154"/>
      <c r="CX84" s="154"/>
      <c r="CY84" s="154"/>
      <c r="CZ84" s="154"/>
      <c r="DA84" s="187"/>
      <c r="DD84" s="154"/>
      <c r="DE84" s="154"/>
      <c r="DF84" s="154"/>
      <c r="DG84" s="154"/>
      <c r="DH84" s="154"/>
      <c r="DI84" s="154"/>
      <c r="DJ84" s="154"/>
      <c r="DK84" s="154"/>
      <c r="DL84" s="154"/>
      <c r="DM84" s="154"/>
      <c r="DN84" s="154"/>
      <c r="DO84" s="154"/>
      <c r="DP84" s="187"/>
      <c r="DS84" s="154"/>
      <c r="DT84" s="154"/>
      <c r="DU84" s="154"/>
      <c r="DV84" s="154"/>
      <c r="DW84" s="154"/>
      <c r="DX84" s="154"/>
      <c r="DY84" s="154"/>
      <c r="DZ84" s="154"/>
      <c r="EA84" s="154"/>
      <c r="EB84" s="154"/>
      <c r="EC84" s="154"/>
      <c r="ED84" s="154"/>
      <c r="EE84" s="187"/>
      <c r="ET84" s="155"/>
    </row>
    <row r="85" spans="3:150"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87"/>
      <c r="R85" s="154"/>
      <c r="S85" s="154"/>
      <c r="T85" s="154"/>
      <c r="U85" s="154"/>
      <c r="V85" s="154"/>
      <c r="W85" s="154"/>
      <c r="X85" s="154"/>
      <c r="Y85" s="154"/>
      <c r="Z85" s="154"/>
      <c r="AA85" s="154"/>
      <c r="AB85" s="154"/>
      <c r="AC85" s="154"/>
      <c r="AD85" s="187"/>
      <c r="AG85" s="154"/>
      <c r="AH85" s="154"/>
      <c r="AI85" s="154"/>
      <c r="AJ85" s="154"/>
      <c r="AK85" s="154"/>
      <c r="AL85" s="154"/>
      <c r="AM85" s="154"/>
      <c r="AN85" s="154"/>
      <c r="AO85" s="154"/>
      <c r="AP85" s="154"/>
      <c r="AQ85" s="154"/>
      <c r="AR85" s="154"/>
      <c r="AS85" s="187"/>
      <c r="AV85" s="154"/>
      <c r="AW85" s="154"/>
      <c r="AX85" s="154"/>
      <c r="AY85" s="154"/>
      <c r="AZ85" s="154"/>
      <c r="BA85" s="154"/>
      <c r="BB85" s="154"/>
      <c r="BC85" s="154"/>
      <c r="BD85" s="154"/>
      <c r="BE85" s="154"/>
      <c r="BF85" s="154"/>
      <c r="BG85" s="154"/>
      <c r="BH85" s="187"/>
      <c r="BK85" s="154"/>
      <c r="BL85" s="154"/>
      <c r="BM85" s="154"/>
      <c r="BN85" s="154"/>
      <c r="BO85" s="154"/>
      <c r="BP85" s="154"/>
      <c r="BQ85" s="154"/>
      <c r="BR85" s="154"/>
      <c r="BS85" s="154"/>
      <c r="BT85" s="154"/>
      <c r="BU85" s="154"/>
      <c r="BV85" s="154"/>
      <c r="BW85" s="187"/>
      <c r="BZ85" s="154"/>
      <c r="CA85" s="154"/>
      <c r="CB85" s="154"/>
      <c r="CC85" s="154"/>
      <c r="CD85" s="154"/>
      <c r="CE85" s="154"/>
      <c r="CF85" s="154"/>
      <c r="CG85" s="154"/>
      <c r="CH85" s="154"/>
      <c r="CI85" s="154"/>
      <c r="CJ85" s="154"/>
      <c r="CK85" s="154"/>
      <c r="CL85" s="187"/>
      <c r="CO85" s="154"/>
      <c r="CP85" s="154"/>
      <c r="CQ85" s="154"/>
      <c r="CR85" s="154"/>
      <c r="CS85" s="154"/>
      <c r="CT85" s="154"/>
      <c r="CU85" s="154"/>
      <c r="CV85" s="154"/>
      <c r="CW85" s="154"/>
      <c r="CX85" s="154"/>
      <c r="CY85" s="154"/>
      <c r="CZ85" s="154"/>
      <c r="DA85" s="187"/>
      <c r="DD85" s="154"/>
      <c r="DE85" s="154"/>
      <c r="DF85" s="154"/>
      <c r="DG85" s="154"/>
      <c r="DH85" s="154"/>
      <c r="DI85" s="154"/>
      <c r="DJ85" s="154"/>
      <c r="DK85" s="154"/>
      <c r="DL85" s="154"/>
      <c r="DM85" s="154"/>
      <c r="DN85" s="154"/>
      <c r="DO85" s="154"/>
      <c r="DP85" s="187"/>
      <c r="DS85" s="154"/>
      <c r="DT85" s="154"/>
      <c r="DU85" s="154"/>
      <c r="DV85" s="154"/>
      <c r="DW85" s="154"/>
      <c r="DX85" s="154"/>
      <c r="DY85" s="154"/>
      <c r="DZ85" s="154"/>
      <c r="EA85" s="154"/>
      <c r="EB85" s="154"/>
      <c r="EC85" s="154"/>
      <c r="ED85" s="154"/>
      <c r="EE85" s="187"/>
      <c r="ET85" s="155"/>
    </row>
    <row r="86" spans="3:150">
      <c r="C86" s="154"/>
      <c r="D86" s="154"/>
      <c r="E86" s="154"/>
      <c r="F86" s="154"/>
      <c r="G86" s="154"/>
      <c r="H86" s="154"/>
      <c r="I86" s="154"/>
      <c r="J86" s="154"/>
      <c r="K86" s="154"/>
      <c r="L86" s="154"/>
      <c r="M86" s="154"/>
      <c r="N86" s="154"/>
      <c r="O86" s="187"/>
      <c r="R86" s="154"/>
      <c r="S86" s="154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187"/>
      <c r="AG86" s="154"/>
      <c r="AH86" s="154"/>
      <c r="AI86" s="154"/>
      <c r="AJ86" s="154"/>
      <c r="AK86" s="154"/>
      <c r="AL86" s="154"/>
      <c r="AM86" s="154"/>
      <c r="AN86" s="154"/>
      <c r="AO86" s="154"/>
      <c r="AP86" s="154"/>
      <c r="AQ86" s="154"/>
      <c r="AR86" s="154"/>
      <c r="AS86" s="187"/>
      <c r="AV86" s="154"/>
      <c r="AW86" s="154"/>
      <c r="AX86" s="154"/>
      <c r="AY86" s="154"/>
      <c r="AZ86" s="154"/>
      <c r="BA86" s="154"/>
      <c r="BB86" s="154"/>
      <c r="BC86" s="154"/>
      <c r="BD86" s="154"/>
      <c r="BE86" s="154"/>
      <c r="BF86" s="154"/>
      <c r="BG86" s="154"/>
      <c r="BH86" s="187"/>
      <c r="BK86" s="154"/>
      <c r="BL86" s="154"/>
      <c r="BM86" s="154"/>
      <c r="BN86" s="154"/>
      <c r="BO86" s="154"/>
      <c r="BP86" s="154"/>
      <c r="BQ86" s="154"/>
      <c r="BR86" s="154"/>
      <c r="BS86" s="154"/>
      <c r="BT86" s="154"/>
      <c r="BU86" s="154"/>
      <c r="BV86" s="154"/>
      <c r="BW86" s="187"/>
      <c r="BZ86" s="154"/>
      <c r="CA86" s="154"/>
      <c r="CB86" s="154"/>
      <c r="CC86" s="154"/>
      <c r="CD86" s="154"/>
      <c r="CE86" s="154"/>
      <c r="CF86" s="154"/>
      <c r="CG86" s="154"/>
      <c r="CH86" s="154"/>
      <c r="CI86" s="154"/>
      <c r="CJ86" s="154"/>
      <c r="CK86" s="154"/>
      <c r="CL86" s="187"/>
      <c r="CO86" s="154"/>
      <c r="CP86" s="154"/>
      <c r="CQ86" s="154"/>
      <c r="CR86" s="154"/>
      <c r="CS86" s="154"/>
      <c r="CT86" s="154"/>
      <c r="CU86" s="154"/>
      <c r="CV86" s="154"/>
      <c r="CW86" s="154"/>
      <c r="CX86" s="154"/>
      <c r="CY86" s="154"/>
      <c r="CZ86" s="154"/>
      <c r="DA86" s="187"/>
      <c r="DD86" s="154"/>
      <c r="DE86" s="154"/>
      <c r="DF86" s="154"/>
      <c r="DG86" s="154"/>
      <c r="DH86" s="154"/>
      <c r="DI86" s="154"/>
      <c r="DJ86" s="154"/>
      <c r="DK86" s="154"/>
      <c r="DL86" s="154"/>
      <c r="DM86" s="154"/>
      <c r="DN86" s="154"/>
      <c r="DO86" s="154"/>
      <c r="DP86" s="187"/>
      <c r="DS86" s="154"/>
      <c r="DT86" s="154"/>
      <c r="DU86" s="154"/>
      <c r="DV86" s="154"/>
      <c r="DW86" s="154"/>
      <c r="DX86" s="154"/>
      <c r="DY86" s="154"/>
      <c r="DZ86" s="154"/>
      <c r="EA86" s="154"/>
      <c r="EB86" s="154"/>
      <c r="EC86" s="154"/>
      <c r="ED86" s="154"/>
      <c r="EE86" s="187"/>
      <c r="ET86" s="155"/>
    </row>
    <row r="87" spans="3:150">
      <c r="C87" s="154"/>
      <c r="D87" s="154"/>
      <c r="E87" s="154"/>
      <c r="F87" s="154"/>
      <c r="G87" s="154"/>
      <c r="H87" s="154"/>
      <c r="I87" s="154"/>
      <c r="J87" s="154"/>
      <c r="K87" s="154"/>
      <c r="L87" s="154"/>
      <c r="M87" s="154"/>
      <c r="N87" s="154"/>
      <c r="O87" s="187"/>
      <c r="R87" s="154"/>
      <c r="S87" s="154"/>
      <c r="T87" s="154"/>
      <c r="U87" s="154"/>
      <c r="V87" s="154"/>
      <c r="W87" s="154"/>
      <c r="X87" s="154"/>
      <c r="Y87" s="154"/>
      <c r="Z87" s="154"/>
      <c r="AA87" s="154"/>
      <c r="AB87" s="154"/>
      <c r="AC87" s="154"/>
      <c r="AD87" s="187"/>
      <c r="AG87" s="154"/>
      <c r="AH87" s="154"/>
      <c r="AI87" s="154"/>
      <c r="AJ87" s="154"/>
      <c r="AK87" s="154"/>
      <c r="AL87" s="154"/>
      <c r="AM87" s="154"/>
      <c r="AN87" s="154"/>
      <c r="AO87" s="154"/>
      <c r="AP87" s="154"/>
      <c r="AQ87" s="154"/>
      <c r="AR87" s="154"/>
      <c r="AS87" s="187"/>
      <c r="AV87" s="154"/>
      <c r="AW87" s="154"/>
      <c r="AX87" s="154"/>
      <c r="AY87" s="154"/>
      <c r="AZ87" s="154"/>
      <c r="BA87" s="154"/>
      <c r="BB87" s="154"/>
      <c r="BC87" s="154"/>
      <c r="BD87" s="154"/>
      <c r="BE87" s="154"/>
      <c r="BF87" s="154"/>
      <c r="BG87" s="154"/>
      <c r="BH87" s="187"/>
      <c r="BK87" s="154"/>
      <c r="BL87" s="154"/>
      <c r="BM87" s="154"/>
      <c r="BN87" s="154"/>
      <c r="BO87" s="154"/>
      <c r="BP87" s="154"/>
      <c r="BQ87" s="154"/>
      <c r="BR87" s="154"/>
      <c r="BS87" s="154"/>
      <c r="BT87" s="154"/>
      <c r="BU87" s="154"/>
      <c r="BV87" s="154"/>
      <c r="BW87" s="187"/>
      <c r="BZ87" s="154"/>
      <c r="CA87" s="154"/>
      <c r="CB87" s="154"/>
      <c r="CC87" s="154"/>
      <c r="CD87" s="154"/>
      <c r="CE87" s="154"/>
      <c r="CF87" s="154"/>
      <c r="CG87" s="154"/>
      <c r="CH87" s="154"/>
      <c r="CI87" s="154"/>
      <c r="CJ87" s="154"/>
      <c r="CK87" s="154"/>
      <c r="CL87" s="187"/>
      <c r="CO87" s="154"/>
      <c r="CP87" s="154"/>
      <c r="CQ87" s="154"/>
      <c r="CR87" s="154"/>
      <c r="CS87" s="154"/>
      <c r="CT87" s="154"/>
      <c r="CU87" s="154"/>
      <c r="CV87" s="154"/>
      <c r="CW87" s="154"/>
      <c r="CX87" s="154"/>
      <c r="CY87" s="154"/>
      <c r="CZ87" s="154"/>
      <c r="DA87" s="187"/>
      <c r="DD87" s="154"/>
      <c r="DE87" s="154"/>
      <c r="DF87" s="154"/>
      <c r="DG87" s="154"/>
      <c r="DH87" s="154"/>
      <c r="DI87" s="154"/>
      <c r="DJ87" s="154"/>
      <c r="DK87" s="154"/>
      <c r="DL87" s="154"/>
      <c r="DM87" s="154"/>
      <c r="DN87" s="154"/>
      <c r="DO87" s="154"/>
      <c r="DP87" s="187"/>
      <c r="DS87" s="154"/>
      <c r="DT87" s="154"/>
      <c r="DU87" s="154"/>
      <c r="DV87" s="154"/>
      <c r="DW87" s="154"/>
      <c r="DX87" s="154"/>
      <c r="DY87" s="154"/>
      <c r="DZ87" s="154"/>
      <c r="EA87" s="154"/>
      <c r="EB87" s="154"/>
      <c r="EC87" s="154"/>
      <c r="ED87" s="154"/>
      <c r="EE87" s="187"/>
      <c r="ET87" s="155"/>
    </row>
    <row r="88" spans="3:150">
      <c r="C88" s="154"/>
      <c r="D88" s="154"/>
      <c r="E88" s="154"/>
      <c r="F88" s="154"/>
      <c r="G88" s="154"/>
      <c r="H88" s="154"/>
      <c r="I88" s="154"/>
      <c r="J88" s="154"/>
      <c r="K88" s="154"/>
      <c r="L88" s="154"/>
      <c r="M88" s="154"/>
      <c r="N88" s="154"/>
      <c r="O88" s="187"/>
      <c r="R88" s="154"/>
      <c r="S88" s="154"/>
      <c r="T88" s="154"/>
      <c r="U88" s="154"/>
      <c r="V88" s="154"/>
      <c r="W88" s="154"/>
      <c r="X88" s="154"/>
      <c r="Y88" s="154"/>
      <c r="Z88" s="154"/>
      <c r="AA88" s="154"/>
      <c r="AB88" s="154"/>
      <c r="AC88" s="154"/>
      <c r="AD88" s="187"/>
      <c r="AG88" s="154"/>
      <c r="AH88" s="154"/>
      <c r="AI88" s="154"/>
      <c r="AJ88" s="154"/>
      <c r="AK88" s="154"/>
      <c r="AL88" s="154"/>
      <c r="AM88" s="154"/>
      <c r="AN88" s="154"/>
      <c r="AO88" s="154"/>
      <c r="AP88" s="154"/>
      <c r="AQ88" s="154"/>
      <c r="AR88" s="154"/>
      <c r="AS88" s="187"/>
      <c r="AV88" s="154"/>
      <c r="AW88" s="154"/>
      <c r="AX88" s="154"/>
      <c r="AY88" s="154"/>
      <c r="AZ88" s="154"/>
      <c r="BA88" s="154"/>
      <c r="BB88" s="154"/>
      <c r="BC88" s="154"/>
      <c r="BD88" s="154"/>
      <c r="BE88" s="154"/>
      <c r="BF88" s="154"/>
      <c r="BG88" s="154"/>
      <c r="BH88" s="187"/>
      <c r="BK88" s="154"/>
      <c r="BL88" s="154"/>
      <c r="BM88" s="154"/>
      <c r="BN88" s="154"/>
      <c r="BO88" s="154"/>
      <c r="BP88" s="154"/>
      <c r="BQ88" s="154"/>
      <c r="BR88" s="154"/>
      <c r="BS88" s="154"/>
      <c r="BT88" s="154"/>
      <c r="BU88" s="154"/>
      <c r="BV88" s="154"/>
      <c r="BW88" s="187"/>
      <c r="BZ88" s="154"/>
      <c r="CA88" s="154"/>
      <c r="CB88" s="154"/>
      <c r="CC88" s="154"/>
      <c r="CD88" s="154"/>
      <c r="CE88" s="154"/>
      <c r="CF88" s="154"/>
      <c r="CG88" s="154"/>
      <c r="CH88" s="154"/>
      <c r="CI88" s="154"/>
      <c r="CJ88" s="154"/>
      <c r="CK88" s="154"/>
      <c r="CL88" s="187"/>
      <c r="CO88" s="154"/>
      <c r="CP88" s="154"/>
      <c r="CQ88" s="154"/>
      <c r="CR88" s="154"/>
      <c r="CS88" s="154"/>
      <c r="CT88" s="154"/>
      <c r="CU88" s="154"/>
      <c r="CV88" s="154"/>
      <c r="CW88" s="154"/>
      <c r="CX88" s="154"/>
      <c r="CY88" s="154"/>
      <c r="CZ88" s="154"/>
      <c r="DA88" s="187"/>
      <c r="DD88" s="154"/>
      <c r="DE88" s="154"/>
      <c r="DF88" s="154"/>
      <c r="DG88" s="154"/>
      <c r="DH88" s="154"/>
      <c r="DI88" s="154"/>
      <c r="DJ88" s="154"/>
      <c r="DK88" s="154"/>
      <c r="DL88" s="154"/>
      <c r="DM88" s="154"/>
      <c r="DN88" s="154"/>
      <c r="DO88" s="154"/>
      <c r="DP88" s="187"/>
      <c r="DS88" s="154"/>
      <c r="DT88" s="154"/>
      <c r="DU88" s="154"/>
      <c r="DV88" s="154"/>
      <c r="DW88" s="154"/>
      <c r="DX88" s="154"/>
      <c r="DY88" s="154"/>
      <c r="DZ88" s="154"/>
      <c r="EA88" s="154"/>
      <c r="EB88" s="154"/>
      <c r="EC88" s="154"/>
      <c r="ED88" s="154"/>
      <c r="EE88" s="187"/>
      <c r="ET88" s="155"/>
    </row>
    <row r="89" spans="3:150">
      <c r="C89" s="154"/>
      <c r="D89" s="154"/>
      <c r="E89" s="154"/>
      <c r="F89" s="154"/>
      <c r="G89" s="154"/>
      <c r="H89" s="154"/>
      <c r="I89" s="154"/>
      <c r="J89" s="154"/>
      <c r="K89" s="154"/>
      <c r="L89" s="154"/>
      <c r="M89" s="154"/>
      <c r="N89" s="154"/>
      <c r="O89" s="187"/>
      <c r="R89" s="154"/>
      <c r="S89" s="154"/>
      <c r="T89" s="154"/>
      <c r="U89" s="154"/>
      <c r="V89" s="154"/>
      <c r="W89" s="154"/>
      <c r="X89" s="154"/>
      <c r="Y89" s="154"/>
      <c r="Z89" s="154"/>
      <c r="AA89" s="154"/>
      <c r="AB89" s="154"/>
      <c r="AC89" s="154"/>
      <c r="AD89" s="187"/>
      <c r="AG89" s="154"/>
      <c r="AH89" s="154"/>
      <c r="AI89" s="154"/>
      <c r="AJ89" s="154"/>
      <c r="AK89" s="154"/>
      <c r="AL89" s="154"/>
      <c r="AM89" s="154"/>
      <c r="AN89" s="154"/>
      <c r="AO89" s="154"/>
      <c r="AP89" s="154"/>
      <c r="AQ89" s="154"/>
      <c r="AR89" s="154"/>
      <c r="AS89" s="187"/>
      <c r="AV89" s="154"/>
      <c r="AW89" s="154"/>
      <c r="AX89" s="154"/>
      <c r="AY89" s="154"/>
      <c r="AZ89" s="154"/>
      <c r="BA89" s="154"/>
      <c r="BB89" s="154"/>
      <c r="BC89" s="154"/>
      <c r="BD89" s="154"/>
      <c r="BE89" s="154"/>
      <c r="BF89" s="154"/>
      <c r="BG89" s="154"/>
      <c r="BH89" s="187"/>
      <c r="BK89" s="154"/>
      <c r="BL89" s="154"/>
      <c r="BM89" s="154"/>
      <c r="BN89" s="154"/>
      <c r="BO89" s="154"/>
      <c r="BP89" s="154"/>
      <c r="BQ89" s="154"/>
      <c r="BR89" s="154"/>
      <c r="BS89" s="154"/>
      <c r="BT89" s="154"/>
      <c r="BU89" s="154"/>
      <c r="BV89" s="154"/>
      <c r="BW89" s="187"/>
      <c r="BZ89" s="154"/>
      <c r="CA89" s="154"/>
      <c r="CB89" s="154"/>
      <c r="CC89" s="154"/>
      <c r="CD89" s="154"/>
      <c r="CE89" s="154"/>
      <c r="CF89" s="154"/>
      <c r="CG89" s="154"/>
      <c r="CH89" s="154"/>
      <c r="CI89" s="154"/>
      <c r="CJ89" s="154"/>
      <c r="CK89" s="154"/>
      <c r="CL89" s="187"/>
      <c r="CO89" s="154"/>
      <c r="CP89" s="154"/>
      <c r="CQ89" s="154"/>
      <c r="CR89" s="154"/>
      <c r="CS89" s="154"/>
      <c r="CT89" s="154"/>
      <c r="CU89" s="154"/>
      <c r="CV89" s="154"/>
      <c r="CW89" s="154"/>
      <c r="CX89" s="154"/>
      <c r="CY89" s="154"/>
      <c r="CZ89" s="154"/>
      <c r="DA89" s="187"/>
      <c r="DD89" s="154"/>
      <c r="DE89" s="154"/>
      <c r="DF89" s="154"/>
      <c r="DG89" s="154"/>
      <c r="DH89" s="154"/>
      <c r="DI89" s="154"/>
      <c r="DJ89" s="154"/>
      <c r="DK89" s="154"/>
      <c r="DL89" s="154"/>
      <c r="DM89" s="154"/>
      <c r="DN89" s="154"/>
      <c r="DO89" s="154"/>
      <c r="DP89" s="187"/>
      <c r="DS89" s="154"/>
      <c r="DT89" s="154"/>
      <c r="DU89" s="154"/>
      <c r="DV89" s="154"/>
      <c r="DW89" s="154"/>
      <c r="DX89" s="154"/>
      <c r="DY89" s="154"/>
      <c r="DZ89" s="154"/>
      <c r="EA89" s="154"/>
      <c r="EB89" s="154"/>
      <c r="EC89" s="154"/>
      <c r="ED89" s="154"/>
      <c r="EE89" s="187"/>
      <c r="ET89" s="155"/>
    </row>
  </sheetData>
  <conditionalFormatting sqref="P5">
    <cfRule type="cellIs" dxfId="157" priority="9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B474-9450-4866-B313-1425F4ACF30D}">
  <sheetPr codeName="Planilha8">
    <tabColor rgb="FF0070C0"/>
    <pageSetUpPr autoPageBreaks="0"/>
  </sheetPr>
  <dimension ref="A1:Y209"/>
  <sheetViews>
    <sheetView showGridLines="0" topLeftCell="G1" zoomScaleNormal="100" workbookViewId="0">
      <selection activeCell="N157" sqref="N157"/>
    </sheetView>
  </sheetViews>
  <sheetFormatPr defaultColWidth="9.140625" defaultRowHeight="15"/>
  <cols>
    <col min="1" max="1" width="1.42578125" style="4" bestFit="1" customWidth="1"/>
    <col min="2" max="2" width="9.85546875" style="4" bestFit="1" customWidth="1"/>
    <col min="3" max="3" width="5" style="4" customWidth="1"/>
    <col min="4" max="4" width="5.5703125" style="4" customWidth="1"/>
    <col min="5" max="5" width="21.5703125" style="4" customWidth="1"/>
    <col min="6" max="6" width="7.28515625" style="4" customWidth="1"/>
    <col min="7" max="7" width="21.85546875" style="4" customWidth="1"/>
    <col min="8" max="8" width="15.28515625" style="4" customWidth="1"/>
    <col min="9" max="9" width="9.85546875" style="4" bestFit="1" customWidth="1"/>
    <col min="10" max="10" width="8.7109375" style="44" bestFit="1" customWidth="1"/>
    <col min="11" max="16" width="8.7109375" style="45" bestFit="1" customWidth="1"/>
    <col min="17" max="20" width="9.5703125" style="45" bestFit="1" customWidth="1"/>
    <col min="21" max="21" width="8.7109375" style="45" bestFit="1" customWidth="1"/>
    <col min="22" max="23" width="10.42578125" style="45" bestFit="1" customWidth="1"/>
    <col min="24" max="24" width="13.140625" style="45" bestFit="1" customWidth="1"/>
    <col min="25" max="25" width="49.7109375" style="4" bestFit="1" customWidth="1"/>
    <col min="26" max="26" width="9.28515625" customWidth="1"/>
    <col min="27" max="27" width="15.5703125" customWidth="1"/>
    <col min="28" max="28" width="11.28515625" bestFit="1" customWidth="1"/>
    <col min="29" max="29" width="45" bestFit="1" customWidth="1"/>
    <col min="30" max="30" width="25.5703125" bestFit="1" customWidth="1"/>
    <col min="31" max="31" width="71.42578125" bestFit="1" customWidth="1"/>
    <col min="32" max="32" width="17.42578125" bestFit="1" customWidth="1"/>
    <col min="33" max="33" width="25.5703125" bestFit="1" customWidth="1"/>
    <col min="34" max="34" width="8.85546875" customWidth="1"/>
    <col min="35" max="35" width="19.85546875" bestFit="1" customWidth="1"/>
    <col min="36" max="37" width="19.85546875" customWidth="1"/>
    <col min="38" max="38" width="16.7109375" bestFit="1" customWidth="1"/>
    <col min="39" max="39" width="16.7109375" customWidth="1"/>
    <col min="40" max="40" width="16.5703125" bestFit="1" customWidth="1"/>
  </cols>
  <sheetData>
    <row r="1" spans="1:25" ht="12" customHeight="1">
      <c r="C1" s="25" t="str">
        <f>C3</f>
        <v>ASSIST. TÉCNICA - LOGÍSTICA</v>
      </c>
      <c r="D1" s="25"/>
      <c r="I1" s="9" t="s">
        <v>70</v>
      </c>
      <c r="J1" s="10">
        <f t="shared" ref="J1:U1" si="0">SUBTOTAL(9,J2:J1048576)</f>
        <v>130268.77280094601</v>
      </c>
      <c r="K1" s="10">
        <f t="shared" si="0"/>
        <v>202929.66570488043</v>
      </c>
      <c r="L1" s="10">
        <f t="shared" si="0"/>
        <v>175150.16651171522</v>
      </c>
      <c r="M1" s="10">
        <f t="shared" si="0"/>
        <v>177120.09814037761</v>
      </c>
      <c r="N1" s="10">
        <f t="shared" si="0"/>
        <v>239984.16181833603</v>
      </c>
      <c r="O1" s="10">
        <f t="shared" si="0"/>
        <v>161428.73571564481</v>
      </c>
      <c r="P1" s="10">
        <f t="shared" si="0"/>
        <v>183477.44200439632</v>
      </c>
      <c r="Q1" s="10">
        <f t="shared" si="0"/>
        <v>167011.5196033222</v>
      </c>
      <c r="R1" s="10">
        <f t="shared" si="0"/>
        <v>191370.94512671119</v>
      </c>
      <c r="S1" s="10">
        <f t="shared" si="0"/>
        <v>219661.98085656119</v>
      </c>
      <c r="T1" s="10">
        <f t="shared" si="0"/>
        <v>195315.72734322795</v>
      </c>
      <c r="U1" s="10">
        <f t="shared" si="0"/>
        <v>161842.32743958864</v>
      </c>
      <c r="V1" s="10">
        <f>SUM(J1:U1)</f>
        <v>2205561.5430657077</v>
      </c>
      <c r="W1" s="10">
        <f>SUM(K1:V1)</f>
        <v>4280854.3133304697</v>
      </c>
      <c r="X1" s="147"/>
      <c r="Y1" s="17" t="s">
        <v>73</v>
      </c>
    </row>
    <row r="2" spans="1:25">
      <c r="A2" s="7" t="s">
        <v>55</v>
      </c>
      <c r="B2" s="7" t="s">
        <v>36</v>
      </c>
      <c r="C2" s="7" t="s">
        <v>37</v>
      </c>
      <c r="D2" s="7" t="s">
        <v>726</v>
      </c>
      <c r="E2" s="7" t="s">
        <v>34</v>
      </c>
      <c r="F2" s="8" t="s">
        <v>51</v>
      </c>
      <c r="G2" s="8" t="s">
        <v>35</v>
      </c>
      <c r="H2" s="240" t="s">
        <v>69</v>
      </c>
      <c r="I2" s="240" t="s">
        <v>38</v>
      </c>
      <c r="J2" s="8" t="s">
        <v>50</v>
      </c>
      <c r="K2" s="8" t="s">
        <v>49</v>
      </c>
      <c r="L2" s="8" t="s">
        <v>48</v>
      </c>
      <c r="M2" s="8" t="s">
        <v>47</v>
      </c>
      <c r="N2" s="8" t="s">
        <v>46</v>
      </c>
      <c r="O2" s="8" t="s">
        <v>45</v>
      </c>
      <c r="P2" s="8" t="s">
        <v>44</v>
      </c>
      <c r="Q2" s="8" t="s">
        <v>43</v>
      </c>
      <c r="R2" s="8" t="s">
        <v>42</v>
      </c>
      <c r="S2" s="8" t="s">
        <v>41</v>
      </c>
      <c r="T2" s="8" t="s">
        <v>40</v>
      </c>
      <c r="U2" s="8" t="s">
        <v>39</v>
      </c>
      <c r="V2" s="8" t="s">
        <v>54</v>
      </c>
      <c r="W2" s="18" t="s">
        <v>71</v>
      </c>
      <c r="X2" s="148" t="s">
        <v>285</v>
      </c>
      <c r="Y2" s="146" t="s">
        <v>312</v>
      </c>
    </row>
    <row r="3" spans="1:25" hidden="1">
      <c r="A3" s="6"/>
      <c r="B3" s="5" t="s">
        <v>1</v>
      </c>
      <c r="C3" s="6" t="s">
        <v>719</v>
      </c>
      <c r="D3" s="6" t="s">
        <v>719</v>
      </c>
      <c r="E3" s="5" t="s">
        <v>22</v>
      </c>
      <c r="F3" s="6" t="s">
        <v>720</v>
      </c>
      <c r="G3" s="12" t="s">
        <v>28</v>
      </c>
      <c r="H3" s="6"/>
      <c r="I3" s="13">
        <v>2018</v>
      </c>
      <c r="J3" s="39">
        <v>1360.34</v>
      </c>
      <c r="K3" s="36">
        <v>1842.0900000000001</v>
      </c>
      <c r="L3" s="36">
        <v>1848.7899999999997</v>
      </c>
      <c r="M3" s="36">
        <v>1443.44</v>
      </c>
      <c r="N3" s="36">
        <v>2437.4300000000003</v>
      </c>
      <c r="O3" s="36">
        <v>698.68999999999994</v>
      </c>
      <c r="P3" s="36">
        <v>1496.8500000000001</v>
      </c>
      <c r="Q3" s="36">
        <v>700</v>
      </c>
      <c r="R3" s="36">
        <v>956.81999999999994</v>
      </c>
      <c r="S3" s="36">
        <v>1547.24</v>
      </c>
      <c r="T3" s="36">
        <v>1993.1700000000003</v>
      </c>
      <c r="U3" s="36">
        <v>2329.5899999999997</v>
      </c>
      <c r="V3" s="37">
        <f>SUM(BASE_ADM[[#This Row],[jan]:[dez]])</f>
        <v>18654.45</v>
      </c>
      <c r="W3" s="38">
        <f>SUM(BASE_ADM[[#This Row],[jan]:[dez]])/12</f>
        <v>1554.5375000000001</v>
      </c>
      <c r="X3" s="149" t="str">
        <f>_xlfn.CONCAT(LEFT(BASE_ADM[[#This Row],[CONTA CONTABIL]],7),LEFT(BASE_ADM[[#This Row],[CENTRO DE CUSTOS]],5))</f>
        <v>430001823210</v>
      </c>
      <c r="Y3" s="145" cm="1">
        <f t="array" ref="Y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4" spans="1:25" hidden="1">
      <c r="A4" s="6"/>
      <c r="B4" s="5" t="s">
        <v>1</v>
      </c>
      <c r="C4" s="6" t="s">
        <v>719</v>
      </c>
      <c r="D4" s="6" t="s">
        <v>719</v>
      </c>
      <c r="E4" s="5" t="s">
        <v>22</v>
      </c>
      <c r="F4" s="6" t="s">
        <v>720</v>
      </c>
      <c r="G4" s="12" t="s">
        <v>28</v>
      </c>
      <c r="H4" s="6"/>
      <c r="I4" s="13">
        <v>2019</v>
      </c>
      <c r="J4" s="39">
        <v>0</v>
      </c>
      <c r="K4" s="36">
        <v>3007.0900000000006</v>
      </c>
      <c r="L4" s="36">
        <v>683.15</v>
      </c>
      <c r="M4" s="36">
        <v>1080.47</v>
      </c>
      <c r="N4" s="36">
        <v>1503.06</v>
      </c>
      <c r="O4" s="36">
        <v>0</v>
      </c>
      <c r="P4" s="36">
        <v>2979.59</v>
      </c>
      <c r="Q4" s="36">
        <v>0</v>
      </c>
      <c r="R4" s="36">
        <v>1149.5999999999999</v>
      </c>
      <c r="S4" s="36">
        <v>314.08000000000004</v>
      </c>
      <c r="T4" s="36">
        <v>2982.29</v>
      </c>
      <c r="U4" s="36">
        <v>1151.9600000000003</v>
      </c>
      <c r="V4" s="37">
        <f>SUM(BASE_ADM[[#This Row],[jan]:[dez]])</f>
        <v>14851.290000000003</v>
      </c>
      <c r="W4" s="38">
        <f>SUM(BASE_ADM[[#This Row],[jan]:[dez]])/12</f>
        <v>1237.6075000000003</v>
      </c>
      <c r="X4" s="38" t="str">
        <f>_xlfn.CONCAT(LEFT(BASE_ADM[[#This Row],[CONTA CONTABIL]],7),LEFT(BASE_ADM[[#This Row],[CENTRO DE CUSTOS]],5))</f>
        <v>430001823210</v>
      </c>
      <c r="Y4" s="36" cm="1">
        <f t="array" ref="Y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5" spans="1:25" hidden="1">
      <c r="A5" s="6"/>
      <c r="B5" s="5" t="s">
        <v>1</v>
      </c>
      <c r="C5" s="6" t="s">
        <v>719</v>
      </c>
      <c r="D5" s="6" t="s">
        <v>719</v>
      </c>
      <c r="E5" s="5" t="s">
        <v>22</v>
      </c>
      <c r="F5" s="6" t="s">
        <v>720</v>
      </c>
      <c r="G5" s="12" t="s">
        <v>28</v>
      </c>
      <c r="H5" s="6"/>
      <c r="I5" s="13">
        <v>2020</v>
      </c>
      <c r="J5" s="39">
        <v>974.45999999999981</v>
      </c>
      <c r="K5" s="36">
        <v>1125.0600000000002</v>
      </c>
      <c r="L5" s="36">
        <v>0</v>
      </c>
      <c r="M5" s="36">
        <v>0</v>
      </c>
      <c r="N5" s="36">
        <v>1802.1</v>
      </c>
      <c r="O5" s="36">
        <v>1926.56</v>
      </c>
      <c r="P5" s="36">
        <v>1601.25</v>
      </c>
      <c r="Q5" s="36">
        <v>506.51</v>
      </c>
      <c r="R5" s="36">
        <v>1858.43</v>
      </c>
      <c r="S5" s="36">
        <v>126.48</v>
      </c>
      <c r="T5" s="36">
        <v>0</v>
      </c>
      <c r="U5" s="36">
        <v>0</v>
      </c>
      <c r="V5" s="37">
        <f>SUM(BASE_ADM[[#This Row],[jan]:[dez]])</f>
        <v>9920.85</v>
      </c>
      <c r="W5" s="38">
        <f>SUM(BASE_ADM[[#This Row],[jan]:[dez]])/12</f>
        <v>826.73750000000007</v>
      </c>
      <c r="X5" s="38" t="str">
        <f>_xlfn.CONCAT(LEFT(BASE_ADM[[#This Row],[CONTA CONTABIL]],7),LEFT(BASE_ADM[[#This Row],[CENTRO DE CUSTOS]],5))</f>
        <v>430001823210</v>
      </c>
      <c r="Y5" s="36" cm="1">
        <f t="array" ref="Y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6" spans="1:25" hidden="1">
      <c r="A6" s="6"/>
      <c r="B6" s="5" t="s">
        <v>1</v>
      </c>
      <c r="C6" s="6" t="s">
        <v>719</v>
      </c>
      <c r="D6" s="6" t="s">
        <v>719</v>
      </c>
      <c r="E6" s="5" t="s">
        <v>22</v>
      </c>
      <c r="F6" s="6" t="s">
        <v>720</v>
      </c>
      <c r="G6" s="12" t="s">
        <v>28</v>
      </c>
      <c r="H6" s="6"/>
      <c r="I6" s="13">
        <v>2021</v>
      </c>
      <c r="J6" s="39">
        <v>0</v>
      </c>
      <c r="K6" s="36">
        <v>1130.9000000000003</v>
      </c>
      <c r="L6" s="36">
        <v>58.5</v>
      </c>
      <c r="M6" s="36">
        <v>1515.4</v>
      </c>
      <c r="N6" s="36">
        <v>1582.91</v>
      </c>
      <c r="O6" s="36">
        <v>1240.5400000000002</v>
      </c>
      <c r="P6" s="36">
        <v>1304.3900000000003</v>
      </c>
      <c r="Q6" s="36">
        <v>0</v>
      </c>
      <c r="R6" s="36">
        <v>71</v>
      </c>
      <c r="S6" s="36">
        <v>50</v>
      </c>
      <c r="T6" s="36">
        <v>2248.29</v>
      </c>
      <c r="U6" s="36">
        <v>1048.6999999999998</v>
      </c>
      <c r="V6" s="37">
        <f>SUM(BASE_ADM[[#This Row],[jan]:[dez]])</f>
        <v>10250.630000000001</v>
      </c>
      <c r="W6" s="38">
        <f>SUM(BASE_ADM[[#This Row],[jan]:[dez]])/12</f>
        <v>854.21916666666675</v>
      </c>
      <c r="X6" s="38" t="str">
        <f>_xlfn.CONCAT(LEFT(BASE_ADM[[#This Row],[CONTA CONTABIL]],7),LEFT(BASE_ADM[[#This Row],[CENTRO DE CUSTOS]],5))</f>
        <v>430001823210</v>
      </c>
      <c r="Y6" s="36" cm="1">
        <f t="array" ref="Y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7" spans="1:25" hidden="1">
      <c r="A7" s="6"/>
      <c r="B7" s="5" t="s">
        <v>1</v>
      </c>
      <c r="C7" s="6" t="s">
        <v>719</v>
      </c>
      <c r="D7" s="6" t="s">
        <v>719</v>
      </c>
      <c r="E7" s="5" t="s">
        <v>22</v>
      </c>
      <c r="F7" s="6" t="s">
        <v>720</v>
      </c>
      <c r="G7" s="12" t="s">
        <v>28</v>
      </c>
      <c r="H7" s="6"/>
      <c r="I7" s="13">
        <v>2022</v>
      </c>
      <c r="J7" s="39">
        <v>825.12</v>
      </c>
      <c r="K7" s="36">
        <v>1074.06</v>
      </c>
      <c r="L7" s="36">
        <v>653.44999999999993</v>
      </c>
      <c r="M7" s="36">
        <v>925.56999999999994</v>
      </c>
      <c r="N7" s="36">
        <v>133.57999999999998</v>
      </c>
      <c r="O7" s="36">
        <v>1334.43</v>
      </c>
      <c r="P7" s="36">
        <v>2131.54</v>
      </c>
      <c r="Q7" s="36">
        <v>1770</v>
      </c>
      <c r="R7" s="36">
        <v>784.06</v>
      </c>
      <c r="S7" s="36">
        <v>1206.2900000000002</v>
      </c>
      <c r="T7" s="36">
        <v>355.8</v>
      </c>
      <c r="U7" s="36">
        <v>578.29999999999995</v>
      </c>
      <c r="V7" s="37">
        <f>SUM(BASE_ADM[[#This Row],[jan]:[dez]])</f>
        <v>11772.199999999999</v>
      </c>
      <c r="W7" s="38">
        <f>SUM(BASE_ADM[[#This Row],[jan]:[dez]])/12</f>
        <v>981.01666666666654</v>
      </c>
      <c r="X7" s="38" t="str">
        <f>_xlfn.CONCAT(LEFT(BASE_ADM[[#This Row],[CONTA CONTABIL]],7),LEFT(BASE_ADM[[#This Row],[CENTRO DE CUSTOS]],5))</f>
        <v>430001823210</v>
      </c>
      <c r="Y7" s="36" cm="1">
        <f t="array" ref="Y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8" spans="1:25" hidden="1">
      <c r="A8" s="6"/>
      <c r="B8" s="5" t="s">
        <v>1</v>
      </c>
      <c r="C8" s="6" t="s">
        <v>719</v>
      </c>
      <c r="D8" s="6" t="s">
        <v>719</v>
      </c>
      <c r="E8" s="5" t="s">
        <v>22</v>
      </c>
      <c r="F8" s="6" t="s">
        <v>720</v>
      </c>
      <c r="G8" s="12" t="s">
        <v>28</v>
      </c>
      <c r="H8" s="6"/>
      <c r="I8" s="13">
        <v>2023</v>
      </c>
      <c r="J8" s="39">
        <v>745.90999999999985</v>
      </c>
      <c r="K8" s="36">
        <v>943</v>
      </c>
      <c r="L8" s="36">
        <v>2212.06</v>
      </c>
      <c r="M8" s="36">
        <v>1886.0899999999997</v>
      </c>
      <c r="N8" s="36">
        <v>194.09999999999997</v>
      </c>
      <c r="O8" s="36">
        <v>882.7</v>
      </c>
      <c r="P8" s="36">
        <v>2181.0300000000002</v>
      </c>
      <c r="Q8" s="36">
        <v>176.5</v>
      </c>
      <c r="R8" s="36">
        <v>25</v>
      </c>
      <c r="S8" s="36">
        <v>4474.4900000000007</v>
      </c>
      <c r="T8" s="36">
        <v>1287.2299999999996</v>
      </c>
      <c r="U8" s="36">
        <v>0</v>
      </c>
      <c r="V8" s="37">
        <f>SUM(BASE_ADM[[#This Row],[jan]:[dez]])</f>
        <v>15008.11</v>
      </c>
      <c r="W8" s="38">
        <f>SUM(BASE_ADM[[#This Row],[jan]:[dez]])/12</f>
        <v>1250.6758333333335</v>
      </c>
      <c r="X8" s="38" t="str">
        <f>_xlfn.CONCAT(LEFT(BASE_ADM[[#This Row],[CONTA CONTABIL]],7),LEFT(BASE_ADM[[#This Row],[CENTRO DE CUSTOS]],5))</f>
        <v>430001823210</v>
      </c>
      <c r="Y8" s="36" cm="1">
        <f t="array" ref="Y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9" spans="1:25" hidden="1">
      <c r="A9" s="6"/>
      <c r="B9" s="5" t="s">
        <v>1</v>
      </c>
      <c r="C9" s="6" t="s">
        <v>719</v>
      </c>
      <c r="D9" s="6" t="s">
        <v>719</v>
      </c>
      <c r="E9" s="5" t="s">
        <v>22</v>
      </c>
      <c r="F9" s="6" t="s">
        <v>720</v>
      </c>
      <c r="G9" s="12" t="s">
        <v>28</v>
      </c>
      <c r="H9" s="6"/>
      <c r="I9" s="13">
        <v>2024</v>
      </c>
      <c r="J9" s="39">
        <v>399</v>
      </c>
      <c r="K9" s="36">
        <v>2494.3199999999997</v>
      </c>
      <c r="L9" s="36">
        <v>1182.02</v>
      </c>
      <c r="M9" s="36">
        <v>1031.99</v>
      </c>
      <c r="N9" s="36">
        <v>1287.58</v>
      </c>
      <c r="O9" s="36">
        <v>2441.5500000000002</v>
      </c>
      <c r="P9" s="36">
        <v>1627.1399999999999</v>
      </c>
      <c r="Q9" s="36">
        <v>1301.4600000000003</v>
      </c>
      <c r="R9" s="36">
        <v>1424.71</v>
      </c>
      <c r="S9" s="36">
        <v>1284</v>
      </c>
      <c r="T9" s="36">
        <v>6629.8300000000008</v>
      </c>
      <c r="U9" s="36">
        <v>693.33</v>
      </c>
      <c r="V9" s="37">
        <f>SUM(BASE_ADM[[#This Row],[jan]:[dez]])</f>
        <v>21796.930000000004</v>
      </c>
      <c r="W9" s="38">
        <f>SUM(BASE_ADM[[#This Row],[jan]:[dez]])/12</f>
        <v>1816.4108333333336</v>
      </c>
      <c r="X9" s="38" t="str">
        <f>_xlfn.CONCAT(LEFT(BASE_ADM[[#This Row],[CONTA CONTABIL]],7),LEFT(BASE_ADM[[#This Row],[CENTRO DE CUSTOS]],5))</f>
        <v>430001823210</v>
      </c>
      <c r="Y9" s="36" cm="1">
        <f t="array" ref="Y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10" spans="1:25" hidden="1">
      <c r="A10" s="6"/>
      <c r="B10" s="5" t="s">
        <v>1</v>
      </c>
      <c r="C10" s="6" t="s">
        <v>719</v>
      </c>
      <c r="D10" s="6" t="s">
        <v>719</v>
      </c>
      <c r="E10" s="5" t="s">
        <v>22</v>
      </c>
      <c r="F10" s="6" t="s">
        <v>720</v>
      </c>
      <c r="G10" s="12" t="s">
        <v>28</v>
      </c>
      <c r="H10" s="6"/>
      <c r="I10" s="13">
        <v>2025</v>
      </c>
      <c r="J10" s="39">
        <v>1288.6599999999999</v>
      </c>
      <c r="K10" s="36">
        <v>2518.73</v>
      </c>
      <c r="L10" s="36">
        <v>3063.3599999999997</v>
      </c>
      <c r="M10" s="36">
        <v>10547.01</v>
      </c>
      <c r="N10" s="36">
        <v>4173.7</v>
      </c>
      <c r="O10" s="36">
        <v>2227.5100000000002</v>
      </c>
      <c r="P10" s="36">
        <v>2261.8399999999992</v>
      </c>
      <c r="Q10" s="36">
        <v>3801.28</v>
      </c>
      <c r="R10" s="36">
        <v>2153.98</v>
      </c>
      <c r="S10" s="36">
        <v>1358.98</v>
      </c>
      <c r="T10" s="36">
        <v>1421.98</v>
      </c>
      <c r="U10" s="36">
        <v>1592.98</v>
      </c>
      <c r="V10" s="37">
        <f>SUM(BASE_ADM[[#This Row],[jan]:[dez]])</f>
        <v>36410.010000000009</v>
      </c>
      <c r="W10" s="38">
        <f>SUM(BASE_ADM[[#This Row],[jan]:[dez]])/12</f>
        <v>3034.1675000000009</v>
      </c>
      <c r="X10" s="38" t="str">
        <f>_xlfn.CONCAT(LEFT(BASE_ADM[[#This Row],[CONTA CONTABIL]],7),LEFT(BASE_ADM[[#This Row],[CENTRO DE CUSTOS]],5))</f>
        <v>430001823210</v>
      </c>
      <c r="Y10" s="36" cm="1">
        <f t="array" ref="Y1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11" spans="1:25" hidden="1">
      <c r="A11" s="6"/>
      <c r="B11" s="241" t="s">
        <v>1</v>
      </c>
      <c r="C11" s="242" t="s">
        <v>719</v>
      </c>
      <c r="D11" s="242" t="s">
        <v>719</v>
      </c>
      <c r="E11" s="241" t="s">
        <v>22</v>
      </c>
      <c r="F11" s="242" t="s">
        <v>720</v>
      </c>
      <c r="G11" s="243" t="s">
        <v>28</v>
      </c>
      <c r="H11" s="242" t="s">
        <v>725</v>
      </c>
      <c r="I11" s="244" t="s">
        <v>103</v>
      </c>
      <c r="J11" s="245">
        <v>2865.3</v>
      </c>
      <c r="K11" s="246">
        <v>3460.3</v>
      </c>
      <c r="L11" s="246">
        <v>4055.3</v>
      </c>
      <c r="M11" s="246">
        <v>3363.3</v>
      </c>
      <c r="N11" s="246">
        <v>3460.3</v>
      </c>
      <c r="O11" s="246">
        <v>2865.3</v>
      </c>
      <c r="P11" s="246">
        <v>4055.3</v>
      </c>
      <c r="Q11" s="246">
        <v>2865.3</v>
      </c>
      <c r="R11" s="246">
        <v>3958.3</v>
      </c>
      <c r="S11" s="246">
        <v>3460.3</v>
      </c>
      <c r="T11" s="246">
        <v>3460.3</v>
      </c>
      <c r="U11" s="246">
        <v>3460.3</v>
      </c>
      <c r="V11" s="247">
        <f>SUM(BASE_ADM[[#This Row],[jan]:[dez]])</f>
        <v>41329.600000000006</v>
      </c>
      <c r="W11" s="247">
        <f>SUM(BASE_ADM[[#This Row],[jan]:[dez]])/12</f>
        <v>3444.1333333333337</v>
      </c>
      <c r="X11" s="247" t="str">
        <f>_xlfn.CONCAT(LEFT(BASE_ADM[[#This Row],[CONTA CONTABIL]],7),LEFT(BASE_ADM[[#This Row],[CENTRO DE CUSTOS]],5))</f>
        <v>430001823210</v>
      </c>
      <c r="Y11" s="246" cm="1">
        <f t="array" ref="Y1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12" spans="1:25" hidden="1">
      <c r="A12" s="6"/>
      <c r="B12" s="5" t="s">
        <v>1</v>
      </c>
      <c r="C12" s="6" t="s">
        <v>719</v>
      </c>
      <c r="D12" s="6" t="s">
        <v>719</v>
      </c>
      <c r="E12" s="5" t="s">
        <v>22</v>
      </c>
      <c r="F12" s="6" t="s">
        <v>720</v>
      </c>
      <c r="G12" s="12" t="s">
        <v>27</v>
      </c>
      <c r="H12" s="6"/>
      <c r="I12" s="13">
        <v>2018</v>
      </c>
      <c r="J12" s="39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260.87</v>
      </c>
      <c r="S12" s="36">
        <v>0</v>
      </c>
      <c r="T12" s="36">
        <v>0</v>
      </c>
      <c r="U12" s="36">
        <v>0</v>
      </c>
      <c r="V12" s="37">
        <f>SUM(BASE_ADM[[#This Row],[jan]:[dez]])</f>
        <v>260.87</v>
      </c>
      <c r="W12" s="38">
        <f>SUM(BASE_ADM[[#This Row],[jan]:[dez]])/12</f>
        <v>21.739166666666666</v>
      </c>
      <c r="X12" s="38" t="str">
        <f>_xlfn.CONCAT(LEFT(BASE_ADM[[#This Row],[CONTA CONTABIL]],7),LEFT(BASE_ADM[[#This Row],[CENTRO DE CUSTOS]],5))</f>
        <v>430003723210</v>
      </c>
      <c r="Y12" s="36" cm="1">
        <f t="array" ref="Y1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" spans="1:25" hidden="1">
      <c r="A13" s="6"/>
      <c r="B13" s="5" t="s">
        <v>1</v>
      </c>
      <c r="C13" s="6" t="s">
        <v>719</v>
      </c>
      <c r="D13" s="6" t="s">
        <v>719</v>
      </c>
      <c r="E13" s="5" t="s">
        <v>22</v>
      </c>
      <c r="F13" s="6" t="s">
        <v>720</v>
      </c>
      <c r="G13" s="12" t="s">
        <v>27</v>
      </c>
      <c r="H13" s="6"/>
      <c r="I13" s="13">
        <v>2020</v>
      </c>
      <c r="J13" s="39">
        <v>0</v>
      </c>
      <c r="K13" s="36">
        <v>0</v>
      </c>
      <c r="L13" s="36">
        <v>665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7">
        <f>SUM(BASE_ADM[[#This Row],[jan]:[dez]])</f>
        <v>665</v>
      </c>
      <c r="W13" s="38">
        <f>SUM(BASE_ADM[[#This Row],[jan]:[dez]])/12</f>
        <v>55.416666666666664</v>
      </c>
      <c r="X13" s="38" t="str">
        <f>_xlfn.CONCAT(LEFT(BASE_ADM[[#This Row],[CONTA CONTABIL]],7),LEFT(BASE_ADM[[#This Row],[CENTRO DE CUSTOS]],5))</f>
        <v>430003723210</v>
      </c>
      <c r="Y13" s="36" cm="1">
        <f t="array" ref="Y1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" spans="1:25" hidden="1">
      <c r="A14" s="6"/>
      <c r="B14" s="5" t="s">
        <v>1</v>
      </c>
      <c r="C14" s="6" t="s">
        <v>719</v>
      </c>
      <c r="D14" s="6" t="s">
        <v>719</v>
      </c>
      <c r="E14" s="5" t="s">
        <v>22</v>
      </c>
      <c r="F14" s="6" t="s">
        <v>720</v>
      </c>
      <c r="G14" s="12" t="s">
        <v>26</v>
      </c>
      <c r="H14" s="6"/>
      <c r="I14" s="13">
        <v>2024</v>
      </c>
      <c r="J14" s="39">
        <v>0</v>
      </c>
      <c r="K14" s="36">
        <v>0</v>
      </c>
      <c r="L14" s="36">
        <v>0</v>
      </c>
      <c r="M14" s="36">
        <v>0</v>
      </c>
      <c r="N14" s="36">
        <v>300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7">
        <f>SUM(BASE_ADM[[#This Row],[jan]:[dez]])</f>
        <v>300</v>
      </c>
      <c r="W14" s="38">
        <f>SUM(BASE_ADM[[#This Row],[jan]:[dez]])/12</f>
        <v>25</v>
      </c>
      <c r="X14" s="38" t="str">
        <f>_xlfn.CONCAT(LEFT(BASE_ADM[[#This Row],[CONTA CONTABIL]],7),LEFT(BASE_ADM[[#This Row],[CENTRO DE CUSTOS]],5))</f>
        <v>430003823210</v>
      </c>
      <c r="Y14" s="36" cm="1">
        <f t="array" ref="Y1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5" spans="1:25" hidden="1">
      <c r="A15" s="6"/>
      <c r="B15" s="5" t="s">
        <v>1</v>
      </c>
      <c r="C15" s="6" t="s">
        <v>719</v>
      </c>
      <c r="D15" s="6" t="s">
        <v>719</v>
      </c>
      <c r="E15" s="5" t="s">
        <v>22</v>
      </c>
      <c r="F15" s="6" t="s">
        <v>720</v>
      </c>
      <c r="G15" s="12" t="s">
        <v>26</v>
      </c>
      <c r="H15" s="6"/>
      <c r="I15" s="13">
        <v>2025</v>
      </c>
      <c r="J15" s="39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7">
        <f>SUM(BASE_ADM[[#This Row],[jan]:[dez]])</f>
        <v>0</v>
      </c>
      <c r="W15" s="38">
        <f>SUM(BASE_ADM[[#This Row],[jan]:[dez]])/12</f>
        <v>0</v>
      </c>
      <c r="X15" s="38" t="str">
        <f>_xlfn.CONCAT(LEFT(BASE_ADM[[#This Row],[CONTA CONTABIL]],7),LEFT(BASE_ADM[[#This Row],[CENTRO DE CUSTOS]],5))</f>
        <v>430003823210</v>
      </c>
      <c r="Y15" s="36" cm="1">
        <f t="array" ref="Y1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6" spans="1:25" hidden="1">
      <c r="A16" s="6"/>
      <c r="B16" s="241" t="s">
        <v>1</v>
      </c>
      <c r="C16" s="242" t="s">
        <v>719</v>
      </c>
      <c r="D16" s="242" t="s">
        <v>719</v>
      </c>
      <c r="E16" s="241" t="s">
        <v>22</v>
      </c>
      <c r="F16" s="242" t="s">
        <v>720</v>
      </c>
      <c r="G16" s="243" t="s">
        <v>26</v>
      </c>
      <c r="H16" s="242" t="s">
        <v>725</v>
      </c>
      <c r="I16" s="244" t="s">
        <v>103</v>
      </c>
      <c r="J16" s="245">
        <v>0</v>
      </c>
      <c r="K16" s="246">
        <v>0</v>
      </c>
      <c r="L16" s="246"/>
      <c r="M16" s="246">
        <v>0</v>
      </c>
      <c r="N16" s="246">
        <v>0</v>
      </c>
      <c r="O16" s="246"/>
      <c r="P16" s="246">
        <v>0</v>
      </c>
      <c r="Q16" s="246">
        <v>0</v>
      </c>
      <c r="R16" s="246">
        <v>0</v>
      </c>
      <c r="S16" s="246"/>
      <c r="T16" s="246">
        <v>0</v>
      </c>
      <c r="U16" s="246">
        <v>0</v>
      </c>
      <c r="V16" s="247">
        <f>SUM(BASE_ADM[[#This Row],[jan]:[dez]])</f>
        <v>0</v>
      </c>
      <c r="W16" s="247">
        <f>SUM(BASE_ADM[[#This Row],[jan]:[dez]])/12</f>
        <v>0</v>
      </c>
      <c r="X16" s="247" t="str">
        <f>_xlfn.CONCAT(LEFT(BASE_ADM[[#This Row],[CONTA CONTABIL]],7),LEFT(BASE_ADM[[#This Row],[CENTRO DE CUSTOS]],5))</f>
        <v>430003823210</v>
      </c>
      <c r="Y16" s="246" cm="1">
        <f t="array" ref="Y1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7" spans="1:25" hidden="1">
      <c r="A17" s="6"/>
      <c r="B17" s="5" t="s">
        <v>1</v>
      </c>
      <c r="C17" s="6" t="s">
        <v>719</v>
      </c>
      <c r="D17" s="6" t="s">
        <v>719</v>
      </c>
      <c r="E17" s="5" t="s">
        <v>22</v>
      </c>
      <c r="F17" s="6" t="s">
        <v>720</v>
      </c>
      <c r="G17" s="12" t="s">
        <v>25</v>
      </c>
      <c r="H17" s="6"/>
      <c r="I17" s="13">
        <v>2018</v>
      </c>
      <c r="J17" s="39">
        <v>518.68000000000006</v>
      </c>
      <c r="K17" s="36">
        <v>319.24</v>
      </c>
      <c r="L17" s="36">
        <v>664.7</v>
      </c>
      <c r="M17" s="36">
        <v>370.61</v>
      </c>
      <c r="N17" s="36">
        <v>1148.7899999999997</v>
      </c>
      <c r="O17" s="36">
        <v>199.19000000000003</v>
      </c>
      <c r="P17" s="36">
        <v>1194.6199999999999</v>
      </c>
      <c r="Q17" s="36">
        <v>57.269999999999996</v>
      </c>
      <c r="R17" s="36">
        <v>75.34</v>
      </c>
      <c r="S17" s="36">
        <v>768.6400000000001</v>
      </c>
      <c r="T17" s="36">
        <v>740.22</v>
      </c>
      <c r="U17" s="36">
        <v>719.4</v>
      </c>
      <c r="V17" s="37">
        <f>SUM(BASE_ADM[[#This Row],[jan]:[dez]])</f>
        <v>6776.7000000000007</v>
      </c>
      <c r="W17" s="38">
        <f>SUM(BASE_ADM[[#This Row],[jan]:[dez]])/12</f>
        <v>564.72500000000002</v>
      </c>
      <c r="X17" s="38" t="str">
        <f>_xlfn.CONCAT(LEFT(BASE_ADM[[#This Row],[CONTA CONTABIL]],7),LEFT(BASE_ADM[[#This Row],[CENTRO DE CUSTOS]],5))</f>
        <v>430004023210</v>
      </c>
      <c r="Y17" s="36" cm="1">
        <f t="array" ref="Y1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18" spans="1:25" hidden="1">
      <c r="A18" s="6"/>
      <c r="B18" s="5" t="s">
        <v>1</v>
      </c>
      <c r="C18" s="6" t="s">
        <v>719</v>
      </c>
      <c r="D18" s="6" t="s">
        <v>719</v>
      </c>
      <c r="E18" s="5" t="s">
        <v>22</v>
      </c>
      <c r="F18" s="6" t="s">
        <v>720</v>
      </c>
      <c r="G18" s="12" t="s">
        <v>25</v>
      </c>
      <c r="H18" s="6"/>
      <c r="I18" s="13">
        <v>2019</v>
      </c>
      <c r="J18" s="39">
        <v>656.05000000000007</v>
      </c>
      <c r="K18" s="36">
        <v>871.56</v>
      </c>
      <c r="L18" s="36">
        <v>186.83</v>
      </c>
      <c r="M18" s="36">
        <v>824.67</v>
      </c>
      <c r="N18" s="36">
        <v>407.91</v>
      </c>
      <c r="O18" s="36">
        <v>479.01</v>
      </c>
      <c r="P18" s="36">
        <v>538.4899999999999</v>
      </c>
      <c r="Q18" s="36">
        <v>1440.0499999999997</v>
      </c>
      <c r="R18" s="36">
        <v>0</v>
      </c>
      <c r="S18" s="36">
        <v>577.95000000000005</v>
      </c>
      <c r="T18" s="36">
        <v>446.13000000000005</v>
      </c>
      <c r="U18" s="36">
        <v>621.31999999999994</v>
      </c>
      <c r="V18" s="37">
        <f>SUM(BASE_ADM[[#This Row],[jan]:[dez]])</f>
        <v>7049.9699999999993</v>
      </c>
      <c r="W18" s="38">
        <f>SUM(BASE_ADM[[#This Row],[jan]:[dez]])/12</f>
        <v>587.49749999999995</v>
      </c>
      <c r="X18" s="38" t="str">
        <f>_xlfn.CONCAT(LEFT(BASE_ADM[[#This Row],[CONTA CONTABIL]],7),LEFT(BASE_ADM[[#This Row],[CENTRO DE CUSTOS]],5))</f>
        <v>430004023210</v>
      </c>
      <c r="Y18" s="36" cm="1">
        <f t="array" ref="Y1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19" spans="1:25" hidden="1">
      <c r="A19" s="6"/>
      <c r="B19" s="5" t="s">
        <v>1</v>
      </c>
      <c r="C19" s="6" t="s">
        <v>719</v>
      </c>
      <c r="D19" s="6" t="s">
        <v>719</v>
      </c>
      <c r="E19" s="5" t="s">
        <v>22</v>
      </c>
      <c r="F19" s="6" t="s">
        <v>720</v>
      </c>
      <c r="G19" s="12" t="s">
        <v>25</v>
      </c>
      <c r="H19" s="6"/>
      <c r="I19" s="13">
        <v>2020</v>
      </c>
      <c r="J19" s="39">
        <v>635.85000000000014</v>
      </c>
      <c r="K19" s="36">
        <v>666.56</v>
      </c>
      <c r="L19" s="36">
        <v>975.11000000000024</v>
      </c>
      <c r="M19" s="36">
        <v>742.19</v>
      </c>
      <c r="N19" s="36">
        <v>325.01</v>
      </c>
      <c r="O19" s="36">
        <v>820.0100000000001</v>
      </c>
      <c r="P19" s="36">
        <v>992.36</v>
      </c>
      <c r="Q19" s="36">
        <v>483.05999999999995</v>
      </c>
      <c r="R19" s="36">
        <v>928.74</v>
      </c>
      <c r="S19" s="36">
        <v>71.38</v>
      </c>
      <c r="T19" s="36">
        <v>729.24</v>
      </c>
      <c r="U19" s="36">
        <v>339.81</v>
      </c>
      <c r="V19" s="37">
        <f>SUM(BASE_ADM[[#This Row],[jan]:[dez]])</f>
        <v>7709.32</v>
      </c>
      <c r="W19" s="38">
        <f>SUM(BASE_ADM[[#This Row],[jan]:[dez]])/12</f>
        <v>642.44333333333327</v>
      </c>
      <c r="X19" s="38" t="str">
        <f>_xlfn.CONCAT(LEFT(BASE_ADM[[#This Row],[CONTA CONTABIL]],7),LEFT(BASE_ADM[[#This Row],[CENTRO DE CUSTOS]],5))</f>
        <v>430004023210</v>
      </c>
      <c r="Y19" s="36" cm="1">
        <f t="array" ref="Y1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0" spans="1:25" hidden="1">
      <c r="A20" s="6"/>
      <c r="B20" s="5" t="s">
        <v>1</v>
      </c>
      <c r="C20" s="6" t="s">
        <v>719</v>
      </c>
      <c r="D20" s="6" t="s">
        <v>719</v>
      </c>
      <c r="E20" s="5" t="s">
        <v>22</v>
      </c>
      <c r="F20" s="6" t="s">
        <v>720</v>
      </c>
      <c r="G20" s="12" t="s">
        <v>25</v>
      </c>
      <c r="H20" s="6"/>
      <c r="I20" s="13">
        <v>2021</v>
      </c>
      <c r="J20" s="39">
        <v>665.43999999999994</v>
      </c>
      <c r="K20" s="36">
        <v>989.03000000000009</v>
      </c>
      <c r="L20" s="36">
        <v>2285.4799999999996</v>
      </c>
      <c r="M20" s="36">
        <v>1385.33</v>
      </c>
      <c r="N20" s="36">
        <v>1317.4300000000003</v>
      </c>
      <c r="O20" s="36">
        <v>1065.8700000000001</v>
      </c>
      <c r="P20" s="36">
        <v>1202.5600000000002</v>
      </c>
      <c r="Q20" s="36">
        <v>608.72</v>
      </c>
      <c r="R20" s="36">
        <v>1016.3900000000001</v>
      </c>
      <c r="S20" s="36">
        <v>764.73</v>
      </c>
      <c r="T20" s="36">
        <v>1017.6100000000001</v>
      </c>
      <c r="U20" s="36">
        <v>998.13999999999987</v>
      </c>
      <c r="V20" s="37">
        <f>SUM(BASE_ADM[[#This Row],[jan]:[dez]])</f>
        <v>13316.729999999998</v>
      </c>
      <c r="W20" s="38">
        <f>SUM(BASE_ADM[[#This Row],[jan]:[dez]])/12</f>
        <v>1109.7274999999997</v>
      </c>
      <c r="X20" s="38" t="str">
        <f>_xlfn.CONCAT(LEFT(BASE_ADM[[#This Row],[CONTA CONTABIL]],7),LEFT(BASE_ADM[[#This Row],[CENTRO DE CUSTOS]],5))</f>
        <v>430004023210</v>
      </c>
      <c r="Y20" s="36" cm="1">
        <f t="array" ref="Y2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1" spans="1:25" hidden="1">
      <c r="A21" s="6"/>
      <c r="B21" s="5" t="s">
        <v>1</v>
      </c>
      <c r="C21" s="6" t="s">
        <v>719</v>
      </c>
      <c r="D21" s="6" t="s">
        <v>719</v>
      </c>
      <c r="E21" s="5" t="s">
        <v>22</v>
      </c>
      <c r="F21" s="6" t="s">
        <v>720</v>
      </c>
      <c r="G21" s="12" t="s">
        <v>25</v>
      </c>
      <c r="H21" s="6"/>
      <c r="I21" s="13">
        <v>2022</v>
      </c>
      <c r="J21" s="39">
        <v>1167.5900000000004</v>
      </c>
      <c r="K21" s="36">
        <v>665.55000000000007</v>
      </c>
      <c r="L21" s="36">
        <v>985.16999999999985</v>
      </c>
      <c r="M21" s="36">
        <v>985.16999999999985</v>
      </c>
      <c r="N21" s="36">
        <v>137.43</v>
      </c>
      <c r="O21" s="36">
        <v>1210.56</v>
      </c>
      <c r="P21" s="36">
        <v>2042.3999999999999</v>
      </c>
      <c r="Q21" s="36">
        <v>1245</v>
      </c>
      <c r="R21" s="36">
        <v>1549.6200000000001</v>
      </c>
      <c r="S21" s="36">
        <v>1257.6500000000001</v>
      </c>
      <c r="T21" s="36">
        <v>1006.2199999999999</v>
      </c>
      <c r="U21" s="36">
        <v>78.139999999999986</v>
      </c>
      <c r="V21" s="37">
        <f>SUM(BASE_ADM[[#This Row],[jan]:[dez]])</f>
        <v>12330.499999999998</v>
      </c>
      <c r="W21" s="38">
        <f>SUM(BASE_ADM[[#This Row],[jan]:[dez]])/12</f>
        <v>1027.5416666666665</v>
      </c>
      <c r="X21" s="38" t="str">
        <f>_xlfn.CONCAT(LEFT(BASE_ADM[[#This Row],[CONTA CONTABIL]],7),LEFT(BASE_ADM[[#This Row],[CENTRO DE CUSTOS]],5))</f>
        <v>430004023210</v>
      </c>
      <c r="Y21" s="36" cm="1">
        <f t="array" ref="Y2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2" spans="1:25" hidden="1">
      <c r="A22" s="6"/>
      <c r="B22" s="5" t="s">
        <v>1</v>
      </c>
      <c r="C22" s="6" t="s">
        <v>719</v>
      </c>
      <c r="D22" s="6" t="s">
        <v>719</v>
      </c>
      <c r="E22" s="5" t="s">
        <v>22</v>
      </c>
      <c r="F22" s="6" t="s">
        <v>720</v>
      </c>
      <c r="G22" s="12" t="s">
        <v>25</v>
      </c>
      <c r="H22" s="6"/>
      <c r="I22" s="13">
        <v>2023</v>
      </c>
      <c r="J22" s="39">
        <v>2108.64</v>
      </c>
      <c r="K22" s="36">
        <v>246</v>
      </c>
      <c r="L22" s="36">
        <v>0</v>
      </c>
      <c r="M22" s="36">
        <v>0</v>
      </c>
      <c r="N22" s="36">
        <v>0</v>
      </c>
      <c r="O22" s="36">
        <v>1117.8499999999999</v>
      </c>
      <c r="P22" s="36">
        <v>0</v>
      </c>
      <c r="Q22" s="36">
        <v>0</v>
      </c>
      <c r="R22" s="36">
        <v>0</v>
      </c>
      <c r="S22" s="36">
        <v>1171.9000000000001</v>
      </c>
      <c r="T22" s="36">
        <v>0</v>
      </c>
      <c r="U22" s="36">
        <v>572.06999999999994</v>
      </c>
      <c r="V22" s="37">
        <f>SUM(BASE_ADM[[#This Row],[jan]:[dez]])</f>
        <v>5216.4599999999991</v>
      </c>
      <c r="W22" s="38">
        <f>SUM(BASE_ADM[[#This Row],[jan]:[dez]])/12</f>
        <v>434.70499999999993</v>
      </c>
      <c r="X22" s="38" t="str">
        <f>_xlfn.CONCAT(LEFT(BASE_ADM[[#This Row],[CONTA CONTABIL]],7),LEFT(BASE_ADM[[#This Row],[CENTRO DE CUSTOS]],5))</f>
        <v>430004023210</v>
      </c>
      <c r="Y22" s="36" cm="1">
        <f t="array" ref="Y2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3" spans="1:25" hidden="1">
      <c r="A23" s="6"/>
      <c r="B23" s="5" t="s">
        <v>1</v>
      </c>
      <c r="C23" s="6" t="s">
        <v>719</v>
      </c>
      <c r="D23" s="6" t="s">
        <v>719</v>
      </c>
      <c r="E23" s="5" t="s">
        <v>22</v>
      </c>
      <c r="F23" s="6" t="s">
        <v>720</v>
      </c>
      <c r="G23" s="12" t="s">
        <v>25</v>
      </c>
      <c r="H23" s="6"/>
      <c r="I23" s="13">
        <v>2024</v>
      </c>
      <c r="J23" s="39">
        <v>0</v>
      </c>
      <c r="K23" s="36">
        <v>0</v>
      </c>
      <c r="L23" s="36">
        <v>311.27</v>
      </c>
      <c r="M23" s="36">
        <v>0</v>
      </c>
      <c r="N23" s="36">
        <v>218</v>
      </c>
      <c r="O23" s="36">
        <v>269.39999999999998</v>
      </c>
      <c r="P23" s="36">
        <v>886.53</v>
      </c>
      <c r="Q23" s="36">
        <v>0</v>
      </c>
      <c r="R23" s="36">
        <v>10.029999999999999</v>
      </c>
      <c r="S23" s="36">
        <v>0</v>
      </c>
      <c r="T23" s="36">
        <v>464.45</v>
      </c>
      <c r="U23" s="36">
        <v>679.58000000000015</v>
      </c>
      <c r="V23" s="37">
        <f>SUM(BASE_ADM[[#This Row],[jan]:[dez]])</f>
        <v>2839.26</v>
      </c>
      <c r="W23" s="38">
        <f>SUM(BASE_ADM[[#This Row],[jan]:[dez]])/12</f>
        <v>236.60500000000002</v>
      </c>
      <c r="X23" s="38" t="str">
        <f>_xlfn.CONCAT(LEFT(BASE_ADM[[#This Row],[CONTA CONTABIL]],7),LEFT(BASE_ADM[[#This Row],[CENTRO DE CUSTOS]],5))</f>
        <v>430004023210</v>
      </c>
      <c r="Y23" s="36" cm="1">
        <f t="array" ref="Y2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4" spans="1:25" hidden="1">
      <c r="A24" s="6"/>
      <c r="B24" s="5" t="s">
        <v>1</v>
      </c>
      <c r="C24" s="6" t="s">
        <v>719</v>
      </c>
      <c r="D24" s="6" t="s">
        <v>719</v>
      </c>
      <c r="E24" s="5" t="s">
        <v>22</v>
      </c>
      <c r="F24" s="6" t="s">
        <v>720</v>
      </c>
      <c r="G24" s="12" t="s">
        <v>25</v>
      </c>
      <c r="H24" s="6"/>
      <c r="I24" s="13">
        <v>2025</v>
      </c>
      <c r="J24" s="39">
        <v>68.3</v>
      </c>
      <c r="K24" s="36">
        <v>475.19</v>
      </c>
      <c r="L24" s="36">
        <v>0</v>
      </c>
      <c r="M24" s="36">
        <v>34</v>
      </c>
      <c r="N24" s="36">
        <v>1465.15</v>
      </c>
      <c r="O24" s="36">
        <v>0</v>
      </c>
      <c r="P24" s="36">
        <v>0</v>
      </c>
      <c r="Q24" s="36">
        <v>43.88</v>
      </c>
      <c r="R24" s="36">
        <v>85</v>
      </c>
      <c r="S24" s="36">
        <v>275</v>
      </c>
      <c r="T24" s="36">
        <v>40</v>
      </c>
      <c r="U24" s="36">
        <v>0</v>
      </c>
      <c r="V24" s="37">
        <f>SUM(BASE_ADM[[#This Row],[jan]:[dez]])</f>
        <v>2486.52</v>
      </c>
      <c r="W24" s="38">
        <f>SUM(BASE_ADM[[#This Row],[jan]:[dez]])/12</f>
        <v>207.21</v>
      </c>
      <c r="X24" s="38" t="str">
        <f>_xlfn.CONCAT(LEFT(BASE_ADM[[#This Row],[CONTA CONTABIL]],7),LEFT(BASE_ADM[[#This Row],[CENTRO DE CUSTOS]],5))</f>
        <v>430004023210</v>
      </c>
      <c r="Y24" s="36" cm="1">
        <f t="array" ref="Y2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5" spans="1:25" hidden="1">
      <c r="A25" s="6"/>
      <c r="B25" s="241" t="s">
        <v>1</v>
      </c>
      <c r="C25" s="242" t="s">
        <v>719</v>
      </c>
      <c r="D25" s="242" t="s">
        <v>719</v>
      </c>
      <c r="E25" s="241" t="s">
        <v>22</v>
      </c>
      <c r="F25" s="242" t="s">
        <v>720</v>
      </c>
      <c r="G25" s="243" t="s">
        <v>25</v>
      </c>
      <c r="H25" s="242" t="s">
        <v>725</v>
      </c>
      <c r="I25" s="244" t="s">
        <v>103</v>
      </c>
      <c r="J25" s="245">
        <v>560</v>
      </c>
      <c r="K25" s="246">
        <v>214.53</v>
      </c>
      <c r="L25" s="246">
        <v>0</v>
      </c>
      <c r="M25" s="246">
        <v>214.53</v>
      </c>
      <c r="N25" s="246">
        <v>0</v>
      </c>
      <c r="O25" s="246">
        <v>214.53</v>
      </c>
      <c r="P25" s="246">
        <v>0</v>
      </c>
      <c r="Q25" s="246">
        <v>774.53</v>
      </c>
      <c r="R25" s="246">
        <v>0</v>
      </c>
      <c r="S25" s="246">
        <v>214.53</v>
      </c>
      <c r="T25" s="246">
        <v>0</v>
      </c>
      <c r="U25" s="246">
        <v>0</v>
      </c>
      <c r="V25" s="247">
        <f>SUM(BASE_ADM[[#This Row],[jan]:[dez]])</f>
        <v>2192.65</v>
      </c>
      <c r="W25" s="247">
        <f>SUM(BASE_ADM[[#This Row],[jan]:[dez]])/12</f>
        <v>182.72083333333333</v>
      </c>
      <c r="X25" s="247" t="str">
        <f>_xlfn.CONCAT(LEFT(BASE_ADM[[#This Row],[CONTA CONTABIL]],7),LEFT(BASE_ADM[[#This Row],[CENTRO DE CUSTOS]],5))</f>
        <v>430004023210</v>
      </c>
      <c r="Y25" s="246" cm="1">
        <f t="array" ref="Y2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6" spans="1:25" hidden="1">
      <c r="A26" s="6"/>
      <c r="B26" s="5" t="s">
        <v>1</v>
      </c>
      <c r="C26" s="6" t="s">
        <v>719</v>
      </c>
      <c r="D26" s="6" t="s">
        <v>719</v>
      </c>
      <c r="E26" s="5" t="s">
        <v>22</v>
      </c>
      <c r="F26" s="6" t="s">
        <v>720</v>
      </c>
      <c r="G26" s="12" t="s">
        <v>24</v>
      </c>
      <c r="H26" s="6"/>
      <c r="I26" s="13">
        <v>2018</v>
      </c>
      <c r="J26" s="39">
        <v>-7</v>
      </c>
      <c r="K26" s="36">
        <v>0</v>
      </c>
      <c r="L26" s="36">
        <v>0</v>
      </c>
      <c r="M26" s="36">
        <v>0</v>
      </c>
      <c r="N26" s="36">
        <v>-14</v>
      </c>
      <c r="O26" s="36">
        <v>0</v>
      </c>
      <c r="P26" s="36">
        <v>-42</v>
      </c>
      <c r="Q26" s="36">
        <v>-7</v>
      </c>
      <c r="R26" s="36">
        <v>0</v>
      </c>
      <c r="S26" s="36">
        <v>0</v>
      </c>
      <c r="T26" s="36">
        <v>0</v>
      </c>
      <c r="U26" s="36">
        <v>-14</v>
      </c>
      <c r="V26" s="37">
        <f>SUM(BASE_ADM[[#This Row],[jan]:[dez]])</f>
        <v>-84</v>
      </c>
      <c r="W26" s="38">
        <f>SUM(BASE_ADM[[#This Row],[jan]:[dez]])/12</f>
        <v>-7</v>
      </c>
      <c r="X26" s="38" t="str">
        <f>_xlfn.CONCAT(LEFT(BASE_ADM[[#This Row],[CONTA CONTABIL]],7),LEFT(BASE_ADM[[#This Row],[CENTRO DE CUSTOS]],5))</f>
        <v>430004123210</v>
      </c>
      <c r="Y26" s="36" cm="1">
        <f t="array" ref="Y2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7" spans="1:25" hidden="1">
      <c r="A27" s="6"/>
      <c r="B27" s="5" t="s">
        <v>1</v>
      </c>
      <c r="C27" s="6" t="s">
        <v>719</v>
      </c>
      <c r="D27" s="6" t="s">
        <v>719</v>
      </c>
      <c r="E27" s="5" t="s">
        <v>22</v>
      </c>
      <c r="F27" s="6" t="s">
        <v>720</v>
      </c>
      <c r="G27" s="12" t="s">
        <v>24</v>
      </c>
      <c r="H27" s="6"/>
      <c r="I27" s="13">
        <v>2019</v>
      </c>
      <c r="J27" s="39">
        <v>0</v>
      </c>
      <c r="K27" s="36">
        <v>-7</v>
      </c>
      <c r="L27" s="36">
        <v>0</v>
      </c>
      <c r="M27" s="36">
        <v>-7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7">
        <f>SUM(BASE_ADM[[#This Row],[jan]:[dez]])</f>
        <v>-14</v>
      </c>
      <c r="W27" s="38">
        <f>SUM(BASE_ADM[[#This Row],[jan]:[dez]])/12</f>
        <v>-1.1666666666666667</v>
      </c>
      <c r="X27" s="38" t="str">
        <f>_xlfn.CONCAT(LEFT(BASE_ADM[[#This Row],[CONTA CONTABIL]],7),LEFT(BASE_ADM[[#This Row],[CENTRO DE CUSTOS]],5))</f>
        <v>430004123210</v>
      </c>
      <c r="Y27" s="36" cm="1">
        <f t="array" ref="Y2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8" spans="1:25" hidden="1">
      <c r="A28" s="6"/>
      <c r="B28" s="5" t="s">
        <v>1</v>
      </c>
      <c r="C28" s="6" t="s">
        <v>719</v>
      </c>
      <c r="D28" s="6" t="s">
        <v>719</v>
      </c>
      <c r="E28" s="5" t="s">
        <v>22</v>
      </c>
      <c r="F28" s="6" t="s">
        <v>720</v>
      </c>
      <c r="G28" s="12" t="s">
        <v>24</v>
      </c>
      <c r="H28" s="6"/>
      <c r="I28" s="13">
        <v>2020</v>
      </c>
      <c r="J28" s="39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-28</v>
      </c>
      <c r="R28" s="36">
        <v>-14</v>
      </c>
      <c r="S28" s="36">
        <v>-7</v>
      </c>
      <c r="T28" s="36">
        <v>0</v>
      </c>
      <c r="U28" s="36">
        <v>-14</v>
      </c>
      <c r="V28" s="37">
        <f>SUM(BASE_ADM[[#This Row],[jan]:[dez]])</f>
        <v>-63</v>
      </c>
      <c r="W28" s="38">
        <f>SUM(BASE_ADM[[#This Row],[jan]:[dez]])/12</f>
        <v>-5.25</v>
      </c>
      <c r="X28" s="38" t="str">
        <f>_xlfn.CONCAT(LEFT(BASE_ADM[[#This Row],[CONTA CONTABIL]],7),LEFT(BASE_ADM[[#This Row],[CENTRO DE CUSTOS]],5))</f>
        <v>430004123210</v>
      </c>
      <c r="Y28" s="36" cm="1">
        <f t="array" ref="Y2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9" spans="1:25" hidden="1">
      <c r="A29" s="6"/>
      <c r="B29" s="5" t="s">
        <v>1</v>
      </c>
      <c r="C29" s="6" t="s">
        <v>719</v>
      </c>
      <c r="D29" s="6" t="s">
        <v>719</v>
      </c>
      <c r="E29" s="5" t="s">
        <v>22</v>
      </c>
      <c r="F29" s="6" t="s">
        <v>720</v>
      </c>
      <c r="G29" s="12" t="s">
        <v>24</v>
      </c>
      <c r="H29" s="6"/>
      <c r="I29" s="13">
        <v>2021</v>
      </c>
      <c r="J29" s="39">
        <v>0</v>
      </c>
      <c r="K29" s="36">
        <v>0</v>
      </c>
      <c r="L29" s="36">
        <v>0</v>
      </c>
      <c r="M29" s="36">
        <v>-14</v>
      </c>
      <c r="N29" s="36">
        <v>217</v>
      </c>
      <c r="O29" s="36">
        <v>5227.6000000000004</v>
      </c>
      <c r="P29" s="36">
        <v>912.28</v>
      </c>
      <c r="Q29" s="36">
        <v>2451.5400000000004</v>
      </c>
      <c r="R29" s="36">
        <v>2641.28</v>
      </c>
      <c r="S29" s="36">
        <v>1141.44</v>
      </c>
      <c r="T29" s="36">
        <v>-21</v>
      </c>
      <c r="U29" s="36">
        <v>1673</v>
      </c>
      <c r="V29" s="37">
        <f>SUM(BASE_ADM[[#This Row],[jan]:[dez]])</f>
        <v>14229.140000000001</v>
      </c>
      <c r="W29" s="38">
        <f>SUM(BASE_ADM[[#This Row],[jan]:[dez]])/12</f>
        <v>1185.7616666666668</v>
      </c>
      <c r="X29" s="38" t="str">
        <f>_xlfn.CONCAT(LEFT(BASE_ADM[[#This Row],[CONTA CONTABIL]],7),LEFT(BASE_ADM[[#This Row],[CENTRO DE CUSTOS]],5))</f>
        <v>430004123210</v>
      </c>
      <c r="Y29" s="36" cm="1">
        <f t="array" ref="Y2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0" spans="1:25" hidden="1">
      <c r="A30" s="6"/>
      <c r="B30" s="5" t="s">
        <v>1</v>
      </c>
      <c r="C30" s="6" t="s">
        <v>719</v>
      </c>
      <c r="D30" s="6" t="s">
        <v>719</v>
      </c>
      <c r="E30" s="5" t="s">
        <v>22</v>
      </c>
      <c r="F30" s="6" t="s">
        <v>720</v>
      </c>
      <c r="G30" s="12" t="s">
        <v>24</v>
      </c>
      <c r="H30" s="6"/>
      <c r="I30" s="13">
        <v>2022</v>
      </c>
      <c r="J30" s="39">
        <v>-21</v>
      </c>
      <c r="K30" s="36">
        <v>-7</v>
      </c>
      <c r="L30" s="36">
        <v>-21</v>
      </c>
      <c r="M30" s="36">
        <v>539</v>
      </c>
      <c r="N30" s="36">
        <v>-14</v>
      </c>
      <c r="O30" s="36">
        <v>633.5</v>
      </c>
      <c r="P30" s="36">
        <v>169</v>
      </c>
      <c r="Q30" s="36">
        <v>0</v>
      </c>
      <c r="R30" s="36">
        <v>-10</v>
      </c>
      <c r="S30" s="36">
        <v>530.79999999999995</v>
      </c>
      <c r="T30" s="36">
        <v>-30</v>
      </c>
      <c r="U30" s="36">
        <v>0</v>
      </c>
      <c r="V30" s="37">
        <f>SUM(BASE_ADM[[#This Row],[jan]:[dez]])</f>
        <v>1769.3</v>
      </c>
      <c r="W30" s="38">
        <f>SUM(BASE_ADM[[#This Row],[jan]:[dez]])/12</f>
        <v>147.44166666666666</v>
      </c>
      <c r="X30" s="38" t="str">
        <f>_xlfn.CONCAT(LEFT(BASE_ADM[[#This Row],[CONTA CONTABIL]],7),LEFT(BASE_ADM[[#This Row],[CENTRO DE CUSTOS]],5))</f>
        <v>430004123210</v>
      </c>
      <c r="Y30" s="36" cm="1">
        <f t="array" ref="Y3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1" spans="1:25" hidden="1">
      <c r="A31" s="6"/>
      <c r="B31" s="5" t="s">
        <v>1</v>
      </c>
      <c r="C31" s="6" t="s">
        <v>719</v>
      </c>
      <c r="D31" s="6" t="s">
        <v>719</v>
      </c>
      <c r="E31" s="5" t="s">
        <v>22</v>
      </c>
      <c r="F31" s="6" t="s">
        <v>720</v>
      </c>
      <c r="G31" s="12" t="s">
        <v>24</v>
      </c>
      <c r="H31" s="6"/>
      <c r="I31" s="13">
        <v>2023</v>
      </c>
      <c r="J31" s="39">
        <v>1451</v>
      </c>
      <c r="K31" s="36">
        <v>0</v>
      </c>
      <c r="L31" s="36">
        <v>-10</v>
      </c>
      <c r="M31" s="36">
        <v>-10</v>
      </c>
      <c r="N31" s="36">
        <v>-10</v>
      </c>
      <c r="O31" s="36">
        <v>-20</v>
      </c>
      <c r="P31" s="36">
        <v>0</v>
      </c>
      <c r="Q31" s="36">
        <v>-30</v>
      </c>
      <c r="R31" s="36">
        <v>-10</v>
      </c>
      <c r="S31" s="36">
        <v>-10</v>
      </c>
      <c r="T31" s="36">
        <v>0</v>
      </c>
      <c r="U31" s="36">
        <v>0</v>
      </c>
      <c r="V31" s="37">
        <f>SUM(BASE_ADM[[#This Row],[jan]:[dez]])</f>
        <v>1351</v>
      </c>
      <c r="W31" s="38">
        <f>SUM(BASE_ADM[[#This Row],[jan]:[dez]])/12</f>
        <v>112.58333333333333</v>
      </c>
      <c r="X31" s="38" t="str">
        <f>_xlfn.CONCAT(LEFT(BASE_ADM[[#This Row],[CONTA CONTABIL]],7),LEFT(BASE_ADM[[#This Row],[CENTRO DE CUSTOS]],5))</f>
        <v>430004123210</v>
      </c>
      <c r="Y31" s="36" cm="1">
        <f t="array" ref="Y3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2" spans="1:25" hidden="1">
      <c r="A32" s="6"/>
      <c r="B32" s="5" t="s">
        <v>1</v>
      </c>
      <c r="C32" s="6" t="s">
        <v>719</v>
      </c>
      <c r="D32" s="6" t="s">
        <v>719</v>
      </c>
      <c r="E32" s="5" t="s">
        <v>22</v>
      </c>
      <c r="F32" s="6" t="s">
        <v>720</v>
      </c>
      <c r="G32" s="12" t="s">
        <v>24</v>
      </c>
      <c r="H32" s="6"/>
      <c r="I32" s="13">
        <v>2024</v>
      </c>
      <c r="J32" s="39">
        <v>0</v>
      </c>
      <c r="K32" s="36">
        <v>0</v>
      </c>
      <c r="L32" s="36">
        <v>0</v>
      </c>
      <c r="M32" s="36">
        <v>-10</v>
      </c>
      <c r="N32" s="36">
        <v>0</v>
      </c>
      <c r="O32" s="36">
        <v>3030.0499999999997</v>
      </c>
      <c r="P32" s="36">
        <v>80.86</v>
      </c>
      <c r="Q32" s="36">
        <v>0</v>
      </c>
      <c r="R32" s="36">
        <v>151.10999999999999</v>
      </c>
      <c r="S32" s="36">
        <v>-10</v>
      </c>
      <c r="T32" s="36">
        <v>0</v>
      </c>
      <c r="U32" s="36">
        <v>0</v>
      </c>
      <c r="V32" s="37">
        <f>SUM(BASE_ADM[[#This Row],[jan]:[dez]])</f>
        <v>3242.02</v>
      </c>
      <c r="W32" s="38">
        <f>SUM(BASE_ADM[[#This Row],[jan]:[dez]])/12</f>
        <v>270.16833333333335</v>
      </c>
      <c r="X32" s="38" t="str">
        <f>_xlfn.CONCAT(LEFT(BASE_ADM[[#This Row],[CONTA CONTABIL]],7),LEFT(BASE_ADM[[#This Row],[CENTRO DE CUSTOS]],5))</f>
        <v>430004123210</v>
      </c>
      <c r="Y32" s="36" cm="1">
        <f t="array" ref="Y3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3" spans="1:25" hidden="1">
      <c r="A33" s="6"/>
      <c r="B33" s="5" t="s">
        <v>1</v>
      </c>
      <c r="C33" s="6" t="s">
        <v>719</v>
      </c>
      <c r="D33" s="6" t="s">
        <v>719</v>
      </c>
      <c r="E33" s="5" t="s">
        <v>22</v>
      </c>
      <c r="F33" s="6" t="s">
        <v>720</v>
      </c>
      <c r="G33" s="12" t="s">
        <v>24</v>
      </c>
      <c r="H33" s="6"/>
      <c r="I33" s="13">
        <v>2025</v>
      </c>
      <c r="J33" s="39">
        <v>0</v>
      </c>
      <c r="K33" s="36">
        <v>0</v>
      </c>
      <c r="L33" s="36">
        <v>0</v>
      </c>
      <c r="M33" s="36">
        <v>0</v>
      </c>
      <c r="N33" s="36">
        <v>3488</v>
      </c>
      <c r="O33" s="36">
        <v>0</v>
      </c>
      <c r="P33" s="36">
        <v>0</v>
      </c>
      <c r="Q33" s="36">
        <v>-180</v>
      </c>
      <c r="R33" s="36">
        <v>0</v>
      </c>
      <c r="S33" s="36">
        <v>0</v>
      </c>
      <c r="T33" s="36">
        <v>0</v>
      </c>
      <c r="U33" s="36">
        <v>0</v>
      </c>
      <c r="V33" s="37">
        <f>SUM(BASE_ADM[[#This Row],[jan]:[dez]])</f>
        <v>3308</v>
      </c>
      <c r="W33" s="38">
        <f>SUM(BASE_ADM[[#This Row],[jan]:[dez]])/12</f>
        <v>275.66666666666669</v>
      </c>
      <c r="X33" s="38" t="str">
        <f>_xlfn.CONCAT(LEFT(BASE_ADM[[#This Row],[CONTA CONTABIL]],7),LEFT(BASE_ADM[[#This Row],[CENTRO DE CUSTOS]],5))</f>
        <v>430004123210</v>
      </c>
      <c r="Y33" s="36" cm="1">
        <f t="array" ref="Y3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4" spans="1:25" hidden="1">
      <c r="A34" s="6"/>
      <c r="B34" s="241" t="s">
        <v>1</v>
      </c>
      <c r="C34" s="242" t="s">
        <v>719</v>
      </c>
      <c r="D34" s="242" t="s">
        <v>719</v>
      </c>
      <c r="E34" s="241" t="s">
        <v>22</v>
      </c>
      <c r="F34" s="242" t="s">
        <v>720</v>
      </c>
      <c r="G34" s="243" t="s">
        <v>24</v>
      </c>
      <c r="H34" s="242" t="s">
        <v>725</v>
      </c>
      <c r="I34" s="244" t="s">
        <v>103</v>
      </c>
      <c r="J34" s="245">
        <v>0</v>
      </c>
      <c r="K34" s="246">
        <v>3308</v>
      </c>
      <c r="L34" s="246">
        <v>0</v>
      </c>
      <c r="M34" s="246">
        <v>0</v>
      </c>
      <c r="N34" s="246">
        <v>0</v>
      </c>
      <c r="O34" s="246">
        <v>0</v>
      </c>
      <c r="P34" s="246">
        <v>0</v>
      </c>
      <c r="Q34" s="246">
        <v>0</v>
      </c>
      <c r="R34" s="246">
        <v>0</v>
      </c>
      <c r="S34" s="246">
        <v>0</v>
      </c>
      <c r="T34" s="246">
        <v>0</v>
      </c>
      <c r="U34" s="246">
        <v>0</v>
      </c>
      <c r="V34" s="247">
        <f>SUM(BASE_ADM[[#This Row],[jan]:[dez]])</f>
        <v>3308</v>
      </c>
      <c r="W34" s="247">
        <f>SUM(BASE_ADM[[#This Row],[jan]:[dez]])/12</f>
        <v>275.66666666666669</v>
      </c>
      <c r="X34" s="247" t="str">
        <f>_xlfn.CONCAT(LEFT(BASE_ADM[[#This Row],[CONTA CONTABIL]],7),LEFT(BASE_ADM[[#This Row],[CENTRO DE CUSTOS]],5))</f>
        <v>430004123210</v>
      </c>
      <c r="Y34" s="246" cm="1">
        <f t="array" ref="Y3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5" spans="1:25" hidden="1">
      <c r="A35" s="6"/>
      <c r="B35" s="5" t="s">
        <v>1</v>
      </c>
      <c r="C35" s="6" t="s">
        <v>719</v>
      </c>
      <c r="D35" s="6" t="s">
        <v>719</v>
      </c>
      <c r="E35" s="5" t="s">
        <v>22</v>
      </c>
      <c r="F35" s="6" t="s">
        <v>721</v>
      </c>
      <c r="G35" s="12" t="s">
        <v>23</v>
      </c>
      <c r="H35" s="6"/>
      <c r="I35" s="13">
        <v>2019</v>
      </c>
      <c r="J35" s="39">
        <v>0</v>
      </c>
      <c r="K35" s="36">
        <v>0</v>
      </c>
      <c r="L35" s="36">
        <v>76.36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7">
        <f>SUM(BASE_ADM[[#This Row],[jan]:[dez]])</f>
        <v>76.36</v>
      </c>
      <c r="W35" s="38">
        <f>SUM(BASE_ADM[[#This Row],[jan]:[dez]])/12</f>
        <v>6.3633333333333333</v>
      </c>
      <c r="X35" s="38" t="str">
        <f>_xlfn.CONCAT(LEFT(BASE_ADM[[#This Row],[CONTA CONTABIL]],7),LEFT(BASE_ADM[[#This Row],[CENTRO DE CUSTOS]],5))</f>
        <v>430005123200</v>
      </c>
      <c r="Y35" s="36" cm="1">
        <f t="array" ref="Y3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6" spans="1:25" hidden="1">
      <c r="A36" s="6"/>
      <c r="B36" s="5" t="s">
        <v>1</v>
      </c>
      <c r="C36" s="6" t="s">
        <v>719</v>
      </c>
      <c r="D36" s="6" t="s">
        <v>719</v>
      </c>
      <c r="E36" s="5" t="s">
        <v>22</v>
      </c>
      <c r="F36" s="6" t="s">
        <v>720</v>
      </c>
      <c r="G36" s="12" t="s">
        <v>23</v>
      </c>
      <c r="H36" s="6"/>
      <c r="I36" s="13">
        <v>2018</v>
      </c>
      <c r="J36" s="39">
        <v>897.16000000000008</v>
      </c>
      <c r="K36" s="36">
        <v>739.83999999999992</v>
      </c>
      <c r="L36" s="36">
        <v>568.99000000000012</v>
      </c>
      <c r="M36" s="36">
        <v>804.82999999999993</v>
      </c>
      <c r="N36" s="36">
        <v>1152.1000000000001</v>
      </c>
      <c r="O36" s="36">
        <v>663.87</v>
      </c>
      <c r="P36" s="36">
        <v>966.93999999999994</v>
      </c>
      <c r="Q36" s="36">
        <v>294.62</v>
      </c>
      <c r="R36" s="36">
        <v>931.34</v>
      </c>
      <c r="S36" s="36">
        <v>1248.44</v>
      </c>
      <c r="T36" s="36">
        <v>1246.45</v>
      </c>
      <c r="U36" s="36">
        <v>1253.31</v>
      </c>
      <c r="V36" s="37">
        <f>SUM(BASE_ADM[[#This Row],[jan]:[dez]])</f>
        <v>10767.89</v>
      </c>
      <c r="W36" s="38">
        <f>SUM(BASE_ADM[[#This Row],[jan]:[dez]])/12</f>
        <v>897.32416666666666</v>
      </c>
      <c r="X36" s="38" t="str">
        <f>_xlfn.CONCAT(LEFT(BASE_ADM[[#This Row],[CONTA CONTABIL]],7),LEFT(BASE_ADM[[#This Row],[CENTRO DE CUSTOS]],5))</f>
        <v>430005123210</v>
      </c>
      <c r="Y36" s="36" cm="1">
        <f t="array" ref="Y3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37" spans="1:25" hidden="1">
      <c r="A37" s="6"/>
      <c r="B37" s="5" t="s">
        <v>1</v>
      </c>
      <c r="C37" s="6" t="s">
        <v>719</v>
      </c>
      <c r="D37" s="6" t="s">
        <v>719</v>
      </c>
      <c r="E37" s="5" t="s">
        <v>22</v>
      </c>
      <c r="F37" s="6" t="s">
        <v>720</v>
      </c>
      <c r="G37" s="12" t="s">
        <v>23</v>
      </c>
      <c r="H37" s="6"/>
      <c r="I37" s="13">
        <v>2019</v>
      </c>
      <c r="J37" s="39">
        <v>954.09</v>
      </c>
      <c r="K37" s="36">
        <v>1984.3700000000001</v>
      </c>
      <c r="L37" s="36">
        <v>2100.89</v>
      </c>
      <c r="M37" s="36">
        <v>473.19000000000005</v>
      </c>
      <c r="N37" s="36">
        <v>1120.8200000000002</v>
      </c>
      <c r="O37" s="36">
        <v>921.53</v>
      </c>
      <c r="P37" s="36">
        <v>782.83999999999992</v>
      </c>
      <c r="Q37" s="36">
        <v>839.30000000000007</v>
      </c>
      <c r="R37" s="36">
        <v>860.26</v>
      </c>
      <c r="S37" s="36">
        <v>829.46</v>
      </c>
      <c r="T37" s="36">
        <v>804.38000000000011</v>
      </c>
      <c r="U37" s="36">
        <v>417.6</v>
      </c>
      <c r="V37" s="37">
        <f>SUM(BASE_ADM[[#This Row],[jan]:[dez]])</f>
        <v>12088.730000000001</v>
      </c>
      <c r="W37" s="38">
        <f>SUM(BASE_ADM[[#This Row],[jan]:[dez]])/12</f>
        <v>1007.3941666666668</v>
      </c>
      <c r="X37" s="38" t="str">
        <f>_xlfn.CONCAT(LEFT(BASE_ADM[[#This Row],[CONTA CONTABIL]],7),LEFT(BASE_ADM[[#This Row],[CENTRO DE CUSTOS]],5))</f>
        <v>430005123210</v>
      </c>
      <c r="Y37" s="36" cm="1">
        <f t="array" ref="Y3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38" spans="1:25" hidden="1">
      <c r="A38" s="6"/>
      <c r="B38" s="5" t="s">
        <v>1</v>
      </c>
      <c r="C38" s="6" t="s">
        <v>719</v>
      </c>
      <c r="D38" s="6" t="s">
        <v>719</v>
      </c>
      <c r="E38" s="5" t="s">
        <v>22</v>
      </c>
      <c r="F38" s="6" t="s">
        <v>720</v>
      </c>
      <c r="G38" s="12" t="s">
        <v>23</v>
      </c>
      <c r="H38" s="6"/>
      <c r="I38" s="13">
        <v>2020</v>
      </c>
      <c r="J38" s="39">
        <v>1079.5500000000002</v>
      </c>
      <c r="K38" s="36">
        <v>962.55</v>
      </c>
      <c r="L38" s="36">
        <v>0</v>
      </c>
      <c r="M38" s="36">
        <v>1001.9200000000002</v>
      </c>
      <c r="N38" s="36">
        <v>6.3</v>
      </c>
      <c r="O38" s="36">
        <v>648.56999999999994</v>
      </c>
      <c r="P38" s="36">
        <v>539.76</v>
      </c>
      <c r="Q38" s="36">
        <v>270.79000000000002</v>
      </c>
      <c r="R38" s="36">
        <v>9.84</v>
      </c>
      <c r="S38" s="36">
        <v>923.1</v>
      </c>
      <c r="T38" s="36">
        <v>3379.05</v>
      </c>
      <c r="U38" s="36">
        <v>1308.0900000000001</v>
      </c>
      <c r="V38" s="37">
        <f>SUM(BASE_ADM[[#This Row],[jan]:[dez]])</f>
        <v>10129.52</v>
      </c>
      <c r="W38" s="38">
        <f>SUM(BASE_ADM[[#This Row],[jan]:[dez]])/12</f>
        <v>844.12666666666667</v>
      </c>
      <c r="X38" s="38" t="str">
        <f>_xlfn.CONCAT(LEFT(BASE_ADM[[#This Row],[CONTA CONTABIL]],7),LEFT(BASE_ADM[[#This Row],[CENTRO DE CUSTOS]],5))</f>
        <v>430005123210</v>
      </c>
      <c r="Y38" s="36" cm="1">
        <f t="array" ref="Y3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39" spans="1:25" hidden="1">
      <c r="A39" s="6"/>
      <c r="B39" s="5" t="s">
        <v>1</v>
      </c>
      <c r="C39" s="6" t="s">
        <v>719</v>
      </c>
      <c r="D39" s="6" t="s">
        <v>719</v>
      </c>
      <c r="E39" s="5" t="s">
        <v>22</v>
      </c>
      <c r="F39" s="6" t="s">
        <v>720</v>
      </c>
      <c r="G39" s="12" t="s">
        <v>23</v>
      </c>
      <c r="H39" s="6"/>
      <c r="I39" s="13">
        <v>2021</v>
      </c>
      <c r="J39" s="39">
        <v>866.5</v>
      </c>
      <c r="K39" s="36">
        <v>345.07</v>
      </c>
      <c r="L39" s="36">
        <v>1151.2600000000002</v>
      </c>
      <c r="M39" s="36">
        <v>1491.6000000000001</v>
      </c>
      <c r="N39" s="36">
        <v>887.56</v>
      </c>
      <c r="O39" s="36">
        <v>1272.72</v>
      </c>
      <c r="P39" s="36">
        <v>1331.84</v>
      </c>
      <c r="Q39" s="36">
        <v>620.05999999999995</v>
      </c>
      <c r="R39" s="36">
        <v>990.31999999999994</v>
      </c>
      <c r="S39" s="36">
        <v>677.07</v>
      </c>
      <c r="T39" s="36">
        <v>970.17000000000007</v>
      </c>
      <c r="U39" s="36">
        <v>2004.7400000000005</v>
      </c>
      <c r="V39" s="37">
        <f>SUM(BASE_ADM[[#This Row],[jan]:[dez]])</f>
        <v>12608.91</v>
      </c>
      <c r="W39" s="38">
        <f>SUM(BASE_ADM[[#This Row],[jan]:[dez]])/12</f>
        <v>1050.7425000000001</v>
      </c>
      <c r="X39" s="38" t="str">
        <f>_xlfn.CONCAT(LEFT(BASE_ADM[[#This Row],[CONTA CONTABIL]],7),LEFT(BASE_ADM[[#This Row],[CENTRO DE CUSTOS]],5))</f>
        <v>430005123210</v>
      </c>
      <c r="Y39" s="36" cm="1">
        <f t="array" ref="Y3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40" spans="1:25" hidden="1">
      <c r="A40" s="6"/>
      <c r="B40" s="5" t="s">
        <v>1</v>
      </c>
      <c r="C40" s="6" t="s">
        <v>719</v>
      </c>
      <c r="D40" s="6" t="s">
        <v>719</v>
      </c>
      <c r="E40" s="5" t="s">
        <v>22</v>
      </c>
      <c r="F40" s="6" t="s">
        <v>720</v>
      </c>
      <c r="G40" s="12" t="s">
        <v>23</v>
      </c>
      <c r="H40" s="6"/>
      <c r="I40" s="13">
        <v>2022</v>
      </c>
      <c r="J40" s="39">
        <v>1481.72</v>
      </c>
      <c r="K40" s="36">
        <v>1201.78</v>
      </c>
      <c r="L40" s="36">
        <v>1258.97</v>
      </c>
      <c r="M40" s="36">
        <v>2461.88</v>
      </c>
      <c r="N40" s="36">
        <v>3225.45</v>
      </c>
      <c r="O40" s="36">
        <v>2634.73</v>
      </c>
      <c r="P40" s="36">
        <v>1631</v>
      </c>
      <c r="Q40" s="36">
        <v>1749</v>
      </c>
      <c r="R40" s="36">
        <v>511</v>
      </c>
      <c r="S40" s="36">
        <v>3023.7799999999997</v>
      </c>
      <c r="T40" s="36">
        <v>4043.09</v>
      </c>
      <c r="U40" s="36">
        <v>1686.4899999999998</v>
      </c>
      <c r="V40" s="37">
        <f>SUM(BASE_ADM[[#This Row],[jan]:[dez]])</f>
        <v>24908.89</v>
      </c>
      <c r="W40" s="38">
        <f>SUM(BASE_ADM[[#This Row],[jan]:[dez]])/12</f>
        <v>2075.7408333333333</v>
      </c>
      <c r="X40" s="38" t="str">
        <f>_xlfn.CONCAT(LEFT(BASE_ADM[[#This Row],[CONTA CONTABIL]],7),LEFT(BASE_ADM[[#This Row],[CENTRO DE CUSTOS]],5))</f>
        <v>430005123210</v>
      </c>
      <c r="Y40" s="36" cm="1">
        <f t="array" ref="Y4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41" spans="1:25" hidden="1">
      <c r="A41" s="6"/>
      <c r="B41" s="5" t="s">
        <v>1</v>
      </c>
      <c r="C41" s="6" t="s">
        <v>719</v>
      </c>
      <c r="D41" s="6" t="s">
        <v>719</v>
      </c>
      <c r="E41" s="5" t="s">
        <v>22</v>
      </c>
      <c r="F41" s="6" t="s">
        <v>720</v>
      </c>
      <c r="G41" s="12" t="s">
        <v>23</v>
      </c>
      <c r="H41" s="6"/>
      <c r="I41" s="13">
        <v>2023</v>
      </c>
      <c r="J41" s="39">
        <v>1532.98</v>
      </c>
      <c r="K41" s="36">
        <v>2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0</v>
      </c>
      <c r="V41" s="37">
        <f>SUM(BASE_ADM[[#This Row],[jan]:[dez]])</f>
        <v>1534.98</v>
      </c>
      <c r="W41" s="38">
        <f>SUM(BASE_ADM[[#This Row],[jan]:[dez]])/12</f>
        <v>127.91500000000001</v>
      </c>
      <c r="X41" s="38" t="str">
        <f>_xlfn.CONCAT(LEFT(BASE_ADM[[#This Row],[CONTA CONTABIL]],7),LEFT(BASE_ADM[[#This Row],[CENTRO DE CUSTOS]],5))</f>
        <v>430005123210</v>
      </c>
      <c r="Y41" s="36" cm="1">
        <f t="array" ref="Y4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42" spans="1:25" hidden="1">
      <c r="A42" s="6"/>
      <c r="B42" s="5" t="s">
        <v>1</v>
      </c>
      <c r="C42" s="6" t="s">
        <v>719</v>
      </c>
      <c r="D42" s="6" t="s">
        <v>719</v>
      </c>
      <c r="E42" s="5" t="s">
        <v>22</v>
      </c>
      <c r="F42" s="6" t="s">
        <v>720</v>
      </c>
      <c r="G42" s="12" t="s">
        <v>23</v>
      </c>
      <c r="H42" s="6"/>
      <c r="I42" s="13">
        <v>2025</v>
      </c>
      <c r="J42" s="39">
        <v>43.06</v>
      </c>
      <c r="K42" s="36">
        <v>0</v>
      </c>
      <c r="L42" s="36">
        <v>0</v>
      </c>
      <c r="M42" s="36">
        <v>0</v>
      </c>
      <c r="N42" s="36">
        <v>260.18</v>
      </c>
      <c r="O42" s="36">
        <v>251.46</v>
      </c>
      <c r="P42" s="36">
        <v>245.28</v>
      </c>
      <c r="Q42" s="36">
        <v>140.69999999999999</v>
      </c>
      <c r="R42" s="36">
        <v>153</v>
      </c>
      <c r="S42" s="36">
        <v>153</v>
      </c>
      <c r="T42" s="36">
        <v>153</v>
      </c>
      <c r="U42" s="36">
        <v>153</v>
      </c>
      <c r="V42" s="37">
        <f>SUM(BASE_ADM[[#This Row],[jan]:[dez]])</f>
        <v>1552.68</v>
      </c>
      <c r="W42" s="38">
        <f>SUM(BASE_ADM[[#This Row],[jan]:[dez]])/12</f>
        <v>129.39000000000001</v>
      </c>
      <c r="X42" s="38" t="str">
        <f>_xlfn.CONCAT(LEFT(BASE_ADM[[#This Row],[CONTA CONTABIL]],7),LEFT(BASE_ADM[[#This Row],[CENTRO DE CUSTOS]],5))</f>
        <v>430005123210</v>
      </c>
      <c r="Y42" s="36" cm="1">
        <f t="array" ref="Y4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43" spans="1:25" hidden="1">
      <c r="A43" s="6"/>
      <c r="B43" s="241" t="s">
        <v>1</v>
      </c>
      <c r="C43" s="242" t="s">
        <v>719</v>
      </c>
      <c r="D43" s="242" t="s">
        <v>719</v>
      </c>
      <c r="E43" s="241" t="s">
        <v>22</v>
      </c>
      <c r="F43" s="242" t="s">
        <v>720</v>
      </c>
      <c r="G43" s="243" t="s">
        <v>23</v>
      </c>
      <c r="H43" s="242" t="s">
        <v>725</v>
      </c>
      <c r="I43" s="244" t="s">
        <v>103</v>
      </c>
      <c r="J43" s="245">
        <v>572.9</v>
      </c>
      <c r="K43" s="246">
        <v>572.9</v>
      </c>
      <c r="L43" s="246">
        <v>572.9</v>
      </c>
      <c r="M43" s="246">
        <v>572.9</v>
      </c>
      <c r="N43" s="246">
        <v>572.9</v>
      </c>
      <c r="O43" s="246">
        <v>572.9</v>
      </c>
      <c r="P43" s="246">
        <v>572.9</v>
      </c>
      <c r="Q43" s="246">
        <v>572.9</v>
      </c>
      <c r="R43" s="246">
        <v>572.9</v>
      </c>
      <c r="S43" s="246">
        <v>572.9</v>
      </c>
      <c r="T43" s="246">
        <v>572.9</v>
      </c>
      <c r="U43" s="246">
        <v>572.9</v>
      </c>
      <c r="V43" s="247">
        <f>SUM(BASE_ADM[[#This Row],[jan]:[dez]])</f>
        <v>6874.7999999999984</v>
      </c>
      <c r="W43" s="247">
        <f>SUM(BASE_ADM[[#This Row],[jan]:[dez]])/12</f>
        <v>572.89999999999986</v>
      </c>
      <c r="X43" s="247" t="str">
        <f>_xlfn.CONCAT(LEFT(BASE_ADM[[#This Row],[CONTA CONTABIL]],7),LEFT(BASE_ADM[[#This Row],[CENTRO DE CUSTOS]],5))</f>
        <v>430005123210</v>
      </c>
      <c r="Y43" s="246" cm="1">
        <f t="array" ref="Y4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44" spans="1:25" hidden="1">
      <c r="A44" s="6"/>
      <c r="B44" s="5" t="s">
        <v>1</v>
      </c>
      <c r="C44" s="6" t="s">
        <v>719</v>
      </c>
      <c r="D44" s="6" t="s">
        <v>719</v>
      </c>
      <c r="E44" s="5" t="s">
        <v>22</v>
      </c>
      <c r="F44" s="6" t="s">
        <v>720</v>
      </c>
      <c r="G44" s="12" t="s">
        <v>32</v>
      </c>
      <c r="H44" s="6"/>
      <c r="I44" s="13">
        <v>2021</v>
      </c>
      <c r="J44" s="39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224.49</v>
      </c>
      <c r="S44" s="36">
        <v>0</v>
      </c>
      <c r="T44" s="36">
        <v>0</v>
      </c>
      <c r="U44" s="36">
        <v>0</v>
      </c>
      <c r="V44" s="37">
        <f>SUM(BASE_ADM[[#This Row],[jan]:[dez]])</f>
        <v>224.49</v>
      </c>
      <c r="W44" s="38">
        <f>SUM(BASE_ADM[[#This Row],[jan]:[dez]])/12</f>
        <v>18.7075</v>
      </c>
      <c r="X44" s="38" t="str">
        <f>_xlfn.CONCAT(LEFT(BASE_ADM[[#This Row],[CONTA CONTABIL]],7),LEFT(BASE_ADM[[#This Row],[CENTRO DE CUSTOS]],5))</f>
        <v>430005423210</v>
      </c>
      <c r="Y44" s="36" cm="1">
        <f t="array" ref="Y4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45" spans="1:25" hidden="1">
      <c r="A45" s="6"/>
      <c r="B45" s="5" t="s">
        <v>1</v>
      </c>
      <c r="C45" s="6" t="s">
        <v>719</v>
      </c>
      <c r="D45" s="6" t="s">
        <v>719</v>
      </c>
      <c r="E45" s="5" t="s">
        <v>22</v>
      </c>
      <c r="F45" s="6" t="s">
        <v>720</v>
      </c>
      <c r="G45" s="12" t="s">
        <v>32</v>
      </c>
      <c r="H45" s="6"/>
      <c r="I45" s="13">
        <v>2024</v>
      </c>
      <c r="J45" s="39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4067.9999999999995</v>
      </c>
      <c r="T45" s="36">
        <v>0</v>
      </c>
      <c r="U45" s="36">
        <v>0</v>
      </c>
      <c r="V45" s="37">
        <f>SUM(BASE_ADM[[#This Row],[jan]:[dez]])</f>
        <v>4067.9999999999995</v>
      </c>
      <c r="W45" s="38">
        <f>SUM(BASE_ADM[[#This Row],[jan]:[dez]])/12</f>
        <v>338.99999999999994</v>
      </c>
      <c r="X45" s="38" t="str">
        <f>_xlfn.CONCAT(LEFT(BASE_ADM[[#This Row],[CONTA CONTABIL]],7),LEFT(BASE_ADM[[#This Row],[CENTRO DE CUSTOS]],5))</f>
        <v>430005423210</v>
      </c>
      <c r="Y45" s="36" cm="1">
        <f t="array" ref="Y4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46" spans="1:25" hidden="1">
      <c r="A46" s="6"/>
      <c r="B46" s="5" t="s">
        <v>1</v>
      </c>
      <c r="C46" s="6" t="s">
        <v>719</v>
      </c>
      <c r="D46" s="6" t="s">
        <v>719</v>
      </c>
      <c r="E46" s="5" t="s">
        <v>22</v>
      </c>
      <c r="F46" s="6" t="s">
        <v>720</v>
      </c>
      <c r="G46" s="12" t="s">
        <v>21</v>
      </c>
      <c r="H46" s="6"/>
      <c r="I46" s="13">
        <v>2018</v>
      </c>
      <c r="J46" s="39">
        <v>0</v>
      </c>
      <c r="K46" s="36">
        <v>0</v>
      </c>
      <c r="L46" s="36">
        <v>0</v>
      </c>
      <c r="M46" s="36">
        <v>670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36">
        <v>0</v>
      </c>
      <c r="U46" s="36">
        <v>0</v>
      </c>
      <c r="V46" s="37">
        <f>SUM(BASE_ADM[[#This Row],[jan]:[dez]])</f>
        <v>670</v>
      </c>
      <c r="W46" s="38">
        <f>SUM(BASE_ADM[[#This Row],[jan]:[dez]])/12</f>
        <v>55.833333333333336</v>
      </c>
      <c r="X46" s="38" t="str">
        <f>_xlfn.CONCAT(LEFT(BASE_ADM[[#This Row],[CONTA CONTABIL]],7),LEFT(BASE_ADM[[#This Row],[CENTRO DE CUSTOS]],5))</f>
        <v>430008723210</v>
      </c>
      <c r="Y46" s="36" cm="1">
        <f t="array" ref="Y4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47" spans="1:25" hidden="1">
      <c r="A47" s="6"/>
      <c r="B47" s="5" t="s">
        <v>1</v>
      </c>
      <c r="C47" s="6" t="s">
        <v>719</v>
      </c>
      <c r="D47" s="6" t="s">
        <v>719</v>
      </c>
      <c r="E47" s="5" t="s">
        <v>22</v>
      </c>
      <c r="F47" s="6" t="s">
        <v>720</v>
      </c>
      <c r="G47" s="12" t="s">
        <v>21</v>
      </c>
      <c r="H47" s="6"/>
      <c r="I47" s="13">
        <v>2019</v>
      </c>
      <c r="J47" s="39">
        <v>0</v>
      </c>
      <c r="K47" s="36">
        <v>86.9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36">
        <v>0</v>
      </c>
      <c r="U47" s="36">
        <v>0</v>
      </c>
      <c r="V47" s="37">
        <f>SUM(BASE_ADM[[#This Row],[jan]:[dez]])</f>
        <v>86.9</v>
      </c>
      <c r="W47" s="38">
        <f>SUM(BASE_ADM[[#This Row],[jan]:[dez]])/12</f>
        <v>7.2416666666666671</v>
      </c>
      <c r="X47" s="38" t="str">
        <f>_xlfn.CONCAT(LEFT(BASE_ADM[[#This Row],[CONTA CONTABIL]],7),LEFT(BASE_ADM[[#This Row],[CENTRO DE CUSTOS]],5))</f>
        <v>430008723210</v>
      </c>
      <c r="Y47" s="36" cm="1">
        <f t="array" ref="Y4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48" spans="1:25" hidden="1">
      <c r="A48" s="6"/>
      <c r="B48" s="5" t="s">
        <v>1</v>
      </c>
      <c r="C48" s="6" t="s">
        <v>719</v>
      </c>
      <c r="D48" s="6" t="s">
        <v>719</v>
      </c>
      <c r="E48" s="5" t="s">
        <v>22</v>
      </c>
      <c r="F48" s="6" t="s">
        <v>720</v>
      </c>
      <c r="G48" s="12" t="s">
        <v>21</v>
      </c>
      <c r="H48" s="6"/>
      <c r="I48" s="13">
        <v>2021</v>
      </c>
      <c r="J48" s="39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36">
        <v>461.8</v>
      </c>
      <c r="U48" s="36">
        <v>0</v>
      </c>
      <c r="V48" s="37">
        <f>SUM(BASE_ADM[[#This Row],[jan]:[dez]])</f>
        <v>461.8</v>
      </c>
      <c r="W48" s="38">
        <f>SUM(BASE_ADM[[#This Row],[jan]:[dez]])/12</f>
        <v>38.483333333333334</v>
      </c>
      <c r="X48" s="38" t="str">
        <f>_xlfn.CONCAT(LEFT(BASE_ADM[[#This Row],[CONTA CONTABIL]],7),LEFT(BASE_ADM[[#This Row],[CENTRO DE CUSTOS]],5))</f>
        <v>430008723210</v>
      </c>
      <c r="Y48" s="36" cm="1">
        <f t="array" ref="Y4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49" spans="1:25" hidden="1">
      <c r="A49" s="6"/>
      <c r="B49" s="5" t="s">
        <v>1</v>
      </c>
      <c r="C49" s="6" t="s">
        <v>719</v>
      </c>
      <c r="D49" s="6" t="s">
        <v>719</v>
      </c>
      <c r="E49" s="5" t="s">
        <v>22</v>
      </c>
      <c r="F49" s="6" t="s">
        <v>720</v>
      </c>
      <c r="G49" s="12" t="s">
        <v>21</v>
      </c>
      <c r="H49" s="6"/>
      <c r="I49" s="13">
        <v>2023</v>
      </c>
      <c r="J49" s="39">
        <v>0</v>
      </c>
      <c r="K49" s="36">
        <v>0</v>
      </c>
      <c r="L49" s="36">
        <v>306.25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36">
        <v>38.979999999999997</v>
      </c>
      <c r="U49" s="36">
        <v>308.88</v>
      </c>
      <c r="V49" s="37">
        <f>SUM(BASE_ADM[[#This Row],[jan]:[dez]])</f>
        <v>654.11</v>
      </c>
      <c r="W49" s="38">
        <f>SUM(BASE_ADM[[#This Row],[jan]:[dez]])/12</f>
        <v>54.509166666666665</v>
      </c>
      <c r="X49" s="38" t="str">
        <f>_xlfn.CONCAT(LEFT(BASE_ADM[[#This Row],[CONTA CONTABIL]],7),LEFT(BASE_ADM[[#This Row],[CENTRO DE CUSTOS]],5))</f>
        <v>430008723210</v>
      </c>
      <c r="Y49" s="36" cm="1">
        <f t="array" ref="Y4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50" spans="1:25" hidden="1">
      <c r="A50" s="6"/>
      <c r="B50" s="5" t="s">
        <v>1</v>
      </c>
      <c r="C50" s="6" t="s">
        <v>719</v>
      </c>
      <c r="D50" s="6" t="s">
        <v>719</v>
      </c>
      <c r="E50" s="5" t="s">
        <v>22</v>
      </c>
      <c r="F50" s="6" t="s">
        <v>720</v>
      </c>
      <c r="G50" s="12" t="s">
        <v>21</v>
      </c>
      <c r="H50" s="6"/>
      <c r="I50" s="13">
        <v>2024</v>
      </c>
      <c r="J50" s="39">
        <v>99.39</v>
      </c>
      <c r="K50" s="36">
        <v>0</v>
      </c>
      <c r="L50" s="36">
        <v>0</v>
      </c>
      <c r="M50" s="36">
        <v>0</v>
      </c>
      <c r="N50" s="36">
        <v>0</v>
      </c>
      <c r="O50" s="36">
        <v>191.23</v>
      </c>
      <c r="P50" s="36">
        <v>0</v>
      </c>
      <c r="Q50" s="36">
        <v>0</v>
      </c>
      <c r="R50" s="36">
        <v>299.39999999999998</v>
      </c>
      <c r="S50" s="36">
        <v>513</v>
      </c>
      <c r="T50" s="36">
        <v>461.11</v>
      </c>
      <c r="U50" s="36">
        <v>0</v>
      </c>
      <c r="V50" s="37">
        <f>SUM(BASE_ADM[[#This Row],[jan]:[dez]])</f>
        <v>1564.13</v>
      </c>
      <c r="W50" s="38">
        <f>SUM(BASE_ADM[[#This Row],[jan]:[dez]])/12</f>
        <v>130.34416666666667</v>
      </c>
      <c r="X50" s="38" t="str">
        <f>_xlfn.CONCAT(LEFT(BASE_ADM[[#This Row],[CONTA CONTABIL]],7),LEFT(BASE_ADM[[#This Row],[CENTRO DE CUSTOS]],5))</f>
        <v>430008723210</v>
      </c>
      <c r="Y50" s="36" cm="1">
        <f t="array" ref="Y5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51" spans="1:25" hidden="1">
      <c r="A51" s="6"/>
      <c r="B51" s="5" t="s">
        <v>1</v>
      </c>
      <c r="C51" s="6" t="s">
        <v>719</v>
      </c>
      <c r="D51" s="6" t="s">
        <v>719</v>
      </c>
      <c r="E51" s="5" t="s">
        <v>22</v>
      </c>
      <c r="F51" s="6" t="s">
        <v>720</v>
      </c>
      <c r="G51" s="12" t="s">
        <v>21</v>
      </c>
      <c r="H51" s="6"/>
      <c r="I51" s="13">
        <v>2025</v>
      </c>
      <c r="J51" s="39">
        <v>0</v>
      </c>
      <c r="K51" s="36">
        <v>0</v>
      </c>
      <c r="L51" s="36">
        <v>0</v>
      </c>
      <c r="M51" s="36">
        <v>1121.73</v>
      </c>
      <c r="N51" s="36">
        <v>651.17999999999995</v>
      </c>
      <c r="O51" s="36">
        <v>0</v>
      </c>
      <c r="P51" s="36">
        <v>650.54999999999995</v>
      </c>
      <c r="Q51" s="36">
        <v>291.32</v>
      </c>
      <c r="R51" s="36">
        <v>0</v>
      </c>
      <c r="S51" s="36">
        <v>258</v>
      </c>
      <c r="T51" s="36">
        <v>0</v>
      </c>
      <c r="U51" s="36">
        <v>0</v>
      </c>
      <c r="V51" s="37">
        <f>SUM(BASE_ADM[[#This Row],[jan]:[dez]])</f>
        <v>2972.78</v>
      </c>
      <c r="W51" s="38">
        <f>SUM(BASE_ADM[[#This Row],[jan]:[dez]])/12</f>
        <v>247.73166666666668</v>
      </c>
      <c r="X51" s="38" t="str">
        <f>_xlfn.CONCAT(LEFT(BASE_ADM[[#This Row],[CONTA CONTABIL]],7),LEFT(BASE_ADM[[#This Row],[CENTRO DE CUSTOS]],5))</f>
        <v>430008723210</v>
      </c>
      <c r="Y51" s="36" cm="1">
        <f t="array" ref="Y5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52" spans="1:25" hidden="1">
      <c r="A52" s="6"/>
      <c r="B52" s="241" t="s">
        <v>1</v>
      </c>
      <c r="C52" s="242" t="s">
        <v>719</v>
      </c>
      <c r="D52" s="242" t="s">
        <v>719</v>
      </c>
      <c r="E52" s="241" t="s">
        <v>22</v>
      </c>
      <c r="F52" s="242" t="s">
        <v>720</v>
      </c>
      <c r="G52" s="243" t="s">
        <v>21</v>
      </c>
      <c r="H52" s="242" t="s">
        <v>725</v>
      </c>
      <c r="I52" s="244" t="s">
        <v>103</v>
      </c>
      <c r="J52" s="245">
        <v>0</v>
      </c>
      <c r="K52" s="245">
        <v>0</v>
      </c>
      <c r="L52" s="245">
        <v>0</v>
      </c>
      <c r="M52" s="245">
        <v>0</v>
      </c>
      <c r="N52" s="245">
        <v>0</v>
      </c>
      <c r="O52" s="245">
        <v>0</v>
      </c>
      <c r="P52" s="245">
        <v>0</v>
      </c>
      <c r="Q52" s="245">
        <v>0</v>
      </c>
      <c r="R52" s="245">
        <v>0</v>
      </c>
      <c r="S52" s="245">
        <v>0</v>
      </c>
      <c r="T52" s="245">
        <v>0</v>
      </c>
      <c r="U52" s="245">
        <v>0</v>
      </c>
      <c r="V52" s="247">
        <f>SUM(BASE_ADM[[#This Row],[jan]:[dez]])</f>
        <v>0</v>
      </c>
      <c r="W52" s="247">
        <f>SUM(BASE_ADM[[#This Row],[jan]:[dez]])/12</f>
        <v>0</v>
      </c>
      <c r="X52" s="247" t="str">
        <f>_xlfn.CONCAT(LEFT(BASE_ADM[[#This Row],[CONTA CONTABIL]],7),LEFT(BASE_ADM[[#This Row],[CENTRO DE CUSTOS]],5))</f>
        <v>430008723210</v>
      </c>
      <c r="Y52" s="246" cm="1">
        <f t="array" ref="Y5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53" spans="1:25" hidden="1">
      <c r="A53" s="6"/>
      <c r="B53" s="5" t="s">
        <v>1</v>
      </c>
      <c r="C53" s="6" t="s">
        <v>719</v>
      </c>
      <c r="D53" s="6" t="s">
        <v>719</v>
      </c>
      <c r="E53" s="5" t="s">
        <v>19</v>
      </c>
      <c r="F53" s="6" t="s">
        <v>720</v>
      </c>
      <c r="G53" s="12" t="s">
        <v>20</v>
      </c>
      <c r="H53" s="6"/>
      <c r="I53" s="13">
        <v>2021</v>
      </c>
      <c r="J53" s="39">
        <v>0</v>
      </c>
      <c r="K53" s="36">
        <v>0</v>
      </c>
      <c r="L53" s="36">
        <v>0</v>
      </c>
      <c r="M53" s="36">
        <v>0</v>
      </c>
      <c r="N53" s="36">
        <v>207.01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36">
        <v>0</v>
      </c>
      <c r="U53" s="36">
        <v>0</v>
      </c>
      <c r="V53" s="37">
        <f>SUM(BASE_ADM[[#This Row],[jan]:[dez]])</f>
        <v>207.01</v>
      </c>
      <c r="W53" s="38">
        <f>SUM(BASE_ADM[[#This Row],[jan]:[dez]])/12</f>
        <v>17.250833333333333</v>
      </c>
      <c r="X53" s="38" t="str">
        <f>_xlfn.CONCAT(LEFT(BASE_ADM[[#This Row],[CONTA CONTABIL]],7),LEFT(BASE_ADM[[#This Row],[CENTRO DE CUSTOS]],5))</f>
        <v>430006023210</v>
      </c>
      <c r="Y53" s="36" cm="1">
        <f t="array" ref="Y5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54" spans="1:25" hidden="1">
      <c r="A54" s="6"/>
      <c r="B54" s="5" t="s">
        <v>1</v>
      </c>
      <c r="C54" s="6" t="s">
        <v>719</v>
      </c>
      <c r="D54" s="6" t="s">
        <v>719</v>
      </c>
      <c r="E54" s="5" t="s">
        <v>19</v>
      </c>
      <c r="F54" s="6" t="s">
        <v>720</v>
      </c>
      <c r="G54" s="12" t="s">
        <v>20</v>
      </c>
      <c r="H54" s="6"/>
      <c r="I54" s="13">
        <v>2022</v>
      </c>
      <c r="J54" s="39">
        <v>0</v>
      </c>
      <c r="K54" s="36">
        <v>0</v>
      </c>
      <c r="L54" s="36">
        <v>0</v>
      </c>
      <c r="M54" s="36">
        <v>0</v>
      </c>
      <c r="N54" s="36">
        <v>234.49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36">
        <v>979.6</v>
      </c>
      <c r="U54" s="36">
        <v>0</v>
      </c>
      <c r="V54" s="37">
        <f>SUM(BASE_ADM[[#This Row],[jan]:[dez]])</f>
        <v>1214.0900000000001</v>
      </c>
      <c r="W54" s="38">
        <f>SUM(BASE_ADM[[#This Row],[jan]:[dez]])/12</f>
        <v>101.17416666666668</v>
      </c>
      <c r="X54" s="38" t="str">
        <f>_xlfn.CONCAT(LEFT(BASE_ADM[[#This Row],[CONTA CONTABIL]],7),LEFT(BASE_ADM[[#This Row],[CENTRO DE CUSTOS]],5))</f>
        <v>430006023210</v>
      </c>
      <c r="Y54" s="36" cm="1">
        <f t="array" ref="Y5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55" spans="1:25" hidden="1">
      <c r="A55" s="6"/>
      <c r="B55" s="5" t="s">
        <v>1</v>
      </c>
      <c r="C55" s="6" t="s">
        <v>719</v>
      </c>
      <c r="D55" s="6" t="s">
        <v>719</v>
      </c>
      <c r="E55" s="5" t="s">
        <v>19</v>
      </c>
      <c r="F55" s="6" t="s">
        <v>720</v>
      </c>
      <c r="G55" s="12" t="s">
        <v>20</v>
      </c>
      <c r="H55" s="6"/>
      <c r="I55" s="13">
        <v>2023</v>
      </c>
      <c r="J55" s="39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13923.34</v>
      </c>
      <c r="R55" s="36">
        <v>-13923.34</v>
      </c>
      <c r="S55" s="36">
        <v>0</v>
      </c>
      <c r="T55" s="36">
        <v>0</v>
      </c>
      <c r="U55" s="36">
        <v>0</v>
      </c>
      <c r="V55" s="37">
        <f>SUM(BASE_ADM[[#This Row],[jan]:[dez]])</f>
        <v>0</v>
      </c>
      <c r="W55" s="38">
        <f>SUM(BASE_ADM[[#This Row],[jan]:[dez]])/12</f>
        <v>0</v>
      </c>
      <c r="X55" s="38" t="str">
        <f>_xlfn.CONCAT(LEFT(BASE_ADM[[#This Row],[CONTA CONTABIL]],7),LEFT(BASE_ADM[[#This Row],[CENTRO DE CUSTOS]],5))</f>
        <v>430006023210</v>
      </c>
      <c r="Y55" s="36" cm="1">
        <f t="array" ref="Y5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56" spans="1:25" hidden="1">
      <c r="A56" s="6"/>
      <c r="B56" s="5" t="s">
        <v>1</v>
      </c>
      <c r="C56" s="6" t="s">
        <v>719</v>
      </c>
      <c r="D56" s="6" t="s">
        <v>719</v>
      </c>
      <c r="E56" s="5" t="s">
        <v>19</v>
      </c>
      <c r="F56" s="6" t="s">
        <v>720</v>
      </c>
      <c r="G56" s="12" t="s">
        <v>20</v>
      </c>
      <c r="H56" s="6"/>
      <c r="I56" s="13">
        <v>2024</v>
      </c>
      <c r="J56" s="39">
        <v>0</v>
      </c>
      <c r="K56" s="36">
        <v>0</v>
      </c>
      <c r="L56" s="36">
        <v>0</v>
      </c>
      <c r="M56" s="36">
        <v>0</v>
      </c>
      <c r="N56" s="36">
        <v>99.88</v>
      </c>
      <c r="O56" s="36">
        <v>24.2</v>
      </c>
      <c r="P56" s="36">
        <v>0</v>
      </c>
      <c r="Q56" s="36">
        <v>0</v>
      </c>
      <c r="R56" s="36">
        <v>0</v>
      </c>
      <c r="S56" s="36">
        <v>0</v>
      </c>
      <c r="T56" s="36">
        <v>0</v>
      </c>
      <c r="U56" s="36">
        <v>0</v>
      </c>
      <c r="V56" s="37">
        <f>SUM(BASE_ADM[[#This Row],[jan]:[dez]])</f>
        <v>124.08</v>
      </c>
      <c r="W56" s="38">
        <f>SUM(BASE_ADM[[#This Row],[jan]:[dez]])/12</f>
        <v>10.34</v>
      </c>
      <c r="X56" s="38" t="str">
        <f>_xlfn.CONCAT(LEFT(BASE_ADM[[#This Row],[CONTA CONTABIL]],7),LEFT(BASE_ADM[[#This Row],[CENTRO DE CUSTOS]],5))</f>
        <v>430006023210</v>
      </c>
      <c r="Y56" s="36" cm="1">
        <f t="array" ref="Y5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57" spans="1:25" hidden="1">
      <c r="A57" s="6"/>
      <c r="B57" s="5" t="s">
        <v>1</v>
      </c>
      <c r="C57" s="6" t="s">
        <v>719</v>
      </c>
      <c r="D57" s="6" t="s">
        <v>719</v>
      </c>
      <c r="E57" s="5" t="s">
        <v>19</v>
      </c>
      <c r="F57" s="6" t="s">
        <v>720</v>
      </c>
      <c r="G57" s="12" t="s">
        <v>113</v>
      </c>
      <c r="H57" s="6"/>
      <c r="I57" s="13">
        <v>2025</v>
      </c>
      <c r="J57" s="39">
        <v>0</v>
      </c>
      <c r="K57" s="36">
        <v>1023.26</v>
      </c>
      <c r="L57" s="36">
        <v>76.98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36">
        <v>0</v>
      </c>
      <c r="U57" s="36">
        <v>0</v>
      </c>
      <c r="V57" s="37">
        <f>SUM(BASE_ADM[[#This Row],[jan]:[dez]])</f>
        <v>1100.24</v>
      </c>
      <c r="W57" s="38">
        <f>SUM(BASE_ADM[[#This Row],[jan]:[dez]])/12</f>
        <v>91.686666666666667</v>
      </c>
      <c r="X57" s="38" t="str">
        <f>_xlfn.CONCAT(LEFT(BASE_ADM[[#This Row],[CONTA CONTABIL]],7),LEFT(BASE_ADM[[#This Row],[CENTRO DE CUSTOS]],5))</f>
        <v>430015923210</v>
      </c>
      <c r="Y57" s="36" cm="1">
        <f t="array" ref="Y5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99.759999999999991</v>
      </c>
    </row>
    <row r="58" spans="1:25" hidden="1">
      <c r="A58" s="6"/>
      <c r="B58" s="241" t="s">
        <v>1</v>
      </c>
      <c r="C58" s="242" t="s">
        <v>719</v>
      </c>
      <c r="D58" s="242" t="s">
        <v>719</v>
      </c>
      <c r="E58" s="241" t="s">
        <v>19</v>
      </c>
      <c r="F58" s="242" t="s">
        <v>720</v>
      </c>
      <c r="G58" s="243" t="s">
        <v>113</v>
      </c>
      <c r="H58" s="242" t="s">
        <v>725</v>
      </c>
      <c r="I58" s="244" t="s">
        <v>103</v>
      </c>
      <c r="J58" s="245">
        <v>100</v>
      </c>
      <c r="K58" s="246">
        <v>100</v>
      </c>
      <c r="L58" s="246">
        <v>100</v>
      </c>
      <c r="M58" s="246">
        <v>100</v>
      </c>
      <c r="N58" s="246">
        <v>100</v>
      </c>
      <c r="O58" s="246">
        <v>100</v>
      </c>
      <c r="P58" s="246">
        <v>100</v>
      </c>
      <c r="Q58" s="246">
        <v>100</v>
      </c>
      <c r="R58" s="246">
        <v>100</v>
      </c>
      <c r="S58" s="246">
        <v>100</v>
      </c>
      <c r="T58" s="246">
        <v>100</v>
      </c>
      <c r="U58" s="246">
        <v>100</v>
      </c>
      <c r="V58" s="247">
        <f>SUM(BASE_ADM[[#This Row],[jan]:[dez]])</f>
        <v>1200</v>
      </c>
      <c r="W58" s="247">
        <f>SUM(BASE_ADM[[#This Row],[jan]:[dez]])/12</f>
        <v>100</v>
      </c>
      <c r="X58" s="247" t="str">
        <f>_xlfn.CONCAT(LEFT(BASE_ADM[[#This Row],[CONTA CONTABIL]],7),LEFT(BASE_ADM[[#This Row],[CENTRO DE CUSTOS]],5))</f>
        <v>430015923210</v>
      </c>
      <c r="Y58" s="246" cm="1">
        <f t="array" ref="Y5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99.759999999999991</v>
      </c>
    </row>
    <row r="59" spans="1:25" hidden="1">
      <c r="A59" s="6"/>
      <c r="B59" s="5" t="s">
        <v>1</v>
      </c>
      <c r="C59" s="6" t="s">
        <v>719</v>
      </c>
      <c r="D59" s="6" t="s">
        <v>719</v>
      </c>
      <c r="E59" s="5" t="s">
        <v>17</v>
      </c>
      <c r="F59" s="6" t="s">
        <v>721</v>
      </c>
      <c r="G59" s="12" t="s">
        <v>31</v>
      </c>
      <c r="H59" s="6"/>
      <c r="I59" s="13">
        <v>2018</v>
      </c>
      <c r="J59" s="39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137.78</v>
      </c>
      <c r="Q59" s="36">
        <v>0</v>
      </c>
      <c r="R59" s="36">
        <v>0</v>
      </c>
      <c r="S59" s="36">
        <v>0</v>
      </c>
      <c r="T59" s="36">
        <v>0</v>
      </c>
      <c r="U59" s="36">
        <v>0</v>
      </c>
      <c r="V59" s="37">
        <f>SUM(BASE_ADM[[#This Row],[jan]:[dez]])</f>
        <v>137.78</v>
      </c>
      <c r="W59" s="38">
        <f>SUM(BASE_ADM[[#This Row],[jan]:[dez]])/12</f>
        <v>11.481666666666667</v>
      </c>
      <c r="X59" s="38" t="str">
        <f>_xlfn.CONCAT(LEFT(BASE_ADM[[#This Row],[CONTA CONTABIL]],7),LEFT(BASE_ADM[[#This Row],[CENTRO DE CUSTOS]],5))</f>
        <v>430002723200</v>
      </c>
      <c r="Y59" s="36" cm="1">
        <f t="array" ref="Y5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60" spans="1:25" hidden="1">
      <c r="A60" s="6"/>
      <c r="B60" s="5" t="s">
        <v>1</v>
      </c>
      <c r="C60" s="6" t="s">
        <v>719</v>
      </c>
      <c r="D60" s="6" t="s">
        <v>719</v>
      </c>
      <c r="E60" s="5" t="s">
        <v>17</v>
      </c>
      <c r="F60" s="6" t="s">
        <v>720</v>
      </c>
      <c r="G60" s="12" t="s">
        <v>18</v>
      </c>
      <c r="H60" s="6"/>
      <c r="I60" s="13">
        <v>2019</v>
      </c>
      <c r="J60" s="39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36">
        <v>0</v>
      </c>
      <c r="U60" s="36">
        <v>0.51</v>
      </c>
      <c r="V60" s="37">
        <f>SUM(BASE_ADM[[#This Row],[jan]:[dez]])</f>
        <v>0.51</v>
      </c>
      <c r="W60" s="38">
        <f>SUM(BASE_ADM[[#This Row],[jan]:[dez]])/12</f>
        <v>4.2500000000000003E-2</v>
      </c>
      <c r="X60" s="38" t="str">
        <f>_xlfn.CONCAT(LEFT(BASE_ADM[[#This Row],[CONTA CONTABIL]],7),LEFT(BASE_ADM[[#This Row],[CENTRO DE CUSTOS]],5))</f>
        <v>430007423210</v>
      </c>
      <c r="Y60" s="36" cm="1">
        <f t="array" ref="Y6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61" spans="1:25" hidden="1">
      <c r="A61" s="6"/>
      <c r="B61" s="5" t="s">
        <v>1</v>
      </c>
      <c r="C61" s="6" t="s">
        <v>719</v>
      </c>
      <c r="D61" s="6" t="s">
        <v>719</v>
      </c>
      <c r="E61" s="5" t="s">
        <v>17</v>
      </c>
      <c r="F61" s="6" t="s">
        <v>720</v>
      </c>
      <c r="G61" s="12" t="s">
        <v>18</v>
      </c>
      <c r="H61" s="6"/>
      <c r="I61" s="13">
        <v>2020</v>
      </c>
      <c r="J61" s="39">
        <v>0.5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36">
        <v>0</v>
      </c>
      <c r="U61" s="36">
        <v>0</v>
      </c>
      <c r="V61" s="37">
        <f>SUM(BASE_ADM[[#This Row],[jan]:[dez]])</f>
        <v>0.5</v>
      </c>
      <c r="W61" s="38">
        <f>SUM(BASE_ADM[[#This Row],[jan]:[dez]])/12</f>
        <v>4.1666666666666664E-2</v>
      </c>
      <c r="X61" s="38" t="str">
        <f>_xlfn.CONCAT(LEFT(BASE_ADM[[#This Row],[CONTA CONTABIL]],7),LEFT(BASE_ADM[[#This Row],[CENTRO DE CUSTOS]],5))</f>
        <v>430007423210</v>
      </c>
      <c r="Y61" s="36" cm="1">
        <f t="array" ref="Y6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62" spans="1:25" hidden="1">
      <c r="A62" s="6"/>
      <c r="B62" s="5" t="s">
        <v>1</v>
      </c>
      <c r="C62" s="6" t="s">
        <v>719</v>
      </c>
      <c r="D62" s="6" t="s">
        <v>719</v>
      </c>
      <c r="E62" s="5" t="s">
        <v>17</v>
      </c>
      <c r="F62" s="6" t="s">
        <v>720</v>
      </c>
      <c r="G62" s="12" t="s">
        <v>16</v>
      </c>
      <c r="H62" s="6"/>
      <c r="I62" s="13">
        <v>2021</v>
      </c>
      <c r="J62" s="39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9.4499999999999993</v>
      </c>
      <c r="S62" s="36">
        <v>0</v>
      </c>
      <c r="T62" s="36">
        <v>0</v>
      </c>
      <c r="U62" s="36">
        <v>0</v>
      </c>
      <c r="V62" s="37">
        <f>SUM(BASE_ADM[[#This Row],[jan]:[dez]])</f>
        <v>9.4499999999999993</v>
      </c>
      <c r="W62" s="38">
        <f>SUM(BASE_ADM[[#This Row],[jan]:[dez]])/12</f>
        <v>0.78749999999999998</v>
      </c>
      <c r="X62" s="38" t="str">
        <f>_xlfn.CONCAT(LEFT(BASE_ADM[[#This Row],[CONTA CONTABIL]],7),LEFT(BASE_ADM[[#This Row],[CENTRO DE CUSTOS]],5))</f>
        <v>430007623210</v>
      </c>
      <c r="Y62" s="36" cm="1">
        <f t="array" ref="Y6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63" spans="1:25" hidden="1">
      <c r="A63" s="6"/>
      <c r="B63" s="5" t="s">
        <v>1</v>
      </c>
      <c r="C63" s="6" t="s">
        <v>719</v>
      </c>
      <c r="D63" s="6" t="s">
        <v>719</v>
      </c>
      <c r="E63" s="5" t="s">
        <v>13</v>
      </c>
      <c r="F63" s="6" t="s">
        <v>720</v>
      </c>
      <c r="G63" s="12" t="s">
        <v>15</v>
      </c>
      <c r="H63" s="6"/>
      <c r="I63" s="13">
        <v>2018</v>
      </c>
      <c r="J63" s="39">
        <v>0</v>
      </c>
      <c r="K63" s="36">
        <v>29.99</v>
      </c>
      <c r="L63" s="36">
        <v>0</v>
      </c>
      <c r="M63" s="36">
        <v>0</v>
      </c>
      <c r="N63" s="36">
        <v>0</v>
      </c>
      <c r="O63" s="36">
        <v>466</v>
      </c>
      <c r="P63" s="36">
        <v>0</v>
      </c>
      <c r="Q63" s="36">
        <v>0</v>
      </c>
      <c r="R63" s="36">
        <v>0</v>
      </c>
      <c r="S63" s="36">
        <v>545</v>
      </c>
      <c r="T63" s="36">
        <v>228</v>
      </c>
      <c r="U63" s="36">
        <v>19.899999999999999</v>
      </c>
      <c r="V63" s="37">
        <f>SUM(BASE_ADM[[#This Row],[jan]:[dez]])</f>
        <v>1288.8900000000001</v>
      </c>
      <c r="W63" s="38">
        <f>SUM(BASE_ADM[[#This Row],[jan]:[dez]])/12</f>
        <v>107.40750000000001</v>
      </c>
      <c r="X63" s="38" t="str">
        <f>_xlfn.CONCAT(LEFT(BASE_ADM[[#This Row],[CONTA CONTABIL]],7),LEFT(BASE_ADM[[#This Row],[CENTRO DE CUSTOS]],5))</f>
        <v>430007923210</v>
      </c>
      <c r="Y63" s="36" cm="1">
        <f t="array" ref="Y6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4" spans="1:25" hidden="1">
      <c r="A64" s="6"/>
      <c r="B64" s="5" t="s">
        <v>1</v>
      </c>
      <c r="C64" s="6" t="s">
        <v>719</v>
      </c>
      <c r="D64" s="6" t="s">
        <v>719</v>
      </c>
      <c r="E64" s="5" t="s">
        <v>13</v>
      </c>
      <c r="F64" s="6" t="s">
        <v>720</v>
      </c>
      <c r="G64" s="12" t="s">
        <v>15</v>
      </c>
      <c r="H64" s="6"/>
      <c r="I64" s="13">
        <v>2019</v>
      </c>
      <c r="J64" s="39">
        <v>0</v>
      </c>
      <c r="K64" s="36">
        <v>690</v>
      </c>
      <c r="L64" s="36">
        <v>0</v>
      </c>
      <c r="M64" s="36">
        <v>185</v>
      </c>
      <c r="N64" s="36">
        <v>1237.96</v>
      </c>
      <c r="O64" s="36">
        <v>0</v>
      </c>
      <c r="P64" s="36">
        <v>0</v>
      </c>
      <c r="Q64" s="36">
        <v>0</v>
      </c>
      <c r="R64" s="36">
        <v>0</v>
      </c>
      <c r="S64" s="36">
        <v>1249.9100000000001</v>
      </c>
      <c r="T64" s="36">
        <v>0</v>
      </c>
      <c r="U64" s="36">
        <v>0</v>
      </c>
      <c r="V64" s="37">
        <f>SUM(BASE_ADM[[#This Row],[jan]:[dez]])</f>
        <v>3362.87</v>
      </c>
      <c r="W64" s="38">
        <f>SUM(BASE_ADM[[#This Row],[jan]:[dez]])/12</f>
        <v>280.23916666666668</v>
      </c>
      <c r="X64" s="38" t="str">
        <f>_xlfn.CONCAT(LEFT(BASE_ADM[[#This Row],[CONTA CONTABIL]],7),LEFT(BASE_ADM[[#This Row],[CENTRO DE CUSTOS]],5))</f>
        <v>430007923210</v>
      </c>
      <c r="Y64" s="36" cm="1">
        <f t="array" ref="Y6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5" spans="1:25" hidden="1">
      <c r="A65" s="6"/>
      <c r="B65" s="5" t="s">
        <v>1</v>
      </c>
      <c r="C65" s="6" t="s">
        <v>719</v>
      </c>
      <c r="D65" s="6" t="s">
        <v>719</v>
      </c>
      <c r="E65" s="5" t="s">
        <v>13</v>
      </c>
      <c r="F65" s="6" t="s">
        <v>720</v>
      </c>
      <c r="G65" s="12" t="s">
        <v>15</v>
      </c>
      <c r="H65" s="6"/>
      <c r="I65" s="13">
        <v>2020</v>
      </c>
      <c r="J65" s="39">
        <v>0</v>
      </c>
      <c r="K65" s="36">
        <v>984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655</v>
      </c>
      <c r="T65" s="36">
        <v>0</v>
      </c>
      <c r="U65" s="36">
        <v>0</v>
      </c>
      <c r="V65" s="37">
        <f>SUM(BASE_ADM[[#This Row],[jan]:[dez]])</f>
        <v>1639</v>
      </c>
      <c r="W65" s="38">
        <f>SUM(BASE_ADM[[#This Row],[jan]:[dez]])/12</f>
        <v>136.58333333333334</v>
      </c>
      <c r="X65" s="38" t="str">
        <f>_xlfn.CONCAT(LEFT(BASE_ADM[[#This Row],[CONTA CONTABIL]],7),LEFT(BASE_ADM[[#This Row],[CENTRO DE CUSTOS]],5))</f>
        <v>430007923210</v>
      </c>
      <c r="Y65" s="36" cm="1">
        <f t="array" ref="Y6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6" spans="1:25" hidden="1">
      <c r="A66" s="6"/>
      <c r="B66" s="5" t="s">
        <v>1</v>
      </c>
      <c r="C66" s="6" t="s">
        <v>719</v>
      </c>
      <c r="D66" s="6" t="s">
        <v>719</v>
      </c>
      <c r="E66" s="5" t="s">
        <v>13</v>
      </c>
      <c r="F66" s="6" t="s">
        <v>720</v>
      </c>
      <c r="G66" s="12" t="s">
        <v>15</v>
      </c>
      <c r="H66" s="6"/>
      <c r="I66" s="13">
        <v>2021</v>
      </c>
      <c r="J66" s="39">
        <v>0</v>
      </c>
      <c r="K66" s="36">
        <v>655</v>
      </c>
      <c r="L66" s="36">
        <v>0</v>
      </c>
      <c r="M66" s="36">
        <v>0</v>
      </c>
      <c r="N66" s="36">
        <v>0</v>
      </c>
      <c r="O66" s="36">
        <v>100.41</v>
      </c>
      <c r="P66" s="36">
        <v>0</v>
      </c>
      <c r="Q66" s="36">
        <v>279.98</v>
      </c>
      <c r="R66" s="36">
        <v>1470</v>
      </c>
      <c r="S66" s="36">
        <v>0</v>
      </c>
      <c r="T66" s="36">
        <v>488.05</v>
      </c>
      <c r="U66" s="36">
        <v>5424</v>
      </c>
      <c r="V66" s="37">
        <f>SUM(BASE_ADM[[#This Row],[jan]:[dez]])</f>
        <v>8417.44</v>
      </c>
      <c r="W66" s="38">
        <f>SUM(BASE_ADM[[#This Row],[jan]:[dez]])/12</f>
        <v>701.45333333333338</v>
      </c>
      <c r="X66" s="38" t="str">
        <f>_xlfn.CONCAT(LEFT(BASE_ADM[[#This Row],[CONTA CONTABIL]],7),LEFT(BASE_ADM[[#This Row],[CENTRO DE CUSTOS]],5))</f>
        <v>430007923210</v>
      </c>
      <c r="Y66" s="36" cm="1">
        <f t="array" ref="Y6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7" spans="1:25" hidden="1">
      <c r="A67" s="6"/>
      <c r="B67" s="5" t="s">
        <v>1</v>
      </c>
      <c r="C67" s="6" t="s">
        <v>719</v>
      </c>
      <c r="D67" s="6" t="s">
        <v>719</v>
      </c>
      <c r="E67" s="5" t="s">
        <v>13</v>
      </c>
      <c r="F67" s="6" t="s">
        <v>720</v>
      </c>
      <c r="G67" s="12" t="s">
        <v>15</v>
      </c>
      <c r="H67" s="6"/>
      <c r="I67" s="13">
        <v>2022</v>
      </c>
      <c r="J67" s="39">
        <v>377.9</v>
      </c>
      <c r="K67" s="36">
        <v>0</v>
      </c>
      <c r="L67" s="36">
        <v>0</v>
      </c>
      <c r="M67" s="36">
        <v>140.63999999999999</v>
      </c>
      <c r="N67" s="36">
        <v>0</v>
      </c>
      <c r="O67" s="36">
        <v>0</v>
      </c>
      <c r="P67" s="36">
        <v>0</v>
      </c>
      <c r="Q67" s="36">
        <v>0</v>
      </c>
      <c r="R67" s="36">
        <v>189.12</v>
      </c>
      <c r="S67" s="36">
        <v>0</v>
      </c>
      <c r="T67" s="36">
        <v>0</v>
      </c>
      <c r="U67" s="36">
        <v>0</v>
      </c>
      <c r="V67" s="37">
        <f>SUM(BASE_ADM[[#This Row],[jan]:[dez]])</f>
        <v>707.66</v>
      </c>
      <c r="W67" s="38">
        <f>SUM(BASE_ADM[[#This Row],[jan]:[dez]])/12</f>
        <v>58.971666666666664</v>
      </c>
      <c r="X67" s="38" t="str">
        <f>_xlfn.CONCAT(LEFT(BASE_ADM[[#This Row],[CONTA CONTABIL]],7),LEFT(BASE_ADM[[#This Row],[CENTRO DE CUSTOS]],5))</f>
        <v>430007923210</v>
      </c>
      <c r="Y67" s="36" cm="1">
        <f t="array" ref="Y6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8" spans="1:25" hidden="1">
      <c r="A68" s="6"/>
      <c r="B68" s="5" t="s">
        <v>1</v>
      </c>
      <c r="C68" s="6" t="s">
        <v>719</v>
      </c>
      <c r="D68" s="6" t="s">
        <v>719</v>
      </c>
      <c r="E68" s="5" t="s">
        <v>13</v>
      </c>
      <c r="F68" s="6" t="s">
        <v>720</v>
      </c>
      <c r="G68" s="12" t="s">
        <v>15</v>
      </c>
      <c r="H68" s="6"/>
      <c r="I68" s="13">
        <v>2023</v>
      </c>
      <c r="J68" s="39">
        <v>105.9</v>
      </c>
      <c r="K68" s="36">
        <v>0</v>
      </c>
      <c r="L68" s="36">
        <v>689.8</v>
      </c>
      <c r="M68" s="36">
        <v>228</v>
      </c>
      <c r="N68" s="36">
        <v>0</v>
      </c>
      <c r="O68" s="36">
        <v>132.9</v>
      </c>
      <c r="P68" s="36">
        <v>0</v>
      </c>
      <c r="Q68" s="36">
        <v>0</v>
      </c>
      <c r="R68" s="36">
        <v>82.77</v>
      </c>
      <c r="S68" s="36">
        <v>227.05</v>
      </c>
      <c r="T68" s="36">
        <v>370.3</v>
      </c>
      <c r="U68" s="36">
        <v>1155</v>
      </c>
      <c r="V68" s="37">
        <f>SUM(BASE_ADM[[#This Row],[jan]:[dez]])</f>
        <v>2991.72</v>
      </c>
      <c r="W68" s="38">
        <f>SUM(BASE_ADM[[#This Row],[jan]:[dez]])/12</f>
        <v>249.30999999999997</v>
      </c>
      <c r="X68" s="38" t="str">
        <f>_xlfn.CONCAT(LEFT(BASE_ADM[[#This Row],[CONTA CONTABIL]],7),LEFT(BASE_ADM[[#This Row],[CENTRO DE CUSTOS]],5))</f>
        <v>430007923210</v>
      </c>
      <c r="Y68" s="36" cm="1">
        <f t="array" ref="Y6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9" spans="1:25" hidden="1">
      <c r="A69" s="6"/>
      <c r="B69" s="5" t="s">
        <v>1</v>
      </c>
      <c r="C69" s="6" t="s">
        <v>719</v>
      </c>
      <c r="D69" s="6" t="s">
        <v>719</v>
      </c>
      <c r="E69" s="5" t="s">
        <v>13</v>
      </c>
      <c r="F69" s="6" t="s">
        <v>720</v>
      </c>
      <c r="G69" s="12" t="s">
        <v>15</v>
      </c>
      <c r="H69" s="6"/>
      <c r="I69" s="13">
        <v>2024</v>
      </c>
      <c r="J69" s="39">
        <v>0</v>
      </c>
      <c r="K69" s="36">
        <v>304.54999999999995</v>
      </c>
      <c r="L69" s="36">
        <v>17.61</v>
      </c>
      <c r="M69" s="36">
        <v>0</v>
      </c>
      <c r="N69" s="36">
        <v>0</v>
      </c>
      <c r="O69" s="36">
        <v>3108</v>
      </c>
      <c r="P69" s="36">
        <v>819</v>
      </c>
      <c r="Q69" s="36">
        <v>0</v>
      </c>
      <c r="R69" s="36">
        <v>231</v>
      </c>
      <c r="S69" s="36">
        <v>1120</v>
      </c>
      <c r="T69" s="36">
        <v>1477.41</v>
      </c>
      <c r="U69" s="36">
        <v>0</v>
      </c>
      <c r="V69" s="37">
        <f>SUM(BASE_ADM[[#This Row],[jan]:[dez]])</f>
        <v>7077.57</v>
      </c>
      <c r="W69" s="38">
        <f>SUM(BASE_ADM[[#This Row],[jan]:[dez]])/12</f>
        <v>589.79750000000001</v>
      </c>
      <c r="X69" s="38" t="str">
        <f>_xlfn.CONCAT(LEFT(BASE_ADM[[#This Row],[CONTA CONTABIL]],7),LEFT(BASE_ADM[[#This Row],[CENTRO DE CUSTOS]],5))</f>
        <v>430007923210</v>
      </c>
      <c r="Y69" s="36" cm="1">
        <f t="array" ref="Y6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70" spans="1:25" hidden="1">
      <c r="A70" s="6"/>
      <c r="B70" s="5" t="s">
        <v>1</v>
      </c>
      <c r="C70" s="6" t="s">
        <v>719</v>
      </c>
      <c r="D70" s="6" t="s">
        <v>719</v>
      </c>
      <c r="E70" s="5" t="s">
        <v>13</v>
      </c>
      <c r="F70" s="6" t="s">
        <v>720</v>
      </c>
      <c r="G70" s="12" t="s">
        <v>15</v>
      </c>
      <c r="H70" s="6"/>
      <c r="I70" s="13">
        <v>2025</v>
      </c>
      <c r="J70" s="39">
        <v>302.39999999999998</v>
      </c>
      <c r="K70" s="36">
        <v>383.64000000000004</v>
      </c>
      <c r="L70" s="36">
        <v>723.09</v>
      </c>
      <c r="M70" s="36">
        <v>899.42000000000007</v>
      </c>
      <c r="N70" s="36">
        <v>0</v>
      </c>
      <c r="O70" s="36">
        <v>0</v>
      </c>
      <c r="P70" s="36">
        <v>31.81</v>
      </c>
      <c r="Q70" s="36">
        <v>419.86</v>
      </c>
      <c r="R70" s="36">
        <v>350</v>
      </c>
      <c r="S70" s="36">
        <v>0</v>
      </c>
      <c r="T70" s="36">
        <v>0</v>
      </c>
      <c r="U70" s="36">
        <v>0</v>
      </c>
      <c r="V70" s="37">
        <f>SUM(BASE_ADM[[#This Row],[jan]:[dez]])</f>
        <v>3110.2200000000003</v>
      </c>
      <c r="W70" s="38">
        <f>SUM(BASE_ADM[[#This Row],[jan]:[dez]])/12</f>
        <v>259.185</v>
      </c>
      <c r="X70" s="38" t="str">
        <f>_xlfn.CONCAT(LEFT(BASE_ADM[[#This Row],[CONTA CONTABIL]],7),LEFT(BASE_ADM[[#This Row],[CENTRO DE CUSTOS]],5))</f>
        <v>430007923210</v>
      </c>
      <c r="Y70" s="36" cm="1">
        <f t="array" ref="Y7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71" spans="1:25" hidden="1">
      <c r="A71" s="6"/>
      <c r="B71" s="241" t="s">
        <v>1</v>
      </c>
      <c r="C71" s="242" t="s">
        <v>719</v>
      </c>
      <c r="D71" s="242" t="s">
        <v>719</v>
      </c>
      <c r="E71" s="241" t="s">
        <v>13</v>
      </c>
      <c r="F71" s="242" t="s">
        <v>720</v>
      </c>
      <c r="G71" s="243" t="s">
        <v>15</v>
      </c>
      <c r="H71" s="242" t="s">
        <v>725</v>
      </c>
      <c r="I71" s="244" t="s">
        <v>103</v>
      </c>
      <c r="J71" s="245">
        <v>300</v>
      </c>
      <c r="K71" s="246">
        <v>300</v>
      </c>
      <c r="L71" s="246">
        <v>300</v>
      </c>
      <c r="M71" s="246">
        <v>300</v>
      </c>
      <c r="N71" s="246">
        <v>300</v>
      </c>
      <c r="O71" s="246">
        <v>300</v>
      </c>
      <c r="P71" s="246">
        <v>300</v>
      </c>
      <c r="Q71" s="246">
        <v>300</v>
      </c>
      <c r="R71" s="246">
        <v>300</v>
      </c>
      <c r="S71" s="246">
        <v>300</v>
      </c>
      <c r="T71" s="246">
        <v>300</v>
      </c>
      <c r="U71" s="246">
        <v>300</v>
      </c>
      <c r="V71" s="247">
        <f>SUM(BASE_ADM[[#This Row],[jan]:[dez]])</f>
        <v>3600</v>
      </c>
      <c r="W71" s="247">
        <f>SUM(BASE_ADM[[#This Row],[jan]:[dez]])/12</f>
        <v>300</v>
      </c>
      <c r="X71" s="247" t="str">
        <f>_xlfn.CONCAT(LEFT(BASE_ADM[[#This Row],[CONTA CONTABIL]],7),LEFT(BASE_ADM[[#This Row],[CENTRO DE CUSTOS]],5))</f>
        <v>430007923210</v>
      </c>
      <c r="Y71" s="246" cm="1">
        <f t="array" ref="Y7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72" spans="1:25" hidden="1">
      <c r="A72" s="6"/>
      <c r="B72" s="5" t="s">
        <v>1</v>
      </c>
      <c r="C72" s="6" t="s">
        <v>719</v>
      </c>
      <c r="D72" s="6" t="s">
        <v>719</v>
      </c>
      <c r="E72" s="5" t="s">
        <v>13</v>
      </c>
      <c r="F72" s="6" t="s">
        <v>720</v>
      </c>
      <c r="G72" s="12" t="s">
        <v>14</v>
      </c>
      <c r="H72" s="6"/>
      <c r="I72" s="13">
        <v>2018</v>
      </c>
      <c r="J72" s="39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6412.49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7">
        <f>SUM(BASE_ADM[[#This Row],[jan]:[dez]])</f>
        <v>6412.49</v>
      </c>
      <c r="W72" s="38">
        <f>SUM(BASE_ADM[[#This Row],[jan]:[dez]])/12</f>
        <v>534.37416666666661</v>
      </c>
      <c r="X72" s="38" t="str">
        <f>_xlfn.CONCAT(LEFT(BASE_ADM[[#This Row],[CONTA CONTABIL]],7),LEFT(BASE_ADM[[#This Row],[CENTRO DE CUSTOS]],5))</f>
        <v>430008023210</v>
      </c>
      <c r="Y72" s="36" cm="1">
        <f t="array" ref="Y7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5073.8600000000006</v>
      </c>
    </row>
    <row r="73" spans="1:25" hidden="1">
      <c r="A73" s="6"/>
      <c r="B73" s="5" t="s">
        <v>1</v>
      </c>
      <c r="C73" s="6" t="s">
        <v>719</v>
      </c>
      <c r="D73" s="6" t="s">
        <v>719</v>
      </c>
      <c r="E73" s="5" t="s">
        <v>13</v>
      </c>
      <c r="F73" s="6" t="s">
        <v>720</v>
      </c>
      <c r="G73" s="12" t="s">
        <v>14</v>
      </c>
      <c r="H73" s="6"/>
      <c r="I73" s="13">
        <v>2023</v>
      </c>
      <c r="J73" s="39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5394</v>
      </c>
      <c r="R73" s="36">
        <v>0</v>
      </c>
      <c r="S73" s="36">
        <v>0</v>
      </c>
      <c r="T73" s="36">
        <v>0</v>
      </c>
      <c r="U73" s="36">
        <v>0</v>
      </c>
      <c r="V73" s="37">
        <f>SUM(BASE_ADM[[#This Row],[jan]:[dez]])</f>
        <v>5394</v>
      </c>
      <c r="W73" s="38">
        <f>SUM(BASE_ADM[[#This Row],[jan]:[dez]])/12</f>
        <v>449.5</v>
      </c>
      <c r="X73" s="38" t="str">
        <f>_xlfn.CONCAT(LEFT(BASE_ADM[[#This Row],[CONTA CONTABIL]],7),LEFT(BASE_ADM[[#This Row],[CENTRO DE CUSTOS]],5))</f>
        <v>430008023210</v>
      </c>
      <c r="Y73" s="36" cm="1">
        <f t="array" ref="Y7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5073.8600000000006</v>
      </c>
    </row>
    <row r="74" spans="1:25" hidden="1">
      <c r="A74" s="6"/>
      <c r="B74" s="5" t="s">
        <v>1</v>
      </c>
      <c r="C74" s="6" t="s">
        <v>719</v>
      </c>
      <c r="D74" s="6" t="s">
        <v>719</v>
      </c>
      <c r="E74" s="5" t="s">
        <v>13</v>
      </c>
      <c r="F74" s="6" t="s">
        <v>720</v>
      </c>
      <c r="G74" s="12" t="s">
        <v>14</v>
      </c>
      <c r="H74" s="6"/>
      <c r="I74" s="13">
        <v>2024</v>
      </c>
      <c r="J74" s="39">
        <v>9518</v>
      </c>
      <c r="K74" s="36">
        <v>0</v>
      </c>
      <c r="L74" s="36">
        <v>0</v>
      </c>
      <c r="M74" s="36">
        <v>636.5</v>
      </c>
      <c r="N74" s="36">
        <v>0</v>
      </c>
      <c r="O74" s="36">
        <v>0</v>
      </c>
      <c r="P74" s="36">
        <v>267.89999999999998</v>
      </c>
      <c r="Q74" s="36">
        <v>1094.3</v>
      </c>
      <c r="R74" s="36">
        <v>0</v>
      </c>
      <c r="S74" s="36">
        <v>0</v>
      </c>
      <c r="T74" s="36">
        <v>868.6400000000001</v>
      </c>
      <c r="U74" s="36">
        <v>936.75</v>
      </c>
      <c r="V74" s="37">
        <f>SUM(BASE_ADM[[#This Row],[jan]:[dez]])</f>
        <v>13322.089999999998</v>
      </c>
      <c r="W74" s="38">
        <f>SUM(BASE_ADM[[#This Row],[jan]:[dez]])/12</f>
        <v>1110.1741666666665</v>
      </c>
      <c r="X74" s="38" t="str">
        <f>_xlfn.CONCAT(LEFT(BASE_ADM[[#This Row],[CONTA CONTABIL]],7),LEFT(BASE_ADM[[#This Row],[CENTRO DE CUSTOS]],5))</f>
        <v>430008023210</v>
      </c>
      <c r="Y74" s="36" cm="1">
        <f t="array" ref="Y7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5073.8600000000006</v>
      </c>
    </row>
    <row r="75" spans="1:25" hidden="1">
      <c r="A75" s="6"/>
      <c r="B75" s="5" t="s">
        <v>1</v>
      </c>
      <c r="C75" s="6" t="s">
        <v>719</v>
      </c>
      <c r="D75" s="6" t="s">
        <v>719</v>
      </c>
      <c r="E75" s="5" t="s">
        <v>13</v>
      </c>
      <c r="F75" s="6" t="s">
        <v>720</v>
      </c>
      <c r="G75" s="12" t="s">
        <v>14</v>
      </c>
      <c r="H75" s="6"/>
      <c r="I75" s="13">
        <v>2025</v>
      </c>
      <c r="J75" s="39">
        <v>0</v>
      </c>
      <c r="K75" s="36">
        <v>292.8</v>
      </c>
      <c r="L75" s="36">
        <v>0</v>
      </c>
      <c r="M75" s="36">
        <v>0</v>
      </c>
      <c r="N75" s="36">
        <v>976.03</v>
      </c>
      <c r="O75" s="36">
        <v>0</v>
      </c>
      <c r="P75" s="36">
        <v>375</v>
      </c>
      <c r="Q75" s="36">
        <v>1082.31</v>
      </c>
      <c r="R75" s="36">
        <v>2100</v>
      </c>
      <c r="S75" s="36">
        <v>0</v>
      </c>
      <c r="T75" s="36">
        <v>2100</v>
      </c>
      <c r="U75" s="36">
        <v>0</v>
      </c>
      <c r="V75" s="37">
        <f>SUM(BASE_ADM[[#This Row],[jan]:[dez]])</f>
        <v>6926.1399999999994</v>
      </c>
      <c r="W75" s="38">
        <f>SUM(BASE_ADM[[#This Row],[jan]:[dez]])/12</f>
        <v>577.17833333333328</v>
      </c>
      <c r="X75" s="38" t="str">
        <f>_xlfn.CONCAT(LEFT(BASE_ADM[[#This Row],[CONTA CONTABIL]],7),LEFT(BASE_ADM[[#This Row],[CENTRO DE CUSTOS]],5))</f>
        <v>430008023210</v>
      </c>
      <c r="Y75" s="36" cm="1">
        <f t="array" ref="Y7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5073.8600000000006</v>
      </c>
    </row>
    <row r="76" spans="1:25" hidden="1">
      <c r="A76" s="6"/>
      <c r="B76" s="241" t="s">
        <v>1</v>
      </c>
      <c r="C76" s="242" t="s">
        <v>719</v>
      </c>
      <c r="D76" s="242" t="s">
        <v>719</v>
      </c>
      <c r="E76" s="241" t="s">
        <v>13</v>
      </c>
      <c r="F76" s="242" t="s">
        <v>720</v>
      </c>
      <c r="G76" s="243" t="s">
        <v>14</v>
      </c>
      <c r="H76" s="242" t="s">
        <v>725</v>
      </c>
      <c r="I76" s="244" t="s">
        <v>103</v>
      </c>
      <c r="J76" s="245">
        <v>1000</v>
      </c>
      <c r="K76" s="246">
        <v>1000</v>
      </c>
      <c r="L76" s="246">
        <v>1000</v>
      </c>
      <c r="M76" s="246">
        <v>1000</v>
      </c>
      <c r="N76" s="246">
        <v>1000</v>
      </c>
      <c r="O76" s="246">
        <v>1000</v>
      </c>
      <c r="P76" s="246">
        <v>1000</v>
      </c>
      <c r="Q76" s="246">
        <v>1000</v>
      </c>
      <c r="R76" s="246">
        <v>1000</v>
      </c>
      <c r="S76" s="246">
        <v>1000</v>
      </c>
      <c r="T76" s="246">
        <v>1000</v>
      </c>
      <c r="U76" s="246">
        <v>1000</v>
      </c>
      <c r="V76" s="247">
        <f>SUM(BASE_ADM[[#This Row],[jan]:[dez]])</f>
        <v>12000</v>
      </c>
      <c r="W76" s="247">
        <f>SUM(BASE_ADM[[#This Row],[jan]:[dez]])/12</f>
        <v>1000</v>
      </c>
      <c r="X76" s="247" t="str">
        <f>_xlfn.CONCAT(LEFT(BASE_ADM[[#This Row],[CONTA CONTABIL]],7),LEFT(BASE_ADM[[#This Row],[CENTRO DE CUSTOS]],5))</f>
        <v>430008023210</v>
      </c>
      <c r="Y76" s="246" cm="1">
        <f t="array" ref="Y7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5073.8600000000006</v>
      </c>
    </row>
    <row r="77" spans="1:25" hidden="1">
      <c r="A77" s="6"/>
      <c r="B77" s="5" t="s">
        <v>1</v>
      </c>
      <c r="C77" s="6" t="s">
        <v>719</v>
      </c>
      <c r="D77" s="6" t="s">
        <v>719</v>
      </c>
      <c r="E77" s="5" t="s">
        <v>13</v>
      </c>
      <c r="F77" s="6" t="s">
        <v>720</v>
      </c>
      <c r="G77" s="12" t="s">
        <v>12</v>
      </c>
      <c r="H77" s="6"/>
      <c r="I77" s="13">
        <v>2018</v>
      </c>
      <c r="J77" s="39">
        <v>2536.31</v>
      </c>
      <c r="K77" s="36">
        <v>2533.85</v>
      </c>
      <c r="L77" s="36">
        <v>2533.85</v>
      </c>
      <c r="M77" s="36">
        <v>2533.85</v>
      </c>
      <c r="N77" s="36">
        <v>2420.9699999999998</v>
      </c>
      <c r="O77" s="36">
        <v>2420.9899999999998</v>
      </c>
      <c r="P77" s="36">
        <v>2717.99</v>
      </c>
      <c r="Q77" s="36">
        <v>2428.2399999999998</v>
      </c>
      <c r="R77" s="36">
        <v>2459.19</v>
      </c>
      <c r="S77" s="36">
        <v>2459.19</v>
      </c>
      <c r="T77" s="36">
        <v>2459.19</v>
      </c>
      <c r="U77" s="36">
        <v>0</v>
      </c>
      <c r="V77" s="37">
        <f>SUM(BASE_ADM[[#This Row],[jan]:[dez]])</f>
        <v>27503.619999999992</v>
      </c>
      <c r="W77" s="38">
        <f>SUM(BASE_ADM[[#This Row],[jan]:[dez]])/12</f>
        <v>2291.9683333333328</v>
      </c>
      <c r="X77" s="38" t="str">
        <f>_xlfn.CONCAT(LEFT(BASE_ADM[[#This Row],[CONTA CONTABIL]],7),LEFT(BASE_ADM[[#This Row],[CENTRO DE CUSTOS]],5))</f>
        <v>430008123210</v>
      </c>
      <c r="Y77" s="36" cm="1">
        <f t="array" ref="Y7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78" spans="1:25" hidden="1">
      <c r="A78" s="6"/>
      <c r="B78" s="5" t="s">
        <v>1</v>
      </c>
      <c r="C78" s="6" t="s">
        <v>719</v>
      </c>
      <c r="D78" s="6" t="s">
        <v>719</v>
      </c>
      <c r="E78" s="5" t="s">
        <v>13</v>
      </c>
      <c r="F78" s="6" t="s">
        <v>720</v>
      </c>
      <c r="G78" s="12" t="s">
        <v>12</v>
      </c>
      <c r="H78" s="6"/>
      <c r="I78" s="13">
        <v>2019</v>
      </c>
      <c r="J78" s="39">
        <v>4918.38</v>
      </c>
      <c r="K78" s="36">
        <v>2459.19</v>
      </c>
      <c r="L78" s="36">
        <v>2586.81</v>
      </c>
      <c r="M78" s="36">
        <v>2586.81</v>
      </c>
      <c r="N78" s="36">
        <v>2602.29</v>
      </c>
      <c r="O78" s="36">
        <v>2602.29</v>
      </c>
      <c r="P78" s="36">
        <v>2602.29</v>
      </c>
      <c r="Q78" s="36">
        <v>2608.33</v>
      </c>
      <c r="R78" s="36">
        <v>2627.11</v>
      </c>
      <c r="S78" s="36">
        <v>2627.11</v>
      </c>
      <c r="T78" s="36">
        <v>2627.11</v>
      </c>
      <c r="U78" s="36">
        <v>2627.11</v>
      </c>
      <c r="V78" s="37">
        <f>SUM(BASE_ADM[[#This Row],[jan]:[dez]])</f>
        <v>33474.83</v>
      </c>
      <c r="W78" s="38">
        <f>SUM(BASE_ADM[[#This Row],[jan]:[dez]])/12</f>
        <v>2789.5691666666667</v>
      </c>
      <c r="X78" s="38" t="str">
        <f>_xlfn.CONCAT(LEFT(BASE_ADM[[#This Row],[CONTA CONTABIL]],7),LEFT(BASE_ADM[[#This Row],[CENTRO DE CUSTOS]],5))</f>
        <v>430008123210</v>
      </c>
      <c r="Y78" s="36" cm="1">
        <f t="array" ref="Y7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79" spans="1:25" hidden="1">
      <c r="A79" s="6"/>
      <c r="B79" s="5" t="s">
        <v>1</v>
      </c>
      <c r="C79" s="6" t="s">
        <v>719</v>
      </c>
      <c r="D79" s="6" t="s">
        <v>719</v>
      </c>
      <c r="E79" s="5" t="s">
        <v>13</v>
      </c>
      <c r="F79" s="6" t="s">
        <v>720</v>
      </c>
      <c r="G79" s="12" t="s">
        <v>12</v>
      </c>
      <c r="H79" s="6"/>
      <c r="I79" s="13">
        <v>2020</v>
      </c>
      <c r="J79" s="39">
        <v>2627.11</v>
      </c>
      <c r="K79" s="36">
        <v>2627.11</v>
      </c>
      <c r="L79" s="36">
        <v>2750.26</v>
      </c>
      <c r="M79" s="36">
        <v>2750.26</v>
      </c>
      <c r="N79" s="36">
        <v>2750.26</v>
      </c>
      <c r="O79" s="36">
        <v>2758.21</v>
      </c>
      <c r="P79" s="36">
        <v>2758.21</v>
      </c>
      <c r="Q79" s="36">
        <v>2767.57</v>
      </c>
      <c r="R79" s="36">
        <v>2819.27</v>
      </c>
      <c r="S79" s="36">
        <v>2819.27</v>
      </c>
      <c r="T79" s="36">
        <v>2819.27</v>
      </c>
      <c r="U79" s="36">
        <v>3819.27</v>
      </c>
      <c r="V79" s="37">
        <f>SUM(BASE_ADM[[#This Row],[jan]:[dez]])</f>
        <v>34066.07</v>
      </c>
      <c r="W79" s="38">
        <f>SUM(BASE_ADM[[#This Row],[jan]:[dez]])/12</f>
        <v>2838.8391666666666</v>
      </c>
      <c r="X79" s="38" t="str">
        <f>_xlfn.CONCAT(LEFT(BASE_ADM[[#This Row],[CONTA CONTABIL]],7),LEFT(BASE_ADM[[#This Row],[CENTRO DE CUSTOS]],5))</f>
        <v>430008123210</v>
      </c>
      <c r="Y79" s="36" cm="1">
        <f t="array" ref="Y7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80" spans="1:25" hidden="1">
      <c r="A80" s="6"/>
      <c r="B80" s="5" t="s">
        <v>1</v>
      </c>
      <c r="C80" s="6" t="s">
        <v>719</v>
      </c>
      <c r="D80" s="6" t="s">
        <v>719</v>
      </c>
      <c r="E80" s="5" t="s">
        <v>13</v>
      </c>
      <c r="F80" s="6" t="s">
        <v>720</v>
      </c>
      <c r="G80" s="12" t="s">
        <v>12</v>
      </c>
      <c r="H80" s="6"/>
      <c r="I80" s="13">
        <v>2021</v>
      </c>
      <c r="J80" s="39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280.47000000000003</v>
      </c>
      <c r="V80" s="37">
        <f>SUM(BASE_ADM[[#This Row],[jan]:[dez]])</f>
        <v>280.47000000000003</v>
      </c>
      <c r="W80" s="38">
        <f>SUM(BASE_ADM[[#This Row],[jan]:[dez]])/12</f>
        <v>23.372500000000002</v>
      </c>
      <c r="X80" s="38" t="str">
        <f>_xlfn.CONCAT(LEFT(BASE_ADM[[#This Row],[CONTA CONTABIL]],7),LEFT(BASE_ADM[[#This Row],[CENTRO DE CUSTOS]],5))</f>
        <v>430008123210</v>
      </c>
      <c r="Y80" s="36" cm="1">
        <f t="array" ref="Y8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81" spans="1:25" hidden="1">
      <c r="A81" s="6"/>
      <c r="B81" s="5" t="s">
        <v>1</v>
      </c>
      <c r="C81" s="6" t="s">
        <v>719</v>
      </c>
      <c r="D81" s="6" t="s">
        <v>719</v>
      </c>
      <c r="E81" s="5" t="s">
        <v>13</v>
      </c>
      <c r="F81" s="6" t="s">
        <v>720</v>
      </c>
      <c r="G81" s="12" t="s">
        <v>12</v>
      </c>
      <c r="H81" s="6"/>
      <c r="I81" s="13">
        <v>2024</v>
      </c>
      <c r="J81" s="39">
        <v>0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22500</v>
      </c>
      <c r="S81" s="36">
        <v>0</v>
      </c>
      <c r="T81" s="36">
        <v>0</v>
      </c>
      <c r="U81" s="36">
        <v>-22500</v>
      </c>
      <c r="V81" s="37">
        <f>SUM(BASE_ADM[[#This Row],[jan]:[dez]])</f>
        <v>0</v>
      </c>
      <c r="W81" s="38">
        <f>SUM(BASE_ADM[[#This Row],[jan]:[dez]])/12</f>
        <v>0</v>
      </c>
      <c r="X81" s="38" t="str">
        <f>_xlfn.CONCAT(LEFT(BASE_ADM[[#This Row],[CONTA CONTABIL]],7),LEFT(BASE_ADM[[#This Row],[CENTRO DE CUSTOS]],5))</f>
        <v>430008123210</v>
      </c>
      <c r="Y81" s="36" cm="1">
        <f t="array" ref="Y8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82" spans="1:25" hidden="1">
      <c r="A82" s="6"/>
      <c r="B82" s="5" t="s">
        <v>1</v>
      </c>
      <c r="C82" s="6" t="s">
        <v>719</v>
      </c>
      <c r="D82" s="6" t="s">
        <v>719</v>
      </c>
      <c r="E82" s="5" t="s">
        <v>13</v>
      </c>
      <c r="F82" s="6" t="s">
        <v>720</v>
      </c>
      <c r="G82" s="12" t="s">
        <v>12</v>
      </c>
      <c r="H82" s="6"/>
      <c r="I82" s="13">
        <v>2025</v>
      </c>
      <c r="J82" s="39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1968</v>
      </c>
      <c r="S82" s="36">
        <v>0</v>
      </c>
      <c r="T82" s="36">
        <v>0</v>
      </c>
      <c r="U82" s="36">
        <v>0</v>
      </c>
      <c r="V82" s="37">
        <f>SUM(BASE_ADM[[#This Row],[jan]:[dez]])</f>
        <v>1968</v>
      </c>
      <c r="W82" s="38">
        <f>SUM(BASE_ADM[[#This Row],[jan]:[dez]])/12</f>
        <v>164</v>
      </c>
      <c r="X82" s="38" t="str">
        <f>_xlfn.CONCAT(LEFT(BASE_ADM[[#This Row],[CONTA CONTABIL]],7),LEFT(BASE_ADM[[#This Row],[CENTRO DE CUSTOS]],5))</f>
        <v>430008123210</v>
      </c>
      <c r="Y82" s="36" cm="1">
        <f t="array" ref="Y8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83" spans="1:25" hidden="1">
      <c r="A83" s="6"/>
      <c r="B83" s="241" t="s">
        <v>1</v>
      </c>
      <c r="C83" s="242" t="s">
        <v>719</v>
      </c>
      <c r="D83" s="242" t="s">
        <v>719</v>
      </c>
      <c r="E83" s="241" t="s">
        <v>13</v>
      </c>
      <c r="F83" s="242" t="s">
        <v>720</v>
      </c>
      <c r="G83" s="243" t="s">
        <v>12</v>
      </c>
      <c r="H83" s="242" t="s">
        <v>731</v>
      </c>
      <c r="I83" s="244" t="s">
        <v>103</v>
      </c>
      <c r="J83" s="245">
        <v>1180</v>
      </c>
      <c r="K83" s="246">
        <v>1180</v>
      </c>
      <c r="L83" s="246">
        <v>1180</v>
      </c>
      <c r="M83" s="246">
        <v>1180</v>
      </c>
      <c r="N83" s="246">
        <v>1180</v>
      </c>
      <c r="O83" s="246">
        <v>1180</v>
      </c>
      <c r="P83" s="246">
        <v>1180</v>
      </c>
      <c r="Q83" s="246">
        <v>1180</v>
      </c>
      <c r="R83" s="246">
        <v>4740</v>
      </c>
      <c r="S83" s="246">
        <v>1180</v>
      </c>
      <c r="T83" s="246">
        <v>1180</v>
      </c>
      <c r="U83" s="246">
        <v>1180</v>
      </c>
      <c r="V83" s="247">
        <f>SUM(BASE_ADM[[#This Row],[jan]:[dez]])</f>
        <v>17720</v>
      </c>
      <c r="W83" s="247">
        <f>SUM(BASE_ADM[[#This Row],[jan]:[dez]])/12</f>
        <v>1476.6666666666667</v>
      </c>
      <c r="X83" s="247" t="str">
        <f>_xlfn.CONCAT(LEFT(BASE_ADM[[#This Row],[CONTA CONTABIL]],7),LEFT(BASE_ADM[[#This Row],[CENTRO DE CUSTOS]],5))</f>
        <v>430008123210</v>
      </c>
      <c r="Y83" s="246" cm="1">
        <f t="array" ref="Y8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84" spans="1:25" hidden="1">
      <c r="A84" s="6"/>
      <c r="B84" s="5" t="s">
        <v>1</v>
      </c>
      <c r="C84" s="6" t="s">
        <v>719</v>
      </c>
      <c r="D84" s="6" t="s">
        <v>719</v>
      </c>
      <c r="E84" s="5" t="s">
        <v>11</v>
      </c>
      <c r="F84" s="6" t="s">
        <v>720</v>
      </c>
      <c r="G84" s="12" t="s">
        <v>722</v>
      </c>
      <c r="H84" s="6"/>
      <c r="I84" s="13">
        <v>2018</v>
      </c>
      <c r="J84" s="39">
        <v>0</v>
      </c>
      <c r="K84" s="36">
        <v>0</v>
      </c>
      <c r="L84" s="36">
        <v>0</v>
      </c>
      <c r="M84" s="36">
        <v>0</v>
      </c>
      <c r="N84" s="36">
        <v>0</v>
      </c>
      <c r="O84" s="36">
        <v>0</v>
      </c>
      <c r="P84" s="36">
        <v>0</v>
      </c>
      <c r="Q84" s="36">
        <v>0</v>
      </c>
      <c r="R84" s="36">
        <v>1200</v>
      </c>
      <c r="S84" s="36">
        <v>0</v>
      </c>
      <c r="T84" s="36">
        <v>0</v>
      </c>
      <c r="U84" s="36">
        <v>0</v>
      </c>
      <c r="V84" s="37">
        <f>SUM(BASE_ADM[[#This Row],[jan]:[dez]])</f>
        <v>1200</v>
      </c>
      <c r="W84" s="38">
        <f>SUM(BASE_ADM[[#This Row],[jan]:[dez]])/12</f>
        <v>100</v>
      </c>
      <c r="X84" s="38" t="str">
        <f>_xlfn.CONCAT(LEFT(BASE_ADM[[#This Row],[CONTA CONTABIL]],7),LEFT(BASE_ADM[[#This Row],[CENTRO DE CUSTOS]],5))</f>
        <v>430002123210</v>
      </c>
      <c r="Y84" s="36" cm="1">
        <f t="array" ref="Y8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85" spans="1:25" hidden="1">
      <c r="A85" s="6"/>
      <c r="B85" s="5" t="s">
        <v>1</v>
      </c>
      <c r="C85" s="6" t="s">
        <v>719</v>
      </c>
      <c r="D85" s="6" t="s">
        <v>719</v>
      </c>
      <c r="E85" s="5" t="s">
        <v>11</v>
      </c>
      <c r="F85" s="6" t="s">
        <v>720</v>
      </c>
      <c r="G85" s="12" t="s">
        <v>10</v>
      </c>
      <c r="H85" s="6"/>
      <c r="I85" s="13">
        <v>2018</v>
      </c>
      <c r="J85" s="39">
        <v>1760.78</v>
      </c>
      <c r="K85" s="36">
        <v>1782.67</v>
      </c>
      <c r="L85" s="36">
        <v>1658.85</v>
      </c>
      <c r="M85" s="36">
        <v>1686.77</v>
      </c>
      <c r="N85" s="36">
        <v>1661.39</v>
      </c>
      <c r="O85" s="36">
        <v>1631.55</v>
      </c>
      <c r="P85" s="36">
        <v>2677.52</v>
      </c>
      <c r="Q85" s="36">
        <v>3874.96</v>
      </c>
      <c r="R85" s="36">
        <v>1536.09</v>
      </c>
      <c r="S85" s="36">
        <v>1620.74</v>
      </c>
      <c r="T85" s="36">
        <v>2826.37</v>
      </c>
      <c r="U85" s="36">
        <v>1766.1799999999998</v>
      </c>
      <c r="V85" s="37">
        <f>SUM(BASE_ADM[[#This Row],[jan]:[dez]])</f>
        <v>24483.87</v>
      </c>
      <c r="W85" s="38">
        <f>SUM(BASE_ADM[[#This Row],[jan]:[dez]])/12</f>
        <v>2040.3225</v>
      </c>
      <c r="X85" s="38" t="str">
        <f>_xlfn.CONCAT(LEFT(BASE_ADM[[#This Row],[CONTA CONTABIL]],7),LEFT(BASE_ADM[[#This Row],[CENTRO DE CUSTOS]],5))</f>
        <v>430002323210</v>
      </c>
      <c r="Y85" s="36" cm="1">
        <f t="array" ref="Y8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86" spans="1:25" hidden="1">
      <c r="A86" s="6"/>
      <c r="B86" s="5" t="s">
        <v>1</v>
      </c>
      <c r="C86" s="6" t="s">
        <v>719</v>
      </c>
      <c r="D86" s="6" t="s">
        <v>719</v>
      </c>
      <c r="E86" s="5" t="s">
        <v>11</v>
      </c>
      <c r="F86" s="6" t="s">
        <v>720</v>
      </c>
      <c r="G86" s="12" t="s">
        <v>10</v>
      </c>
      <c r="H86" s="6"/>
      <c r="I86" s="13">
        <v>2019</v>
      </c>
      <c r="J86" s="39">
        <v>2635.7400000000002</v>
      </c>
      <c r="K86" s="36">
        <v>1385.42</v>
      </c>
      <c r="L86" s="36">
        <v>4678.5199999999995</v>
      </c>
      <c r="M86" s="36">
        <v>1349.51</v>
      </c>
      <c r="N86" s="36">
        <v>1225</v>
      </c>
      <c r="O86" s="36">
        <v>1615.23</v>
      </c>
      <c r="P86" s="36">
        <v>1696.27</v>
      </c>
      <c r="Q86" s="36">
        <v>1637.75</v>
      </c>
      <c r="R86" s="36">
        <v>1598.64</v>
      </c>
      <c r="S86" s="36">
        <v>1507.21</v>
      </c>
      <c r="T86" s="36">
        <v>1787.62</v>
      </c>
      <c r="U86" s="36">
        <v>1748.3300000000002</v>
      </c>
      <c r="V86" s="37">
        <f>SUM(BASE_ADM[[#This Row],[jan]:[dez]])</f>
        <v>22865.24</v>
      </c>
      <c r="W86" s="38">
        <f>SUM(BASE_ADM[[#This Row],[jan]:[dez]])/12</f>
        <v>1905.4366666666667</v>
      </c>
      <c r="X86" s="38" t="str">
        <f>_xlfn.CONCAT(LEFT(BASE_ADM[[#This Row],[CONTA CONTABIL]],7),LEFT(BASE_ADM[[#This Row],[CENTRO DE CUSTOS]],5))</f>
        <v>430002323210</v>
      </c>
      <c r="Y86" s="36" cm="1">
        <f t="array" ref="Y8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87" spans="1:25" hidden="1">
      <c r="A87" s="6"/>
      <c r="B87" s="5" t="s">
        <v>1</v>
      </c>
      <c r="C87" s="6" t="s">
        <v>719</v>
      </c>
      <c r="D87" s="6" t="s">
        <v>719</v>
      </c>
      <c r="E87" s="5" t="s">
        <v>11</v>
      </c>
      <c r="F87" s="6" t="s">
        <v>720</v>
      </c>
      <c r="G87" s="12" t="s">
        <v>10</v>
      </c>
      <c r="H87" s="6"/>
      <c r="I87" s="13">
        <v>2020</v>
      </c>
      <c r="J87" s="39">
        <v>1591.21</v>
      </c>
      <c r="K87" s="36">
        <v>1601.75</v>
      </c>
      <c r="L87" s="36">
        <v>1733.56</v>
      </c>
      <c r="M87" s="36">
        <v>1774.85</v>
      </c>
      <c r="N87" s="36">
        <v>12395.92</v>
      </c>
      <c r="O87" s="36">
        <v>9792.3900000000012</v>
      </c>
      <c r="P87" s="36">
        <v>1080.8499999999999</v>
      </c>
      <c r="Q87" s="36">
        <v>1378.77</v>
      </c>
      <c r="R87" s="36">
        <v>1444.15</v>
      </c>
      <c r="S87" s="36">
        <v>689.22</v>
      </c>
      <c r="T87" s="36">
        <v>2021.63</v>
      </c>
      <c r="U87" s="36">
        <v>1002.16</v>
      </c>
      <c r="V87" s="37">
        <f>SUM(BASE_ADM[[#This Row],[jan]:[dez]])</f>
        <v>36506.46</v>
      </c>
      <c r="W87" s="38">
        <f>SUM(BASE_ADM[[#This Row],[jan]:[dez]])/12</f>
        <v>3042.2049999999999</v>
      </c>
      <c r="X87" s="38" t="str">
        <f>_xlfn.CONCAT(LEFT(BASE_ADM[[#This Row],[CONTA CONTABIL]],7),LEFT(BASE_ADM[[#This Row],[CENTRO DE CUSTOS]],5))</f>
        <v>430002323210</v>
      </c>
      <c r="Y87" s="36" cm="1">
        <f t="array" ref="Y8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88" spans="1:25" hidden="1">
      <c r="A88" s="6"/>
      <c r="B88" s="5" t="s">
        <v>1</v>
      </c>
      <c r="C88" s="6" t="s">
        <v>719</v>
      </c>
      <c r="D88" s="6" t="s">
        <v>719</v>
      </c>
      <c r="E88" s="5" t="s">
        <v>11</v>
      </c>
      <c r="F88" s="6" t="s">
        <v>720</v>
      </c>
      <c r="G88" s="12" t="s">
        <v>10</v>
      </c>
      <c r="H88" s="6"/>
      <c r="I88" s="13">
        <v>2021</v>
      </c>
      <c r="J88" s="39">
        <v>10612.05</v>
      </c>
      <c r="K88" s="36">
        <v>2174.85</v>
      </c>
      <c r="L88" s="36">
        <v>2208.42</v>
      </c>
      <c r="M88" s="36">
        <v>2376.21</v>
      </c>
      <c r="N88" s="36">
        <v>1717.45</v>
      </c>
      <c r="O88" s="36">
        <v>2285</v>
      </c>
      <c r="P88" s="36">
        <v>2398.71</v>
      </c>
      <c r="Q88" s="36">
        <v>2663.31</v>
      </c>
      <c r="R88" s="36">
        <v>1981.79</v>
      </c>
      <c r="S88" s="36">
        <v>2305.14</v>
      </c>
      <c r="T88" s="36">
        <v>2114.42</v>
      </c>
      <c r="U88" s="36">
        <v>2639.13</v>
      </c>
      <c r="V88" s="37">
        <f>SUM(BASE_ADM[[#This Row],[jan]:[dez]])</f>
        <v>35476.479999999996</v>
      </c>
      <c r="W88" s="38">
        <f>SUM(BASE_ADM[[#This Row],[jan]:[dez]])/12</f>
        <v>2956.373333333333</v>
      </c>
      <c r="X88" s="38" t="str">
        <f>_xlfn.CONCAT(LEFT(BASE_ADM[[#This Row],[CONTA CONTABIL]],7),LEFT(BASE_ADM[[#This Row],[CENTRO DE CUSTOS]],5))</f>
        <v>430002323210</v>
      </c>
      <c r="Y88" s="36" cm="1">
        <f t="array" ref="Y8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89" spans="1:25" hidden="1">
      <c r="A89" s="6"/>
      <c r="B89" s="5" t="s">
        <v>1</v>
      </c>
      <c r="C89" s="6" t="s">
        <v>719</v>
      </c>
      <c r="D89" s="6" t="s">
        <v>719</v>
      </c>
      <c r="E89" s="5" t="s">
        <v>11</v>
      </c>
      <c r="F89" s="6" t="s">
        <v>720</v>
      </c>
      <c r="G89" s="12" t="s">
        <v>10</v>
      </c>
      <c r="H89" s="6"/>
      <c r="I89" s="13">
        <v>2022</v>
      </c>
      <c r="J89" s="39">
        <v>2596.7399999999998</v>
      </c>
      <c r="K89" s="36">
        <v>2508.2399999999998</v>
      </c>
      <c r="L89" s="36">
        <v>7611.33</v>
      </c>
      <c r="M89" s="36">
        <v>6295.95</v>
      </c>
      <c r="N89" s="36">
        <v>6650.9700000000012</v>
      </c>
      <c r="O89" s="36">
        <v>12684.65</v>
      </c>
      <c r="P89" s="36">
        <v>12353.96</v>
      </c>
      <c r="Q89" s="36">
        <v>12726</v>
      </c>
      <c r="R89" s="36">
        <v>11370.16</v>
      </c>
      <c r="S89" s="36">
        <v>11402.29</v>
      </c>
      <c r="T89" s="36">
        <v>12184.970000000001</v>
      </c>
      <c r="U89" s="36">
        <v>15250.369999999999</v>
      </c>
      <c r="V89" s="37">
        <f>SUM(BASE_ADM[[#This Row],[jan]:[dez]])</f>
        <v>113635.63</v>
      </c>
      <c r="W89" s="38">
        <f>SUM(BASE_ADM[[#This Row],[jan]:[dez]])/12</f>
        <v>9469.6358333333337</v>
      </c>
      <c r="X89" s="38" t="str">
        <f>_xlfn.CONCAT(LEFT(BASE_ADM[[#This Row],[CONTA CONTABIL]],7),LEFT(BASE_ADM[[#This Row],[CENTRO DE CUSTOS]],5))</f>
        <v>430002323210</v>
      </c>
      <c r="Y89" s="36" cm="1">
        <f t="array" ref="Y8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90" spans="1:25" hidden="1">
      <c r="A90" s="6"/>
      <c r="B90" s="5" t="s">
        <v>1</v>
      </c>
      <c r="C90" s="6" t="s">
        <v>719</v>
      </c>
      <c r="D90" s="6" t="s">
        <v>719</v>
      </c>
      <c r="E90" s="5" t="s">
        <v>11</v>
      </c>
      <c r="F90" s="6" t="s">
        <v>720</v>
      </c>
      <c r="G90" s="12" t="s">
        <v>10</v>
      </c>
      <c r="H90" s="6"/>
      <c r="I90" s="13">
        <v>2023</v>
      </c>
      <c r="J90" s="39">
        <v>18186.05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v>0</v>
      </c>
      <c r="T90" s="36">
        <v>0</v>
      </c>
      <c r="U90" s="36">
        <v>0</v>
      </c>
      <c r="V90" s="37">
        <f>SUM(BASE_ADM[[#This Row],[jan]:[dez]])</f>
        <v>18186.05</v>
      </c>
      <c r="W90" s="38">
        <f>SUM(BASE_ADM[[#This Row],[jan]:[dez]])/12</f>
        <v>1515.5041666666666</v>
      </c>
      <c r="X90" s="38" t="str">
        <f>_xlfn.CONCAT(LEFT(BASE_ADM[[#This Row],[CONTA CONTABIL]],7),LEFT(BASE_ADM[[#This Row],[CENTRO DE CUSTOS]],5))</f>
        <v>430002323210</v>
      </c>
      <c r="Y90" s="36" cm="1">
        <f t="array" ref="Y9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91" spans="1:25" hidden="1">
      <c r="A91" s="6"/>
      <c r="B91" s="5" t="s">
        <v>1</v>
      </c>
      <c r="C91" s="6" t="s">
        <v>719</v>
      </c>
      <c r="D91" s="6" t="s">
        <v>719</v>
      </c>
      <c r="E91" s="5" t="s">
        <v>11</v>
      </c>
      <c r="F91" s="6" t="s">
        <v>720</v>
      </c>
      <c r="G91" s="12" t="s">
        <v>30</v>
      </c>
      <c r="H91" s="6"/>
      <c r="I91" s="13">
        <v>2018</v>
      </c>
      <c r="J91" s="39">
        <v>960.54000000000008</v>
      </c>
      <c r="K91" s="36">
        <v>389.3</v>
      </c>
      <c r="L91" s="36">
        <v>1197.5</v>
      </c>
      <c r="M91" s="36">
        <v>0</v>
      </c>
      <c r="N91" s="36">
        <v>0</v>
      </c>
      <c r="O91" s="36">
        <v>1947.5</v>
      </c>
      <c r="P91" s="36">
        <v>209.25</v>
      </c>
      <c r="Q91" s="36">
        <v>1345.2</v>
      </c>
      <c r="R91" s="36">
        <v>0</v>
      </c>
      <c r="S91" s="36">
        <v>52.17</v>
      </c>
      <c r="T91" s="36">
        <v>1747.24</v>
      </c>
      <c r="U91" s="36">
        <v>1608.06</v>
      </c>
      <c r="V91" s="37">
        <f>SUM(BASE_ADM[[#This Row],[jan]:[dez]])</f>
        <v>9456.76</v>
      </c>
      <c r="W91" s="38">
        <f>SUM(BASE_ADM[[#This Row],[jan]:[dez]])/12</f>
        <v>788.06333333333339</v>
      </c>
      <c r="X91" s="38" t="str">
        <f>_xlfn.CONCAT(LEFT(BASE_ADM[[#This Row],[CONTA CONTABIL]],7),LEFT(BASE_ADM[[#This Row],[CENTRO DE CUSTOS]],5))</f>
        <v>430003223210</v>
      </c>
      <c r="Y91" s="36" cm="1">
        <f t="array" ref="Y9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2" spans="1:25" hidden="1">
      <c r="A92" s="6"/>
      <c r="B92" s="5" t="s">
        <v>1</v>
      </c>
      <c r="C92" s="6" t="s">
        <v>719</v>
      </c>
      <c r="D92" s="6" t="s">
        <v>719</v>
      </c>
      <c r="E92" s="5" t="s">
        <v>11</v>
      </c>
      <c r="F92" s="6" t="s">
        <v>720</v>
      </c>
      <c r="G92" s="12" t="s">
        <v>30</v>
      </c>
      <c r="H92" s="6"/>
      <c r="I92" s="13">
        <v>2019</v>
      </c>
      <c r="J92" s="39">
        <v>0</v>
      </c>
      <c r="K92" s="36">
        <v>627.72</v>
      </c>
      <c r="L92" s="36">
        <v>0</v>
      </c>
      <c r="M92" s="36">
        <v>0</v>
      </c>
      <c r="N92" s="36">
        <v>72.64</v>
      </c>
      <c r="O92" s="36">
        <v>1439.55</v>
      </c>
      <c r="P92" s="36">
        <v>0</v>
      </c>
      <c r="Q92" s="36">
        <v>837.01</v>
      </c>
      <c r="R92" s="36">
        <v>0</v>
      </c>
      <c r="S92" s="36">
        <v>657</v>
      </c>
      <c r="T92" s="36">
        <v>0</v>
      </c>
      <c r="U92" s="36">
        <v>320</v>
      </c>
      <c r="V92" s="37">
        <f>SUM(BASE_ADM[[#This Row],[jan]:[dez]])</f>
        <v>3953.92</v>
      </c>
      <c r="W92" s="38">
        <f>SUM(BASE_ADM[[#This Row],[jan]:[dez]])/12</f>
        <v>329.49333333333334</v>
      </c>
      <c r="X92" s="38" t="str">
        <f>_xlfn.CONCAT(LEFT(BASE_ADM[[#This Row],[CONTA CONTABIL]],7),LEFT(BASE_ADM[[#This Row],[CENTRO DE CUSTOS]],5))</f>
        <v>430003223210</v>
      </c>
      <c r="Y92" s="36" cm="1">
        <f t="array" ref="Y9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3" spans="1:25" hidden="1">
      <c r="A93" s="6"/>
      <c r="B93" s="5" t="s">
        <v>1</v>
      </c>
      <c r="C93" s="6" t="s">
        <v>719</v>
      </c>
      <c r="D93" s="6" t="s">
        <v>719</v>
      </c>
      <c r="E93" s="5" t="s">
        <v>11</v>
      </c>
      <c r="F93" s="6" t="s">
        <v>720</v>
      </c>
      <c r="G93" s="12" t="s">
        <v>30</v>
      </c>
      <c r="H93" s="6"/>
      <c r="I93" s="13">
        <v>2021</v>
      </c>
      <c r="J93" s="39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945</v>
      </c>
      <c r="R93" s="36">
        <v>0</v>
      </c>
      <c r="S93" s="36">
        <v>0</v>
      </c>
      <c r="T93" s="36">
        <v>168.5</v>
      </c>
      <c r="U93" s="36">
        <v>0</v>
      </c>
      <c r="V93" s="37">
        <f>SUM(BASE_ADM[[#This Row],[jan]:[dez]])</f>
        <v>1113.5</v>
      </c>
      <c r="W93" s="38">
        <f>SUM(BASE_ADM[[#This Row],[jan]:[dez]])/12</f>
        <v>92.791666666666671</v>
      </c>
      <c r="X93" s="38" t="str">
        <f>_xlfn.CONCAT(LEFT(BASE_ADM[[#This Row],[CONTA CONTABIL]],7),LEFT(BASE_ADM[[#This Row],[CENTRO DE CUSTOS]],5))</f>
        <v>430003223210</v>
      </c>
      <c r="Y93" s="36" cm="1">
        <f t="array" ref="Y9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4" spans="1:25" hidden="1">
      <c r="A94" s="6"/>
      <c r="B94" s="5" t="s">
        <v>1</v>
      </c>
      <c r="C94" s="6" t="s">
        <v>719</v>
      </c>
      <c r="D94" s="6" t="s">
        <v>719</v>
      </c>
      <c r="E94" s="5" t="s">
        <v>11</v>
      </c>
      <c r="F94" s="6" t="s">
        <v>720</v>
      </c>
      <c r="G94" s="12" t="s">
        <v>30</v>
      </c>
      <c r="H94" s="6"/>
      <c r="I94" s="13">
        <v>2022</v>
      </c>
      <c r="J94" s="39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7">
        <f>SUM(BASE_ADM[[#This Row],[jan]:[dez]])</f>
        <v>0</v>
      </c>
      <c r="W94" s="38">
        <f>SUM(BASE_ADM[[#This Row],[jan]:[dez]])/12</f>
        <v>0</v>
      </c>
      <c r="X94" s="38" t="str">
        <f>_xlfn.CONCAT(LEFT(BASE_ADM[[#This Row],[CONTA CONTABIL]],7),LEFT(BASE_ADM[[#This Row],[CENTRO DE CUSTOS]],5))</f>
        <v>430003223210</v>
      </c>
      <c r="Y94" s="36" cm="1">
        <f t="array" ref="Y9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5" spans="1:25" hidden="1">
      <c r="A95" s="6"/>
      <c r="B95" s="5" t="s">
        <v>1</v>
      </c>
      <c r="C95" s="6" t="s">
        <v>719</v>
      </c>
      <c r="D95" s="6" t="s">
        <v>719</v>
      </c>
      <c r="E95" s="5" t="s">
        <v>11</v>
      </c>
      <c r="F95" s="6" t="s">
        <v>720</v>
      </c>
      <c r="G95" s="12" t="s">
        <v>30</v>
      </c>
      <c r="H95" s="6"/>
      <c r="I95" s="13">
        <v>2023</v>
      </c>
      <c r="J95" s="39">
        <v>0</v>
      </c>
      <c r="K95" s="36">
        <v>11</v>
      </c>
      <c r="L95" s="36">
        <v>4086.07</v>
      </c>
      <c r="M95" s="36">
        <v>862.02</v>
      </c>
      <c r="N95" s="36">
        <v>0</v>
      </c>
      <c r="O95" s="36">
        <v>1292.7700000000002</v>
      </c>
      <c r="P95" s="36">
        <v>0</v>
      </c>
      <c r="Q95" s="36">
        <v>258.01</v>
      </c>
      <c r="R95" s="36">
        <v>0</v>
      </c>
      <c r="S95" s="36">
        <v>0</v>
      </c>
      <c r="T95" s="36">
        <v>0</v>
      </c>
      <c r="U95" s="36">
        <v>0</v>
      </c>
      <c r="V95" s="37">
        <f>SUM(BASE_ADM[[#This Row],[jan]:[dez]])</f>
        <v>6509.8700000000008</v>
      </c>
      <c r="W95" s="38">
        <f>SUM(BASE_ADM[[#This Row],[jan]:[dez]])/12</f>
        <v>542.48916666666673</v>
      </c>
      <c r="X95" s="38" t="str">
        <f>_xlfn.CONCAT(LEFT(BASE_ADM[[#This Row],[CONTA CONTABIL]],7),LEFT(BASE_ADM[[#This Row],[CENTRO DE CUSTOS]],5))</f>
        <v>430003223210</v>
      </c>
      <c r="Y95" s="36" cm="1">
        <f t="array" ref="Y9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6" spans="1:25" hidden="1">
      <c r="A96" s="6"/>
      <c r="B96" s="5" t="s">
        <v>1</v>
      </c>
      <c r="C96" s="6" t="s">
        <v>719</v>
      </c>
      <c r="D96" s="6" t="s">
        <v>719</v>
      </c>
      <c r="E96" s="5" t="s">
        <v>11</v>
      </c>
      <c r="F96" s="6" t="s">
        <v>720</v>
      </c>
      <c r="G96" s="12" t="s">
        <v>30</v>
      </c>
      <c r="H96" s="6"/>
      <c r="I96" s="13">
        <v>2024</v>
      </c>
      <c r="J96" s="39">
        <v>0</v>
      </c>
      <c r="K96" s="36">
        <v>0</v>
      </c>
      <c r="L96" s="36">
        <v>0</v>
      </c>
      <c r="M96" s="36">
        <v>49.8</v>
      </c>
      <c r="N96" s="36">
        <v>0</v>
      </c>
      <c r="O96" s="36">
        <v>0</v>
      </c>
      <c r="P96" s="36">
        <v>35396.400000000001</v>
      </c>
      <c r="Q96" s="36">
        <v>0</v>
      </c>
      <c r="R96" s="36">
        <v>0</v>
      </c>
      <c r="S96" s="36">
        <v>0</v>
      </c>
      <c r="T96" s="36">
        <v>0</v>
      </c>
      <c r="U96" s="36">
        <v>65.599999999999994</v>
      </c>
      <c r="V96" s="37">
        <f>SUM(BASE_ADM[[#This Row],[jan]:[dez]])</f>
        <v>35511.800000000003</v>
      </c>
      <c r="W96" s="38">
        <f>SUM(BASE_ADM[[#This Row],[jan]:[dez]])/12</f>
        <v>2959.3166666666671</v>
      </c>
      <c r="X96" s="38" t="str">
        <f>_xlfn.CONCAT(LEFT(BASE_ADM[[#This Row],[CONTA CONTABIL]],7),LEFT(BASE_ADM[[#This Row],[CENTRO DE CUSTOS]],5))</f>
        <v>430003223210</v>
      </c>
      <c r="Y96" s="36" cm="1">
        <f t="array" ref="Y9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7" spans="1:25" hidden="1">
      <c r="A97" s="6"/>
      <c r="B97" s="5" t="s">
        <v>1</v>
      </c>
      <c r="C97" s="6" t="s">
        <v>719</v>
      </c>
      <c r="D97" s="6" t="s">
        <v>719</v>
      </c>
      <c r="E97" s="5" t="s">
        <v>11</v>
      </c>
      <c r="F97" s="6" t="s">
        <v>720</v>
      </c>
      <c r="G97" s="12" t="s">
        <v>30</v>
      </c>
      <c r="H97" s="6"/>
      <c r="I97" s="13">
        <v>2025</v>
      </c>
      <c r="J97" s="39">
        <v>5923.9</v>
      </c>
      <c r="K97" s="36">
        <v>30451.170000000002</v>
      </c>
      <c r="L97" s="36">
        <v>0</v>
      </c>
      <c r="M97" s="36">
        <v>0</v>
      </c>
      <c r="N97" s="36">
        <v>0</v>
      </c>
      <c r="O97" s="36">
        <v>270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7">
        <f>SUM(BASE_ADM[[#This Row],[jan]:[dez]])</f>
        <v>36645.07</v>
      </c>
      <c r="W97" s="38">
        <f>SUM(BASE_ADM[[#This Row],[jan]:[dez]])/12</f>
        <v>3053.7558333333332</v>
      </c>
      <c r="X97" s="38" t="str">
        <f>_xlfn.CONCAT(LEFT(BASE_ADM[[#This Row],[CONTA CONTABIL]],7),LEFT(BASE_ADM[[#This Row],[CENTRO DE CUSTOS]],5))</f>
        <v>430003223210</v>
      </c>
      <c r="Y97" s="36" cm="1">
        <f t="array" ref="Y9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8" spans="1:25" hidden="1">
      <c r="A98" s="6"/>
      <c r="B98" s="241" t="s">
        <v>1</v>
      </c>
      <c r="C98" s="242" t="s">
        <v>719</v>
      </c>
      <c r="D98" s="242" t="s">
        <v>719</v>
      </c>
      <c r="E98" s="241" t="s">
        <v>11</v>
      </c>
      <c r="F98" s="242" t="s">
        <v>720</v>
      </c>
      <c r="G98" s="243" t="s">
        <v>30</v>
      </c>
      <c r="H98" s="242" t="s">
        <v>725</v>
      </c>
      <c r="I98" s="244" t="s">
        <v>103</v>
      </c>
      <c r="J98" s="245">
        <v>19800</v>
      </c>
      <c r="K98" s="246">
        <v>22691</v>
      </c>
      <c r="L98" s="246">
        <v>20900</v>
      </c>
      <c r="M98" s="246">
        <v>0</v>
      </c>
      <c r="N98" s="246">
        <v>0</v>
      </c>
      <c r="O98" s="246">
        <v>0</v>
      </c>
      <c r="P98" s="246">
        <v>270</v>
      </c>
      <c r="Q98" s="246">
        <v>0</v>
      </c>
      <c r="R98" s="246">
        <v>0</v>
      </c>
      <c r="S98" s="246">
        <v>0</v>
      </c>
      <c r="T98" s="246">
        <v>0</v>
      </c>
      <c r="U98" s="246">
        <v>0</v>
      </c>
      <c r="V98" s="247">
        <f>SUM(BASE_ADM[[#This Row],[jan]:[dez]])</f>
        <v>63661</v>
      </c>
      <c r="W98" s="247">
        <f>SUM(BASE_ADM[[#This Row],[jan]:[dez]])/12</f>
        <v>5305.083333333333</v>
      </c>
      <c r="X98" s="247" t="str">
        <f>_xlfn.CONCAT(LEFT(BASE_ADM[[#This Row],[CONTA CONTABIL]],7),LEFT(BASE_ADM[[#This Row],[CENTRO DE CUSTOS]],5))</f>
        <v>430003223210</v>
      </c>
      <c r="Y98" s="246" cm="1">
        <f t="array" ref="Y9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9" spans="1:25" hidden="1">
      <c r="A99" s="6"/>
      <c r="B99" s="5" t="s">
        <v>1</v>
      </c>
      <c r="C99" s="6" t="s">
        <v>719</v>
      </c>
      <c r="D99" s="6" t="s">
        <v>719</v>
      </c>
      <c r="E99" s="5" t="s">
        <v>11</v>
      </c>
      <c r="F99" s="6" t="s">
        <v>720</v>
      </c>
      <c r="G99" s="12" t="s">
        <v>29</v>
      </c>
      <c r="H99" s="6"/>
      <c r="I99" s="13">
        <v>2018</v>
      </c>
      <c r="J99" s="39">
        <v>1688.04</v>
      </c>
      <c r="K99" s="36">
        <v>845</v>
      </c>
      <c r="L99" s="36">
        <v>2280</v>
      </c>
      <c r="M99" s="36">
        <v>0</v>
      </c>
      <c r="N99" s="36">
        <v>1090.67</v>
      </c>
      <c r="O99" s="36">
        <v>885.68000000000006</v>
      </c>
      <c r="P99" s="36">
        <v>474.56</v>
      </c>
      <c r="Q99" s="36">
        <v>709.36</v>
      </c>
      <c r="R99" s="36">
        <v>1500</v>
      </c>
      <c r="S99" s="36">
        <v>1955.9099999999999</v>
      </c>
      <c r="T99" s="36">
        <v>1580</v>
      </c>
      <c r="U99" s="36">
        <v>1051.6000000000001</v>
      </c>
      <c r="V99" s="37">
        <f>SUM(BASE_ADM[[#This Row],[jan]:[dez]])</f>
        <v>14060.820000000002</v>
      </c>
      <c r="W99" s="38">
        <f>SUM(BASE_ADM[[#This Row],[jan]:[dez]])/12</f>
        <v>1171.7350000000001</v>
      </c>
      <c r="X99" s="38" t="str">
        <f>_xlfn.CONCAT(LEFT(BASE_ADM[[#This Row],[CONTA CONTABIL]],7),LEFT(BASE_ADM[[#This Row],[CENTRO DE CUSTOS]],5))</f>
        <v>430003423210</v>
      </c>
      <c r="Y99" s="36" cm="1">
        <f t="array" ref="Y9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0" spans="1:25" hidden="1">
      <c r="A100" s="6"/>
      <c r="B100" s="5" t="s">
        <v>1</v>
      </c>
      <c r="C100" s="6" t="s">
        <v>719</v>
      </c>
      <c r="D100" s="6" t="s">
        <v>719</v>
      </c>
      <c r="E100" s="5" t="s">
        <v>11</v>
      </c>
      <c r="F100" s="6" t="s">
        <v>720</v>
      </c>
      <c r="G100" s="12" t="s">
        <v>29</v>
      </c>
      <c r="H100" s="6"/>
      <c r="I100" s="13">
        <v>2019</v>
      </c>
      <c r="J100" s="39">
        <v>902.17000000000007</v>
      </c>
      <c r="K100" s="36">
        <v>1025</v>
      </c>
      <c r="L100" s="36">
        <v>619.15</v>
      </c>
      <c r="M100" s="36">
        <v>0</v>
      </c>
      <c r="N100" s="36">
        <v>498.83</v>
      </c>
      <c r="O100" s="36">
        <v>0</v>
      </c>
      <c r="P100" s="36">
        <v>818</v>
      </c>
      <c r="Q100" s="36">
        <v>1424.46</v>
      </c>
      <c r="R100" s="36">
        <v>0</v>
      </c>
      <c r="S100" s="36">
        <v>1298.8</v>
      </c>
      <c r="T100" s="36">
        <v>1149.25</v>
      </c>
      <c r="U100" s="36">
        <v>1952.95</v>
      </c>
      <c r="V100" s="37">
        <f>SUM(BASE_ADM[[#This Row],[jan]:[dez]])</f>
        <v>9688.61</v>
      </c>
      <c r="W100" s="38">
        <f>SUM(BASE_ADM[[#This Row],[jan]:[dez]])/12</f>
        <v>807.38416666666672</v>
      </c>
      <c r="X100" s="38" t="str">
        <f>_xlfn.CONCAT(LEFT(BASE_ADM[[#This Row],[CONTA CONTABIL]],7),LEFT(BASE_ADM[[#This Row],[CENTRO DE CUSTOS]],5))</f>
        <v>430003423210</v>
      </c>
      <c r="Y100" s="36" cm="1">
        <f t="array" ref="Y10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1" spans="1:25" hidden="1">
      <c r="A101" s="6"/>
      <c r="B101" s="5" t="s">
        <v>1</v>
      </c>
      <c r="C101" s="6" t="s">
        <v>719</v>
      </c>
      <c r="D101" s="6" t="s">
        <v>719</v>
      </c>
      <c r="E101" s="5" t="s">
        <v>11</v>
      </c>
      <c r="F101" s="6" t="s">
        <v>720</v>
      </c>
      <c r="G101" s="12" t="s">
        <v>29</v>
      </c>
      <c r="H101" s="6"/>
      <c r="I101" s="13">
        <v>2021</v>
      </c>
      <c r="J101" s="39">
        <v>0</v>
      </c>
      <c r="K101" s="36">
        <v>0</v>
      </c>
      <c r="L101" s="36">
        <v>0</v>
      </c>
      <c r="M101" s="36">
        <v>0</v>
      </c>
      <c r="N101" s="36">
        <v>247.42</v>
      </c>
      <c r="O101" s="36">
        <v>0</v>
      </c>
      <c r="P101" s="36">
        <v>0</v>
      </c>
      <c r="Q101" s="36">
        <v>0</v>
      </c>
      <c r="R101" s="36">
        <v>0</v>
      </c>
      <c r="S101" s="36">
        <v>0</v>
      </c>
      <c r="T101" s="36">
        <v>0</v>
      </c>
      <c r="U101" s="36">
        <v>0</v>
      </c>
      <c r="V101" s="37">
        <f>SUM(BASE_ADM[[#This Row],[jan]:[dez]])</f>
        <v>247.42</v>
      </c>
      <c r="W101" s="38">
        <f>SUM(BASE_ADM[[#This Row],[jan]:[dez]])/12</f>
        <v>20.618333333333332</v>
      </c>
      <c r="X101" s="38" t="str">
        <f>_xlfn.CONCAT(LEFT(BASE_ADM[[#This Row],[CONTA CONTABIL]],7),LEFT(BASE_ADM[[#This Row],[CENTRO DE CUSTOS]],5))</f>
        <v>430003423210</v>
      </c>
      <c r="Y101" s="36" cm="1">
        <f t="array" ref="Y10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2" spans="1:25" hidden="1">
      <c r="A102" s="6"/>
      <c r="B102" s="5" t="s">
        <v>1</v>
      </c>
      <c r="C102" s="6" t="s">
        <v>719</v>
      </c>
      <c r="D102" s="6" t="s">
        <v>719</v>
      </c>
      <c r="E102" s="5" t="s">
        <v>11</v>
      </c>
      <c r="F102" s="6" t="s">
        <v>720</v>
      </c>
      <c r="G102" s="12" t="s">
        <v>29</v>
      </c>
      <c r="H102" s="6"/>
      <c r="I102" s="13">
        <v>2022</v>
      </c>
      <c r="J102" s="39">
        <v>0</v>
      </c>
      <c r="K102" s="36">
        <v>0</v>
      </c>
      <c r="L102" s="36">
        <v>0</v>
      </c>
      <c r="M102" s="36">
        <v>0</v>
      </c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v>0</v>
      </c>
      <c r="T102" s="36">
        <v>0</v>
      </c>
      <c r="U102" s="36">
        <v>0</v>
      </c>
      <c r="V102" s="37">
        <f>SUM(BASE_ADM[[#This Row],[jan]:[dez]])</f>
        <v>0</v>
      </c>
      <c r="W102" s="38">
        <f>SUM(BASE_ADM[[#This Row],[jan]:[dez]])/12</f>
        <v>0</v>
      </c>
      <c r="X102" s="38" t="str">
        <f>_xlfn.CONCAT(LEFT(BASE_ADM[[#This Row],[CONTA CONTABIL]],7),LEFT(BASE_ADM[[#This Row],[CENTRO DE CUSTOS]],5))</f>
        <v>430003423210</v>
      </c>
      <c r="Y102" s="36" cm="1">
        <f t="array" ref="Y10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3" spans="1:25" hidden="1">
      <c r="A103" s="6"/>
      <c r="B103" s="5" t="s">
        <v>1</v>
      </c>
      <c r="C103" s="6" t="s">
        <v>719</v>
      </c>
      <c r="D103" s="6" t="s">
        <v>719</v>
      </c>
      <c r="E103" s="5" t="s">
        <v>11</v>
      </c>
      <c r="F103" s="6" t="s">
        <v>720</v>
      </c>
      <c r="G103" s="12" t="s">
        <v>29</v>
      </c>
      <c r="H103" s="6"/>
      <c r="I103" s="13">
        <v>2023</v>
      </c>
      <c r="J103" s="39">
        <v>0</v>
      </c>
      <c r="K103" s="36">
        <v>0</v>
      </c>
      <c r="L103" s="36">
        <v>0</v>
      </c>
      <c r="M103" s="36">
        <v>0</v>
      </c>
      <c r="N103" s="36">
        <v>0</v>
      </c>
      <c r="O103" s="36">
        <v>0</v>
      </c>
      <c r="P103" s="36">
        <v>10757.779999999999</v>
      </c>
      <c r="Q103" s="36">
        <v>1406.5</v>
      </c>
      <c r="R103" s="36">
        <v>0</v>
      </c>
      <c r="S103" s="36">
        <v>0</v>
      </c>
      <c r="T103" s="36">
        <v>0</v>
      </c>
      <c r="U103" s="36">
        <v>0</v>
      </c>
      <c r="V103" s="37">
        <f>SUM(BASE_ADM[[#This Row],[jan]:[dez]])</f>
        <v>12164.279999999999</v>
      </c>
      <c r="W103" s="38">
        <f>SUM(BASE_ADM[[#This Row],[jan]:[dez]])/12</f>
        <v>1013.6899999999999</v>
      </c>
      <c r="X103" s="38" t="str">
        <f>_xlfn.CONCAT(LEFT(BASE_ADM[[#This Row],[CONTA CONTABIL]],7),LEFT(BASE_ADM[[#This Row],[CENTRO DE CUSTOS]],5))</f>
        <v>430003423210</v>
      </c>
      <c r="Y103" s="36" cm="1">
        <f t="array" ref="Y10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4" spans="1:25" hidden="1">
      <c r="A104" s="6"/>
      <c r="B104" s="5" t="s">
        <v>1</v>
      </c>
      <c r="C104" s="6" t="s">
        <v>719</v>
      </c>
      <c r="D104" s="6" t="s">
        <v>719</v>
      </c>
      <c r="E104" s="5" t="s">
        <v>11</v>
      </c>
      <c r="F104" s="6" t="s">
        <v>720</v>
      </c>
      <c r="G104" s="12" t="s">
        <v>29</v>
      </c>
      <c r="H104" s="6"/>
      <c r="I104" s="13">
        <v>2024</v>
      </c>
      <c r="J104" s="39">
        <v>3255</v>
      </c>
      <c r="K104" s="36">
        <v>0</v>
      </c>
      <c r="L104" s="36">
        <v>3315.22</v>
      </c>
      <c r="M104" s="36">
        <v>207.89000000000001</v>
      </c>
      <c r="N104" s="36">
        <v>0</v>
      </c>
      <c r="O104" s="36">
        <v>0</v>
      </c>
      <c r="P104" s="36">
        <v>471.02</v>
      </c>
      <c r="Q104" s="36">
        <v>0</v>
      </c>
      <c r="R104" s="36">
        <v>0</v>
      </c>
      <c r="S104" s="36">
        <v>0</v>
      </c>
      <c r="T104" s="36">
        <v>0</v>
      </c>
      <c r="U104" s="36">
        <v>7401.5</v>
      </c>
      <c r="V104" s="37">
        <f>SUM(BASE_ADM[[#This Row],[jan]:[dez]])</f>
        <v>14650.63</v>
      </c>
      <c r="W104" s="38">
        <f>SUM(BASE_ADM[[#This Row],[jan]:[dez]])/12</f>
        <v>1220.8858333333333</v>
      </c>
      <c r="X104" s="38" t="str">
        <f>_xlfn.CONCAT(LEFT(BASE_ADM[[#This Row],[CONTA CONTABIL]],7),LEFT(BASE_ADM[[#This Row],[CENTRO DE CUSTOS]],5))</f>
        <v>430003423210</v>
      </c>
      <c r="Y104" s="36" cm="1">
        <f t="array" ref="Y10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5" spans="1:25" hidden="1">
      <c r="A105" s="6"/>
      <c r="B105" s="5" t="s">
        <v>1</v>
      </c>
      <c r="C105" s="6" t="s">
        <v>719</v>
      </c>
      <c r="D105" s="6" t="s">
        <v>719</v>
      </c>
      <c r="E105" s="5" t="s">
        <v>11</v>
      </c>
      <c r="F105" s="6" t="s">
        <v>720</v>
      </c>
      <c r="G105" s="12" t="s">
        <v>29</v>
      </c>
      <c r="H105" s="6"/>
      <c r="I105" s="13">
        <v>2025</v>
      </c>
      <c r="J105" s="39">
        <v>-292.5</v>
      </c>
      <c r="K105" s="36">
        <v>10075.050000000001</v>
      </c>
      <c r="L105" s="36">
        <v>0</v>
      </c>
      <c r="M105" s="36">
        <v>-10133.799999999999</v>
      </c>
      <c r="N105" s="36">
        <v>103.96</v>
      </c>
      <c r="O105" s="36">
        <v>0</v>
      </c>
      <c r="P105" s="36">
        <v>0</v>
      </c>
      <c r="Q105" s="36">
        <v>839.9</v>
      </c>
      <c r="R105" s="36">
        <v>0</v>
      </c>
      <c r="S105" s="36">
        <v>0</v>
      </c>
      <c r="T105" s="36">
        <v>0</v>
      </c>
      <c r="U105" s="36">
        <v>0</v>
      </c>
      <c r="V105" s="37">
        <f>SUM(BASE_ADM[[#This Row],[jan]:[dez]])</f>
        <v>592.61000000000172</v>
      </c>
      <c r="W105" s="38">
        <f>SUM(BASE_ADM[[#This Row],[jan]:[dez]])/12</f>
        <v>49.384166666666808</v>
      </c>
      <c r="X105" s="38" t="str">
        <f>_xlfn.CONCAT(LEFT(BASE_ADM[[#This Row],[CONTA CONTABIL]],7),LEFT(BASE_ADM[[#This Row],[CENTRO DE CUSTOS]],5))</f>
        <v>430003423210</v>
      </c>
      <c r="Y105" s="36" cm="1">
        <f t="array" ref="Y10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6" spans="1:25" s="242" customFormat="1" ht="12" hidden="1">
      <c r="B106" s="242" t="s">
        <v>1</v>
      </c>
      <c r="C106" s="242" t="s">
        <v>719</v>
      </c>
      <c r="D106" s="242" t="s">
        <v>719</v>
      </c>
      <c r="E106" s="242" t="s">
        <v>11</v>
      </c>
      <c r="F106" s="242" t="s">
        <v>720</v>
      </c>
      <c r="G106" s="241" t="s">
        <v>29</v>
      </c>
      <c r="H106" s="242" t="s">
        <v>725</v>
      </c>
      <c r="I106" s="242" t="s">
        <v>103</v>
      </c>
      <c r="J106" s="242">
        <v>11385</v>
      </c>
      <c r="K106" s="242">
        <v>9000</v>
      </c>
      <c r="L106" s="242">
        <v>9000</v>
      </c>
      <c r="M106" s="242">
        <v>9000</v>
      </c>
      <c r="N106" s="242">
        <v>9000</v>
      </c>
      <c r="O106" s="242">
        <v>11385</v>
      </c>
      <c r="P106" s="242">
        <v>9000</v>
      </c>
      <c r="Q106" s="242">
        <v>9000</v>
      </c>
      <c r="R106" s="242">
        <v>9000</v>
      </c>
      <c r="S106" s="242">
        <v>9000</v>
      </c>
      <c r="T106" s="242">
        <v>11385</v>
      </c>
      <c r="U106" s="242">
        <v>9000</v>
      </c>
      <c r="V106" s="247">
        <f>SUM(BASE_ADM[[#This Row],[jan]:[dez]])</f>
        <v>115155</v>
      </c>
      <c r="W106" s="247">
        <f>SUM(BASE_ADM[[#This Row],[jan]:[dez]])/12</f>
        <v>9596.25</v>
      </c>
      <c r="X106" s="242" t="str">
        <f>_xlfn.CONCAT(LEFT(BASE_ADM[[#This Row],[CONTA CONTABIL]],7),LEFT(BASE_ADM[[#This Row],[CENTRO DE CUSTOS]],5))</f>
        <v>430003423210</v>
      </c>
      <c r="Y106" s="242" cm="1">
        <f t="array" ref="Y10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7" spans="1:25" hidden="1">
      <c r="A107" s="6"/>
      <c r="B107" s="5" t="s">
        <v>1</v>
      </c>
      <c r="C107" s="6" t="s">
        <v>719</v>
      </c>
      <c r="D107" s="6" t="s">
        <v>719</v>
      </c>
      <c r="E107" s="5" t="s">
        <v>11</v>
      </c>
      <c r="F107" s="6" t="s">
        <v>720</v>
      </c>
      <c r="G107" s="12" t="s">
        <v>112</v>
      </c>
      <c r="H107" s="6"/>
      <c r="I107" s="13">
        <v>2018</v>
      </c>
      <c r="J107" s="39">
        <v>3960</v>
      </c>
      <c r="K107" s="36">
        <v>0</v>
      </c>
      <c r="L107" s="36">
        <v>0</v>
      </c>
      <c r="M107" s="36">
        <v>364.38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v>0</v>
      </c>
      <c r="T107" s="36">
        <v>0</v>
      </c>
      <c r="U107" s="36">
        <v>0</v>
      </c>
      <c r="V107" s="37">
        <f>SUM(BASE_ADM[[#This Row],[jan]:[dez]])</f>
        <v>4324.38</v>
      </c>
      <c r="W107" s="38">
        <f>SUM(BASE_ADM[[#This Row],[jan]:[dez]])/12</f>
        <v>360.36500000000001</v>
      </c>
      <c r="X107" s="38" t="str">
        <f>_xlfn.CONCAT(LEFT(BASE_ADM[[#This Row],[CONTA CONTABIL]],7),LEFT(BASE_ADM[[#This Row],[CENTRO DE CUSTOS]],5))</f>
        <v>430004923210</v>
      </c>
      <c r="Y107" s="36" cm="1">
        <f t="array" ref="Y10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08" spans="1:25" hidden="1">
      <c r="A108" s="6"/>
      <c r="B108" s="5" t="s">
        <v>1</v>
      </c>
      <c r="C108" s="6" t="s">
        <v>719</v>
      </c>
      <c r="D108" s="6" t="s">
        <v>719</v>
      </c>
      <c r="E108" s="5" t="s">
        <v>11</v>
      </c>
      <c r="F108" s="6" t="s">
        <v>720</v>
      </c>
      <c r="G108" s="12" t="s">
        <v>112</v>
      </c>
      <c r="H108" s="6"/>
      <c r="I108" s="13">
        <v>2019</v>
      </c>
      <c r="J108" s="39">
        <v>577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590</v>
      </c>
      <c r="U108" s="36">
        <v>0</v>
      </c>
      <c r="V108" s="37">
        <f>SUM(BASE_ADM[[#This Row],[jan]:[dez]])</f>
        <v>1167</v>
      </c>
      <c r="W108" s="38">
        <f>SUM(BASE_ADM[[#This Row],[jan]:[dez]])/12</f>
        <v>97.25</v>
      </c>
      <c r="X108" s="38" t="str">
        <f>_xlfn.CONCAT(LEFT(BASE_ADM[[#This Row],[CONTA CONTABIL]],7),LEFT(BASE_ADM[[#This Row],[CENTRO DE CUSTOS]],5))</f>
        <v>430004923210</v>
      </c>
      <c r="Y108" s="36" cm="1">
        <f t="array" ref="Y10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09" spans="1:25" hidden="1">
      <c r="A109" s="6"/>
      <c r="B109" s="5" t="s">
        <v>1</v>
      </c>
      <c r="C109" s="6" t="s">
        <v>719</v>
      </c>
      <c r="D109" s="6" t="s">
        <v>719</v>
      </c>
      <c r="E109" s="5" t="s">
        <v>7</v>
      </c>
      <c r="F109" s="6" t="s">
        <v>720</v>
      </c>
      <c r="G109" s="12" t="s">
        <v>9</v>
      </c>
      <c r="H109" s="6"/>
      <c r="I109" s="13">
        <v>2018</v>
      </c>
      <c r="J109" s="39">
        <v>540</v>
      </c>
      <c r="K109" s="36">
        <v>149781.43000000002</v>
      </c>
      <c r="L109" s="36">
        <v>140198.42000000001</v>
      </c>
      <c r="M109" s="36">
        <v>196919.35</v>
      </c>
      <c r="N109" s="36">
        <v>197576.26</v>
      </c>
      <c r="O109" s="36">
        <v>128978.42</v>
      </c>
      <c r="P109" s="36">
        <v>280256.25</v>
      </c>
      <c r="Q109" s="36">
        <v>183481.87000000002</v>
      </c>
      <c r="R109" s="36">
        <v>194506.86</v>
      </c>
      <c r="S109" s="36">
        <v>167475.65</v>
      </c>
      <c r="T109" s="36">
        <v>180657.29</v>
      </c>
      <c r="U109" s="36">
        <v>179441.65</v>
      </c>
      <c r="V109" s="37">
        <f>SUM(BASE_ADM[[#This Row],[jan]:[dez]])</f>
        <v>1999813.4500000002</v>
      </c>
      <c r="W109" s="38">
        <f>SUM(BASE_ADM[[#This Row],[jan]:[dez]])/12</f>
        <v>166651.12083333335</v>
      </c>
      <c r="X109" s="38" t="str">
        <f>_xlfn.CONCAT(LEFT(BASE_ADM[[#This Row],[CONTA CONTABIL]],7),LEFT(BASE_ADM[[#This Row],[CENTRO DE CUSTOS]],5))</f>
        <v>430005223210</v>
      </c>
      <c r="Y109" s="36" cm="1">
        <f t="array" ref="Y10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0" spans="1:25" hidden="1">
      <c r="A110" s="6"/>
      <c r="B110" s="5" t="s">
        <v>1</v>
      </c>
      <c r="C110" s="6" t="s">
        <v>719</v>
      </c>
      <c r="D110" s="6" t="s">
        <v>719</v>
      </c>
      <c r="E110" s="5" t="s">
        <v>7</v>
      </c>
      <c r="F110" s="6" t="s">
        <v>720</v>
      </c>
      <c r="G110" s="12" t="s">
        <v>9</v>
      </c>
      <c r="H110" s="6"/>
      <c r="I110" s="13">
        <v>2019</v>
      </c>
      <c r="J110" s="39">
        <v>109</v>
      </c>
      <c r="K110" s="36">
        <v>187323.89</v>
      </c>
      <c r="L110" s="36">
        <v>183050.91</v>
      </c>
      <c r="M110" s="36">
        <v>185921.12999999998</v>
      </c>
      <c r="N110" s="36">
        <v>214840.76</v>
      </c>
      <c r="O110" s="36">
        <v>184114.95</v>
      </c>
      <c r="P110" s="36">
        <v>136589.78</v>
      </c>
      <c r="Q110" s="36">
        <v>178252.59999999998</v>
      </c>
      <c r="R110" s="36">
        <v>133046.70000000001</v>
      </c>
      <c r="S110" s="36">
        <v>146512.50999999995</v>
      </c>
      <c r="T110" s="36">
        <v>145196.91</v>
      </c>
      <c r="U110" s="36">
        <v>125067.25</v>
      </c>
      <c r="V110" s="37">
        <f>SUM(BASE_ADM[[#This Row],[jan]:[dez]])</f>
        <v>1820026.39</v>
      </c>
      <c r="W110" s="38">
        <f>SUM(BASE_ADM[[#This Row],[jan]:[dez]])/12</f>
        <v>151668.86583333332</v>
      </c>
      <c r="X110" s="38" t="str">
        <f>_xlfn.CONCAT(LEFT(BASE_ADM[[#This Row],[CONTA CONTABIL]],7),LEFT(BASE_ADM[[#This Row],[CENTRO DE CUSTOS]],5))</f>
        <v>430005223210</v>
      </c>
      <c r="Y110" s="36" cm="1">
        <f t="array" ref="Y11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1" spans="1:25" hidden="1">
      <c r="A111" s="6"/>
      <c r="B111" s="5" t="s">
        <v>1</v>
      </c>
      <c r="C111" s="6" t="s">
        <v>719</v>
      </c>
      <c r="D111" s="6" t="s">
        <v>719</v>
      </c>
      <c r="E111" s="5" t="s">
        <v>7</v>
      </c>
      <c r="F111" s="6" t="s">
        <v>720</v>
      </c>
      <c r="G111" s="12" t="s">
        <v>9</v>
      </c>
      <c r="H111" s="6"/>
      <c r="I111" s="13">
        <v>2020</v>
      </c>
      <c r="J111" s="39">
        <v>469</v>
      </c>
      <c r="K111" s="36">
        <v>102837.57</v>
      </c>
      <c r="L111" s="36">
        <v>86864.93</v>
      </c>
      <c r="M111" s="36">
        <v>78965.3</v>
      </c>
      <c r="N111" s="36">
        <v>57253.84</v>
      </c>
      <c r="O111" s="36">
        <v>81633.06</v>
      </c>
      <c r="P111" s="36">
        <v>82099.429999999993</v>
      </c>
      <c r="Q111" s="36">
        <v>79806</v>
      </c>
      <c r="R111" s="36">
        <v>90073.54</v>
      </c>
      <c r="S111" s="36">
        <v>92893.33</v>
      </c>
      <c r="T111" s="36">
        <v>108169.19</v>
      </c>
      <c r="U111" s="36">
        <v>89870.15</v>
      </c>
      <c r="V111" s="37">
        <f>SUM(BASE_ADM[[#This Row],[jan]:[dez]])</f>
        <v>950935.34</v>
      </c>
      <c r="W111" s="38">
        <f>SUM(BASE_ADM[[#This Row],[jan]:[dez]])/12</f>
        <v>79244.611666666664</v>
      </c>
      <c r="X111" s="38" t="str">
        <f>_xlfn.CONCAT(LEFT(BASE_ADM[[#This Row],[CONTA CONTABIL]],7),LEFT(BASE_ADM[[#This Row],[CENTRO DE CUSTOS]],5))</f>
        <v>430005223210</v>
      </c>
      <c r="Y111" s="36" cm="1">
        <f t="array" ref="Y11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2" spans="1:25" hidden="1">
      <c r="A112" s="6"/>
      <c r="B112" s="5" t="s">
        <v>1</v>
      </c>
      <c r="C112" s="6" t="s">
        <v>719</v>
      </c>
      <c r="D112" s="6" t="s">
        <v>719</v>
      </c>
      <c r="E112" s="5" t="s">
        <v>7</v>
      </c>
      <c r="F112" s="6" t="s">
        <v>720</v>
      </c>
      <c r="G112" s="12" t="s">
        <v>9</v>
      </c>
      <c r="H112" s="6"/>
      <c r="I112" s="13">
        <v>2021</v>
      </c>
      <c r="J112" s="39">
        <v>73839.710000000006</v>
      </c>
      <c r="K112" s="36">
        <v>71811.289999999994</v>
      </c>
      <c r="L112" s="36">
        <v>76825.899999999994</v>
      </c>
      <c r="M112" s="36">
        <v>105593.37</v>
      </c>
      <c r="N112" s="36">
        <v>114649.27</v>
      </c>
      <c r="O112" s="36">
        <v>102393.11</v>
      </c>
      <c r="P112" s="36">
        <v>96209.33</v>
      </c>
      <c r="Q112" s="36">
        <v>124535.24</v>
      </c>
      <c r="R112" s="36">
        <v>96825.74</v>
      </c>
      <c r="S112" s="36">
        <v>94513.68</v>
      </c>
      <c r="T112" s="36">
        <v>94887.78</v>
      </c>
      <c r="U112" s="36">
        <v>77045.56</v>
      </c>
      <c r="V112" s="37">
        <f>SUM(BASE_ADM[[#This Row],[jan]:[dez]])</f>
        <v>1129129.98</v>
      </c>
      <c r="W112" s="38">
        <f>SUM(BASE_ADM[[#This Row],[jan]:[dez]])/12</f>
        <v>94094.164999999994</v>
      </c>
      <c r="X112" s="38" t="str">
        <f>_xlfn.CONCAT(LEFT(BASE_ADM[[#This Row],[CONTA CONTABIL]],7),LEFT(BASE_ADM[[#This Row],[CENTRO DE CUSTOS]],5))</f>
        <v>430005223210</v>
      </c>
      <c r="Y112" s="36" cm="1">
        <f t="array" ref="Y11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3" spans="1:25" hidden="1">
      <c r="A113" s="6"/>
      <c r="B113" s="5" t="s">
        <v>1</v>
      </c>
      <c r="C113" s="6" t="s">
        <v>719</v>
      </c>
      <c r="D113" s="6" t="s">
        <v>719</v>
      </c>
      <c r="E113" s="5" t="s">
        <v>7</v>
      </c>
      <c r="F113" s="6" t="s">
        <v>720</v>
      </c>
      <c r="G113" s="12" t="s">
        <v>9</v>
      </c>
      <c r="H113" s="6"/>
      <c r="I113" s="13">
        <v>2022</v>
      </c>
      <c r="J113" s="39">
        <v>88265.02</v>
      </c>
      <c r="K113" s="36">
        <v>81505.279999999999</v>
      </c>
      <c r="L113" s="36">
        <v>52202.649999999994</v>
      </c>
      <c r="M113" s="36">
        <v>48986.67</v>
      </c>
      <c r="N113" s="36">
        <v>57440.04</v>
      </c>
      <c r="O113" s="36">
        <v>56447.130000000005</v>
      </c>
      <c r="P113" s="36">
        <v>58119.08</v>
      </c>
      <c r="Q113" s="36">
        <v>51754</v>
      </c>
      <c r="R113" s="36">
        <v>50036.41</v>
      </c>
      <c r="S113" s="36">
        <v>48824.29</v>
      </c>
      <c r="T113" s="36">
        <v>42139.46</v>
      </c>
      <c r="U113" s="36">
        <v>37054</v>
      </c>
      <c r="V113" s="37">
        <f>SUM(BASE_ADM[[#This Row],[jan]:[dez]])</f>
        <v>672774.03</v>
      </c>
      <c r="W113" s="38">
        <f>SUM(BASE_ADM[[#This Row],[jan]:[dez]])/12</f>
        <v>56064.502500000002</v>
      </c>
      <c r="X113" s="38" t="str">
        <f>_xlfn.CONCAT(LEFT(BASE_ADM[[#This Row],[CONTA CONTABIL]],7),LEFT(BASE_ADM[[#This Row],[CENTRO DE CUSTOS]],5))</f>
        <v>430005223210</v>
      </c>
      <c r="Y113" s="36" cm="1">
        <f t="array" ref="Y11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4" spans="1:25" hidden="1">
      <c r="A114" s="6"/>
      <c r="B114" s="5" t="s">
        <v>1</v>
      </c>
      <c r="C114" s="6" t="s">
        <v>719</v>
      </c>
      <c r="D114" s="6" t="s">
        <v>719</v>
      </c>
      <c r="E114" s="5" t="s">
        <v>7</v>
      </c>
      <c r="F114" s="6" t="s">
        <v>720</v>
      </c>
      <c r="G114" s="12" t="s">
        <v>9</v>
      </c>
      <c r="H114" s="6"/>
      <c r="I114" s="13">
        <v>2023</v>
      </c>
      <c r="J114" s="39">
        <v>50419.08</v>
      </c>
      <c r="K114" s="36">
        <v>45931</v>
      </c>
      <c r="L114" s="36">
        <v>62570.96</v>
      </c>
      <c r="M114" s="36">
        <v>65481.94000000001</v>
      </c>
      <c r="N114" s="36">
        <v>99418.36</v>
      </c>
      <c r="O114" s="36">
        <v>89162.4</v>
      </c>
      <c r="P114" s="36">
        <v>121377.36</v>
      </c>
      <c r="Q114" s="36">
        <v>104655.61</v>
      </c>
      <c r="R114" s="36">
        <v>129317.86</v>
      </c>
      <c r="S114" s="36">
        <v>108834.4</v>
      </c>
      <c r="T114" s="36">
        <v>139314.46</v>
      </c>
      <c r="U114" s="36">
        <v>143138.47</v>
      </c>
      <c r="V114" s="37">
        <f>SUM(BASE_ADM[[#This Row],[jan]:[dez]])</f>
        <v>1159621.8999999999</v>
      </c>
      <c r="W114" s="38">
        <f>SUM(BASE_ADM[[#This Row],[jan]:[dez]])/12</f>
        <v>96635.158333333326</v>
      </c>
      <c r="X114" s="38" t="str">
        <f>_xlfn.CONCAT(LEFT(BASE_ADM[[#This Row],[CONTA CONTABIL]],7),LEFT(BASE_ADM[[#This Row],[CENTRO DE CUSTOS]],5))</f>
        <v>430005223210</v>
      </c>
      <c r="Y114" s="36" cm="1">
        <f t="array" ref="Y11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5" spans="1:25" hidden="1">
      <c r="A115" s="6"/>
      <c r="B115" s="5" t="s">
        <v>1</v>
      </c>
      <c r="C115" s="6" t="s">
        <v>719</v>
      </c>
      <c r="D115" s="6" t="s">
        <v>719</v>
      </c>
      <c r="E115" s="5" t="s">
        <v>7</v>
      </c>
      <c r="F115" s="6" t="s">
        <v>720</v>
      </c>
      <c r="G115" s="12" t="s">
        <v>9</v>
      </c>
      <c r="H115" s="6"/>
      <c r="I115" s="13">
        <v>2024</v>
      </c>
      <c r="J115" s="39">
        <v>138661.35999999999</v>
      </c>
      <c r="K115" s="36">
        <v>148156.97</v>
      </c>
      <c r="L115" s="36">
        <v>134999.35999999999</v>
      </c>
      <c r="M115" s="36">
        <v>80458.36</v>
      </c>
      <c r="N115" s="36">
        <v>6386.39</v>
      </c>
      <c r="O115" s="36">
        <v>4225.1000000000004</v>
      </c>
      <c r="P115" s="36">
        <v>2933.1</v>
      </c>
      <c r="Q115" s="36">
        <v>3902.41</v>
      </c>
      <c r="R115" s="36">
        <v>3944.45</v>
      </c>
      <c r="S115" s="36">
        <v>97390</v>
      </c>
      <c r="T115" s="36">
        <v>117410.09</v>
      </c>
      <c r="U115" s="36">
        <v>3358.37</v>
      </c>
      <c r="V115" s="37">
        <f>SUM(BASE_ADM[[#This Row],[jan]:[dez]])</f>
        <v>741825.95999999985</v>
      </c>
      <c r="W115" s="38">
        <f>SUM(BASE_ADM[[#This Row],[jan]:[dez]])/12</f>
        <v>61818.829999999987</v>
      </c>
      <c r="X115" s="38" t="str">
        <f>_xlfn.CONCAT(LEFT(BASE_ADM[[#This Row],[CONTA CONTABIL]],7),LEFT(BASE_ADM[[#This Row],[CENTRO DE CUSTOS]],5))</f>
        <v>430005223210</v>
      </c>
      <c r="Y115" s="36" cm="1">
        <f t="array" ref="Y11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6" spans="1:25" hidden="1">
      <c r="A116" s="6"/>
      <c r="B116" s="5" t="s">
        <v>1</v>
      </c>
      <c r="C116" s="6" t="s">
        <v>719</v>
      </c>
      <c r="D116" s="6" t="s">
        <v>719</v>
      </c>
      <c r="E116" s="5" t="s">
        <v>7</v>
      </c>
      <c r="F116" s="6" t="s">
        <v>720</v>
      </c>
      <c r="G116" s="12" t="s">
        <v>9</v>
      </c>
      <c r="H116" s="6"/>
      <c r="I116" s="13">
        <v>2025</v>
      </c>
      <c r="J116" s="39">
        <v>2843.77</v>
      </c>
      <c r="K116" s="36">
        <v>135983.03</v>
      </c>
      <c r="L116" s="36">
        <v>131583.24</v>
      </c>
      <c r="M116" s="36">
        <v>1337.46</v>
      </c>
      <c r="N116" s="36">
        <v>2.0000000018626451E-2</v>
      </c>
      <c r="O116" s="36">
        <v>0</v>
      </c>
      <c r="P116" s="36">
        <v>175288.40999999997</v>
      </c>
      <c r="Q116" s="36">
        <v>229711.68000000002</v>
      </c>
      <c r="R116" s="36">
        <v>82328.525286877077</v>
      </c>
      <c r="S116" s="36">
        <v>84959.522795582627</v>
      </c>
      <c r="T116" s="36">
        <v>80210.922383232959</v>
      </c>
      <c r="U116" s="36">
        <v>65467.594951406005</v>
      </c>
      <c r="V116" s="37">
        <f>SUM(BASE_ADM[[#This Row],[jan]:[dez]])</f>
        <v>989714.17541709868</v>
      </c>
      <c r="W116" s="38">
        <f>SUM(BASE_ADM[[#This Row],[jan]:[dez]])/12</f>
        <v>82476.181284758219</v>
      </c>
      <c r="X116" s="38" t="str">
        <f>_xlfn.CONCAT(LEFT(BASE_ADM[[#This Row],[CONTA CONTABIL]],7),LEFT(BASE_ADM[[#This Row],[CENTRO DE CUSTOS]],5))</f>
        <v>430005223210</v>
      </c>
      <c r="Y116" s="36" cm="1">
        <f t="array" ref="Y11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7" spans="1:25" hidden="1">
      <c r="A117" s="6"/>
      <c r="B117" s="241" t="s">
        <v>1</v>
      </c>
      <c r="C117" s="242" t="s">
        <v>719</v>
      </c>
      <c r="D117" s="242" t="s">
        <v>719</v>
      </c>
      <c r="E117" s="241" t="s">
        <v>7</v>
      </c>
      <c r="F117" s="242" t="s">
        <v>720</v>
      </c>
      <c r="G117" s="243" t="s">
        <v>9</v>
      </c>
      <c r="H117" s="242" t="s">
        <v>728</v>
      </c>
      <c r="I117" s="244" t="s">
        <v>103</v>
      </c>
      <c r="J117" s="245">
        <v>126402.31072000002</v>
      </c>
      <c r="K117" s="246">
        <v>90697.765759999995</v>
      </c>
      <c r="L117" s="246">
        <v>91892.411520000023</v>
      </c>
      <c r="M117" s="246">
        <v>93034.403840000014</v>
      </c>
      <c r="N117" s="246">
        <v>87375.447040000014</v>
      </c>
      <c r="O117" s="246">
        <v>108731.56896</v>
      </c>
      <c r="P117" s="246">
        <v>117233.31177600002</v>
      </c>
      <c r="Q117" s="246">
        <v>106649.212992</v>
      </c>
      <c r="R117" s="246">
        <v>122450.46293760002</v>
      </c>
      <c r="S117" s="246">
        <v>127264.77200640002</v>
      </c>
      <c r="T117" s="246">
        <v>113095.32326400002</v>
      </c>
      <c r="U117" s="246">
        <v>93560.340608000013</v>
      </c>
      <c r="V117" s="247">
        <f>SUM(BASE_ADM[[#This Row],[jan]:[dez]])</f>
        <v>1278387.3314240002</v>
      </c>
      <c r="W117" s="247">
        <f>SUM(BASE_ADM[[#This Row],[jan]:[dez]])/12</f>
        <v>106532.27761866669</v>
      </c>
      <c r="X117" s="247" t="str">
        <f>_xlfn.CONCAT(LEFT(BASE_ADM[[#This Row],[CONTA CONTABIL]],7),LEFT(BASE_ADM[[#This Row],[CENTRO DE CUSTOS]],5))</f>
        <v>430005223210</v>
      </c>
      <c r="Y117" s="246" cm="1">
        <f t="array" ref="Y11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8" spans="1:25" hidden="1">
      <c r="A118" s="6"/>
      <c r="B118" s="5" t="s">
        <v>1</v>
      </c>
      <c r="C118" s="6" t="s">
        <v>719</v>
      </c>
      <c r="D118" s="6" t="s">
        <v>719</v>
      </c>
      <c r="E118" s="5" t="s">
        <v>7</v>
      </c>
      <c r="F118" s="6" t="s">
        <v>723</v>
      </c>
      <c r="G118" s="12" t="s">
        <v>9</v>
      </c>
      <c r="H118" s="6"/>
      <c r="I118" s="13">
        <v>2018</v>
      </c>
      <c r="J118" s="39">
        <v>0</v>
      </c>
      <c r="K118" s="36">
        <v>0</v>
      </c>
      <c r="L118" s="36">
        <v>0</v>
      </c>
      <c r="M118" s="36">
        <v>0</v>
      </c>
      <c r="N118" s="36">
        <v>0</v>
      </c>
      <c r="O118" s="36">
        <v>0</v>
      </c>
      <c r="P118" s="36">
        <v>0</v>
      </c>
      <c r="Q118" s="36">
        <v>-62980.14</v>
      </c>
      <c r="R118" s="36">
        <v>0</v>
      </c>
      <c r="S118" s="36">
        <v>0</v>
      </c>
      <c r="T118" s="36">
        <v>0</v>
      </c>
      <c r="U118" s="36">
        <v>0</v>
      </c>
      <c r="V118" s="37">
        <f>SUM(BASE_ADM[[#This Row],[jan]:[dez]])</f>
        <v>-62980.14</v>
      </c>
      <c r="W118" s="38">
        <f>SUM(BASE_ADM[[#This Row],[jan]:[dez]])/12</f>
        <v>-5248.3450000000003</v>
      </c>
      <c r="X118" s="38" t="str">
        <f>_xlfn.CONCAT(LEFT(BASE_ADM[[#This Row],[CONTA CONTABIL]],7),LEFT(BASE_ADM[[#This Row],[CENTRO DE CUSTOS]],5))</f>
        <v>430005223221</v>
      </c>
      <c r="Y118" s="36" cm="1">
        <f t="array" ref="Y11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19" spans="1:25" hidden="1">
      <c r="A119" s="6"/>
      <c r="B119" s="5" t="s">
        <v>1</v>
      </c>
      <c r="C119" s="6" t="s">
        <v>719</v>
      </c>
      <c r="D119" s="6" t="s">
        <v>719</v>
      </c>
      <c r="E119" s="5" t="s">
        <v>7</v>
      </c>
      <c r="F119" s="6" t="s">
        <v>723</v>
      </c>
      <c r="G119" s="12" t="s">
        <v>9</v>
      </c>
      <c r="H119" s="6"/>
      <c r="I119" s="13">
        <v>2019</v>
      </c>
      <c r="J119" s="39">
        <v>0</v>
      </c>
      <c r="K119" s="36">
        <v>0</v>
      </c>
      <c r="L119" s="36">
        <v>1034.3499999999999</v>
      </c>
      <c r="M119" s="36">
        <v>5195.46</v>
      </c>
      <c r="N119" s="36">
        <v>3014.47</v>
      </c>
      <c r="O119" s="36">
        <v>2705.46</v>
      </c>
      <c r="P119" s="36">
        <v>1867.43</v>
      </c>
      <c r="Q119" s="36">
        <v>4543.9799999999996</v>
      </c>
      <c r="R119" s="36">
        <v>4454.28</v>
      </c>
      <c r="S119" s="36">
        <v>50077.7</v>
      </c>
      <c r="T119" s="36">
        <v>2624.99</v>
      </c>
      <c r="U119" s="36">
        <v>3755.61</v>
      </c>
      <c r="V119" s="37">
        <f>SUM(BASE_ADM[[#This Row],[jan]:[dez]])</f>
        <v>79273.73</v>
      </c>
      <c r="W119" s="38">
        <f>SUM(BASE_ADM[[#This Row],[jan]:[dez]])/12</f>
        <v>6606.144166666666</v>
      </c>
      <c r="X119" s="38" t="str">
        <f>_xlfn.CONCAT(LEFT(BASE_ADM[[#This Row],[CONTA CONTABIL]],7),LEFT(BASE_ADM[[#This Row],[CENTRO DE CUSTOS]],5))</f>
        <v>430005223221</v>
      </c>
      <c r="Y119" s="36" cm="1">
        <f t="array" ref="Y11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20" spans="1:25" hidden="1">
      <c r="A120" s="6"/>
      <c r="B120" s="5" t="s">
        <v>1</v>
      </c>
      <c r="C120" s="6" t="s">
        <v>719</v>
      </c>
      <c r="D120" s="6" t="s">
        <v>719</v>
      </c>
      <c r="E120" s="5" t="s">
        <v>7</v>
      </c>
      <c r="F120" s="6" t="s">
        <v>723</v>
      </c>
      <c r="G120" s="12" t="s">
        <v>9</v>
      </c>
      <c r="H120" s="6"/>
      <c r="I120" s="13">
        <v>2020</v>
      </c>
      <c r="J120" s="39">
        <v>3028.98</v>
      </c>
      <c r="K120" s="36">
        <v>2358.85</v>
      </c>
      <c r="L120" s="36">
        <v>1097.5899999999999</v>
      </c>
      <c r="M120" s="36">
        <v>3655.39</v>
      </c>
      <c r="N120" s="36">
        <v>2788.39</v>
      </c>
      <c r="O120" s="36">
        <v>1241.6099999999999</v>
      </c>
      <c r="P120" s="36">
        <v>2645.64</v>
      </c>
      <c r="Q120" s="36">
        <v>1150.4100000000001</v>
      </c>
      <c r="R120" s="36">
        <v>980.96</v>
      </c>
      <c r="S120" s="36">
        <v>1562.82</v>
      </c>
      <c r="T120" s="36">
        <v>0</v>
      </c>
      <c r="U120" s="36">
        <v>0</v>
      </c>
      <c r="V120" s="37">
        <f>SUM(BASE_ADM[[#This Row],[jan]:[dez]])</f>
        <v>20510.64</v>
      </c>
      <c r="W120" s="38">
        <f>SUM(BASE_ADM[[#This Row],[jan]:[dez]])/12</f>
        <v>1709.22</v>
      </c>
      <c r="X120" s="38" t="str">
        <f>_xlfn.CONCAT(LEFT(BASE_ADM[[#This Row],[CONTA CONTABIL]],7),LEFT(BASE_ADM[[#This Row],[CENTRO DE CUSTOS]],5))</f>
        <v>430005223221</v>
      </c>
      <c r="Y120" s="36" cm="1">
        <f t="array" ref="Y12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21" spans="1:25" hidden="1">
      <c r="A121" s="6"/>
      <c r="B121" s="5" t="s">
        <v>1</v>
      </c>
      <c r="C121" s="6" t="s">
        <v>719</v>
      </c>
      <c r="D121" s="6" t="s">
        <v>719</v>
      </c>
      <c r="E121" s="5" t="s">
        <v>7</v>
      </c>
      <c r="F121" s="6" t="s">
        <v>721</v>
      </c>
      <c r="G121" s="12" t="s">
        <v>8</v>
      </c>
      <c r="H121" s="6"/>
      <c r="I121" s="13">
        <v>2019</v>
      </c>
      <c r="J121" s="39">
        <v>0</v>
      </c>
      <c r="K121" s="36">
        <v>0</v>
      </c>
      <c r="L121" s="36">
        <v>0</v>
      </c>
      <c r="M121" s="36">
        <v>0</v>
      </c>
      <c r="N121" s="36">
        <v>0</v>
      </c>
      <c r="O121" s="36">
        <v>0</v>
      </c>
      <c r="P121" s="36">
        <v>129.38</v>
      </c>
      <c r="Q121" s="36">
        <v>50.45</v>
      </c>
      <c r="R121" s="36">
        <v>0</v>
      </c>
      <c r="S121" s="36">
        <v>0</v>
      </c>
      <c r="T121" s="36">
        <v>22894.419999999987</v>
      </c>
      <c r="U121" s="36">
        <v>0</v>
      </c>
      <c r="V121" s="37">
        <f>SUM(BASE_ADM[[#This Row],[jan]:[dez]])</f>
        <v>23074.249999999989</v>
      </c>
      <c r="W121" s="38">
        <f>SUM(BASE_ADM[[#This Row],[jan]:[dez]])/12</f>
        <v>1922.8541666666658</v>
      </c>
      <c r="X121" s="38" t="str">
        <f>_xlfn.CONCAT(LEFT(BASE_ADM[[#This Row],[CONTA CONTABIL]],7),LEFT(BASE_ADM[[#This Row],[CENTRO DE CUSTOS]],5))</f>
        <v>430005623200</v>
      </c>
      <c r="Y121" s="36" cm="1">
        <f t="array" ref="Y12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22" spans="1:25" hidden="1">
      <c r="A122" s="6"/>
      <c r="B122" s="5" t="s">
        <v>1</v>
      </c>
      <c r="C122" s="6" t="s">
        <v>719</v>
      </c>
      <c r="D122" s="6" t="s">
        <v>719</v>
      </c>
      <c r="E122" s="5" t="s">
        <v>7</v>
      </c>
      <c r="F122" s="6" t="s">
        <v>721</v>
      </c>
      <c r="G122" s="12" t="s">
        <v>8</v>
      </c>
      <c r="H122" s="6"/>
      <c r="I122" s="13">
        <v>2020</v>
      </c>
      <c r="J122" s="39">
        <v>0</v>
      </c>
      <c r="K122" s="36">
        <v>0</v>
      </c>
      <c r="L122" s="36">
        <v>0</v>
      </c>
      <c r="M122" s="36">
        <v>0</v>
      </c>
      <c r="N122" s="36">
        <v>0</v>
      </c>
      <c r="O122" s="36">
        <v>222.12</v>
      </c>
      <c r="P122" s="36">
        <v>13897.080000000002</v>
      </c>
      <c r="Q122" s="36">
        <v>0</v>
      </c>
      <c r="R122" s="36">
        <v>0</v>
      </c>
      <c r="S122" s="36">
        <v>0</v>
      </c>
      <c r="T122" s="36">
        <v>0</v>
      </c>
      <c r="U122" s="36">
        <v>0</v>
      </c>
      <c r="V122" s="37">
        <f>SUM(BASE_ADM[[#This Row],[jan]:[dez]])</f>
        <v>14119.200000000003</v>
      </c>
      <c r="W122" s="38">
        <f>SUM(BASE_ADM[[#This Row],[jan]:[dez]])/12</f>
        <v>1176.6000000000001</v>
      </c>
      <c r="X122" s="38" t="str">
        <f>_xlfn.CONCAT(LEFT(BASE_ADM[[#This Row],[CONTA CONTABIL]],7),LEFT(BASE_ADM[[#This Row],[CENTRO DE CUSTOS]],5))</f>
        <v>430005623200</v>
      </c>
      <c r="Y122" s="36" cm="1">
        <f t="array" ref="Y12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23" spans="1:25" hidden="1">
      <c r="A123" s="6"/>
      <c r="B123" s="5" t="s">
        <v>1</v>
      </c>
      <c r="C123" s="6" t="s">
        <v>719</v>
      </c>
      <c r="D123" s="6" t="s">
        <v>719</v>
      </c>
      <c r="E123" s="5" t="s">
        <v>7</v>
      </c>
      <c r="F123" s="6" t="s">
        <v>721</v>
      </c>
      <c r="G123" s="12" t="s">
        <v>8</v>
      </c>
      <c r="H123" s="6"/>
      <c r="I123" s="13">
        <v>2022</v>
      </c>
      <c r="J123" s="39">
        <v>0</v>
      </c>
      <c r="K123" s="36">
        <v>0</v>
      </c>
      <c r="L123" s="36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49.080000000000155</v>
      </c>
      <c r="S123" s="36">
        <v>-210.51</v>
      </c>
      <c r="T123" s="36">
        <v>0</v>
      </c>
      <c r="U123" s="36">
        <v>0</v>
      </c>
      <c r="V123" s="37">
        <f>SUM(BASE_ADM[[#This Row],[jan]:[dez]])</f>
        <v>-161.42999999999984</v>
      </c>
      <c r="W123" s="38">
        <f>SUM(BASE_ADM[[#This Row],[jan]:[dez]])/12</f>
        <v>-13.452499999999986</v>
      </c>
      <c r="X123" s="38" t="str">
        <f>_xlfn.CONCAT(LEFT(BASE_ADM[[#This Row],[CONTA CONTABIL]],7),LEFT(BASE_ADM[[#This Row],[CENTRO DE CUSTOS]],5))</f>
        <v>430005623200</v>
      </c>
      <c r="Y123" s="36" cm="1">
        <f t="array" ref="Y12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24" spans="1:25" hidden="1">
      <c r="A124" s="6"/>
      <c r="B124" s="5" t="s">
        <v>1</v>
      </c>
      <c r="C124" s="6" t="s">
        <v>719</v>
      </c>
      <c r="D124" s="6" t="s">
        <v>719</v>
      </c>
      <c r="E124" s="5" t="s">
        <v>7</v>
      </c>
      <c r="F124" s="6" t="s">
        <v>720</v>
      </c>
      <c r="G124" s="12" t="s">
        <v>8</v>
      </c>
      <c r="H124" s="6"/>
      <c r="I124" s="13">
        <v>2018</v>
      </c>
      <c r="J124" s="39">
        <v>-275737.87</v>
      </c>
      <c r="K124" s="36">
        <v>70253.27000000012</v>
      </c>
      <c r="L124" s="36">
        <v>240656.04000000004</v>
      </c>
      <c r="M124" s="36">
        <v>195423.51000000015</v>
      </c>
      <c r="N124" s="36">
        <v>178189.48999999993</v>
      </c>
      <c r="O124" s="36">
        <v>286493.81000000011</v>
      </c>
      <c r="P124" s="36">
        <v>226220.89999999997</v>
      </c>
      <c r="Q124" s="36">
        <v>226085.4800000001</v>
      </c>
      <c r="R124" s="36">
        <v>1094014.6999999993</v>
      </c>
      <c r="S124" s="36">
        <v>-602814.28000000014</v>
      </c>
      <c r="T124" s="36">
        <v>248557.8</v>
      </c>
      <c r="U124" s="36">
        <v>247833.71999999983</v>
      </c>
      <c r="V124" s="37">
        <f>SUM(BASE_ADM[[#This Row],[jan]:[dez]])</f>
        <v>2135176.5699999994</v>
      </c>
      <c r="W124" s="38">
        <f>SUM(BASE_ADM[[#This Row],[jan]:[dez]])/12</f>
        <v>177931.38083333327</v>
      </c>
      <c r="X124" s="38" t="str">
        <f>_xlfn.CONCAT(LEFT(BASE_ADM[[#This Row],[CONTA CONTABIL]],7),LEFT(BASE_ADM[[#This Row],[CENTRO DE CUSTOS]],5))</f>
        <v>430005623210</v>
      </c>
      <c r="Y124" s="36" cm="1">
        <f t="array" ref="Y12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592026.12508031353</v>
      </c>
    </row>
    <row r="125" spans="1:25" hidden="1">
      <c r="A125" s="6"/>
      <c r="B125" s="5" t="s">
        <v>1</v>
      </c>
      <c r="C125" s="6" t="s">
        <v>719</v>
      </c>
      <c r="D125" s="6" t="s">
        <v>719</v>
      </c>
      <c r="E125" s="5" t="s">
        <v>7</v>
      </c>
      <c r="F125" s="6" t="s">
        <v>720</v>
      </c>
      <c r="G125" s="12" t="s">
        <v>8</v>
      </c>
      <c r="H125" s="6"/>
      <c r="I125" s="13">
        <v>2019</v>
      </c>
      <c r="J125" s="39">
        <v>302233.37000000005</v>
      </c>
      <c r="K125" s="36">
        <v>320311.05000000016</v>
      </c>
      <c r="L125" s="36">
        <v>391103.96999999991</v>
      </c>
      <c r="M125" s="36">
        <v>348097.2900000001</v>
      </c>
      <c r="N125" s="36">
        <v>421495.89000000042</v>
      </c>
      <c r="O125" s="36">
        <v>432488.35</v>
      </c>
      <c r="P125" s="36">
        <v>1065531.1300000004</v>
      </c>
      <c r="Q125" s="36">
        <v>455104.29999999993</v>
      </c>
      <c r="R125" s="36">
        <v>166498.24000000051</v>
      </c>
      <c r="S125" s="36">
        <v>662269.26000000013</v>
      </c>
      <c r="T125" s="36">
        <v>577520.73000000021</v>
      </c>
      <c r="U125" s="36">
        <v>841731.19999999984</v>
      </c>
      <c r="V125" s="37">
        <f>SUM(BASE_ADM[[#This Row],[jan]:[dez]])</f>
        <v>5984384.7800000021</v>
      </c>
      <c r="W125" s="38">
        <f>SUM(BASE_ADM[[#This Row],[jan]:[dez]])/12</f>
        <v>498698.73166666686</v>
      </c>
      <c r="X125" s="38" t="str">
        <f>_xlfn.CONCAT(LEFT(BASE_ADM[[#This Row],[CONTA CONTABIL]],7),LEFT(BASE_ADM[[#This Row],[CENTRO DE CUSTOS]],5))</f>
        <v>430005623210</v>
      </c>
      <c r="Y125" s="36" cm="1">
        <f t="array" ref="Y12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592026.12508031353</v>
      </c>
    </row>
    <row r="126" spans="1:25" hidden="1">
      <c r="A126" s="6"/>
      <c r="B126" s="5" t="s">
        <v>1</v>
      </c>
      <c r="C126" s="6" t="s">
        <v>719</v>
      </c>
      <c r="D126" s="6" t="s">
        <v>719</v>
      </c>
      <c r="E126" s="5" t="s">
        <v>7</v>
      </c>
      <c r="F126" s="6" t="s">
        <v>720</v>
      </c>
      <c r="G126" s="12" t="s">
        <v>8</v>
      </c>
      <c r="H126" s="6"/>
      <c r="I126" s="13">
        <v>2020</v>
      </c>
      <c r="J126" s="39">
        <v>-76136.989999999947</v>
      </c>
      <c r="K126" s="36">
        <v>403108.0499999997</v>
      </c>
      <c r="L126" s="36">
        <v>479927.85999999929</v>
      </c>
      <c r="M126" s="36">
        <v>320184.76999999973</v>
      </c>
      <c r="N126" s="36">
        <v>315204.5900000002</v>
      </c>
      <c r="O126" s="36">
        <v>364921.05000000016</v>
      </c>
      <c r="P126" s="36">
        <v>523906.74999999977</v>
      </c>
      <c r="Q126" s="36">
        <v>568696.4800000001</v>
      </c>
      <c r="R126" s="36">
        <v>561175.91</v>
      </c>
      <c r="S126" s="36">
        <v>592545.89999999991</v>
      </c>
      <c r="T126" s="36">
        <v>596878.26999999979</v>
      </c>
      <c r="U126" s="36">
        <v>493590.23999999993</v>
      </c>
      <c r="V126" s="37">
        <f>SUM(BASE_ADM[[#This Row],[jan]:[dez]])</f>
        <v>5144002.879999999</v>
      </c>
      <c r="W126" s="38">
        <f>SUM(BASE_ADM[[#This Row],[jan]:[dez]])/12</f>
        <v>428666.90666666656</v>
      </c>
      <c r="X126" s="38" t="str">
        <f>_xlfn.CONCAT(LEFT(BASE_ADM[[#This Row],[CONTA CONTABIL]],7),LEFT(BASE_ADM[[#This Row],[CENTRO DE CUSTOS]],5))</f>
        <v>430005623210</v>
      </c>
      <c r="Y126" s="36" cm="1">
        <f t="array" ref="Y12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592026.12508031353</v>
      </c>
    </row>
    <row r="127" spans="1:25" hidden="1">
      <c r="A127" s="6"/>
      <c r="B127" s="5" t="s">
        <v>1</v>
      </c>
      <c r="C127" s="6" t="s">
        <v>719</v>
      </c>
      <c r="D127" s="6" t="s">
        <v>719</v>
      </c>
      <c r="E127" s="5" t="s">
        <v>7</v>
      </c>
      <c r="F127" s="6" t="s">
        <v>720</v>
      </c>
      <c r="G127" s="12" t="s">
        <v>8</v>
      </c>
      <c r="H127" s="6"/>
      <c r="I127" s="13">
        <v>2021</v>
      </c>
      <c r="J127" s="39">
        <v>560599.89</v>
      </c>
      <c r="K127" s="36">
        <v>562271.56999999983</v>
      </c>
      <c r="L127" s="36">
        <v>702740.92000000027</v>
      </c>
      <c r="M127" s="36">
        <v>774154.61999999965</v>
      </c>
      <c r="N127" s="36">
        <v>722537.97999999986</v>
      </c>
      <c r="O127" s="36">
        <v>597255.65000000037</v>
      </c>
      <c r="P127" s="36">
        <v>627285.26</v>
      </c>
      <c r="Q127" s="36">
        <v>684374.77999999968</v>
      </c>
      <c r="R127" s="36">
        <v>558289.95999999961</v>
      </c>
      <c r="S127" s="36">
        <v>514808.08</v>
      </c>
      <c r="T127" s="36">
        <v>699451.26</v>
      </c>
      <c r="U127" s="36">
        <v>1170070.4999999993</v>
      </c>
      <c r="V127" s="37">
        <f>SUM(BASE_ADM[[#This Row],[jan]:[dez]])</f>
        <v>8173840.4699999988</v>
      </c>
      <c r="W127" s="38">
        <f>SUM(BASE_ADM[[#This Row],[jan]:[dez]])/12</f>
        <v>681153.37249999994</v>
      </c>
      <c r="X127" s="38" t="str">
        <f>_xlfn.CONCAT(LEFT(BASE_ADM[[#This Row],[CONTA CONTABIL]],7),LEFT(BASE_ADM[[#This Row],[CENTRO DE CUSTOS]],5))</f>
        <v>430005623210</v>
      </c>
      <c r="Y127" s="36" cm="1">
        <f t="array" ref="Y12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592026.12508031353</v>
      </c>
    </row>
    <row r="128" spans="1:25" hidden="1">
      <c r="A128" s="6"/>
      <c r="B128" s="5" t="s">
        <v>1</v>
      </c>
      <c r="C128" s="6" t="s">
        <v>719</v>
      </c>
      <c r="D128" s="6" t="s">
        <v>719</v>
      </c>
      <c r="E128" s="5" t="s">
        <v>7</v>
      </c>
      <c r="F128" s="6" t="s">
        <v>720</v>
      </c>
      <c r="G128" s="12" t="s">
        <v>8</v>
      </c>
      <c r="H128" s="6"/>
      <c r="I128" s="13">
        <v>2022</v>
      </c>
      <c r="J128" s="39">
        <v>704410.38999999955</v>
      </c>
      <c r="K128" s="36">
        <v>-157803.48000000021</v>
      </c>
      <c r="L128" s="36">
        <v>842680.79000000015</v>
      </c>
      <c r="M128" s="36">
        <v>616269.22000000032</v>
      </c>
      <c r="N128" s="36">
        <v>761663.59999999963</v>
      </c>
      <c r="O128" s="36">
        <v>801845.06</v>
      </c>
      <c r="P128" s="36">
        <v>639848.63999999966</v>
      </c>
      <c r="Q128" s="36">
        <v>1161089</v>
      </c>
      <c r="R128" s="36">
        <v>275211.08999999956</v>
      </c>
      <c r="S128" s="36">
        <v>1220497.0500000003</v>
      </c>
      <c r="T128" s="36">
        <v>715423.55999999924</v>
      </c>
      <c r="U128" s="36">
        <v>576623.81000000029</v>
      </c>
      <c r="V128" s="37">
        <f>SUM(BASE_ADM[[#This Row],[jan]:[dez]])</f>
        <v>8157758.7299999995</v>
      </c>
      <c r="W128" s="38">
        <f>SUM(BASE_ADM[[#This Row],[jan]:[dez]])/12</f>
        <v>679813.22749999992</v>
      </c>
      <c r="X128" s="38" t="str">
        <f>_xlfn.CONCAT(LEFT(BASE_ADM[[#This Row],[CONTA CONTABIL]],7),LEFT(BASE_ADM[[#This Row],[CENTRO DE CUSTOS]],5))</f>
        <v>430005623210</v>
      </c>
      <c r="Y128" s="36" cm="1">
        <f t="array" ref="Y12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592026.12508031353</v>
      </c>
    </row>
    <row r="129" spans="1:25" hidden="1">
      <c r="A129" s="6"/>
      <c r="B129" s="5" t="s">
        <v>1</v>
      </c>
      <c r="C129" s="6" t="s">
        <v>719</v>
      </c>
      <c r="D129" s="6" t="s">
        <v>719</v>
      </c>
      <c r="E129" s="5" t="s">
        <v>7</v>
      </c>
      <c r="F129" s="6" t="s">
        <v>720</v>
      </c>
      <c r="G129" s="12" t="s">
        <v>8</v>
      </c>
      <c r="H129" s="6"/>
      <c r="I129" s="13">
        <v>2023</v>
      </c>
      <c r="J129" s="39">
        <v>986359.74999999953</v>
      </c>
      <c r="K129" s="36">
        <v>870166</v>
      </c>
      <c r="L129" s="36">
        <v>1007654.74</v>
      </c>
      <c r="M129" s="36">
        <v>903147.24000000022</v>
      </c>
      <c r="N129" s="36">
        <v>1082557.8800000006</v>
      </c>
      <c r="O129" s="36">
        <v>1175186.5299999993</v>
      </c>
      <c r="P129" s="36">
        <v>1106893.4499999997</v>
      </c>
      <c r="Q129" s="36">
        <v>1019088.5499999999</v>
      </c>
      <c r="R129" s="36">
        <v>662911.77</v>
      </c>
      <c r="S129" s="36">
        <v>873950.49999999988</v>
      </c>
      <c r="T129" s="36">
        <v>802567.41999999946</v>
      </c>
      <c r="U129" s="36">
        <v>1047454.8700000002</v>
      </c>
      <c r="V129" s="37">
        <f>SUM(BASE_ADM[[#This Row],[jan]:[dez]])</f>
        <v>11537938.700000001</v>
      </c>
      <c r="W129" s="38">
        <f>SUM(BASE_ADM[[#This Row],[jan]:[dez]])/12</f>
        <v>961494.89166666672</v>
      </c>
      <c r="X129" s="38" t="str">
        <f>_xlfn.CONCAT(LEFT(BASE_ADM[[#This Row],[CONTA CONTABIL]],7),LEFT(BASE_ADM[[#This Row],[CENTRO DE CUSTOS]],5))</f>
        <v>430005623210</v>
      </c>
      <c r="Y129" s="36" cm="1">
        <f t="array" ref="Y12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592026.12508031353</v>
      </c>
    </row>
    <row r="130" spans="1:25" hidden="1">
      <c r="A130" s="6"/>
      <c r="B130" s="5" t="s">
        <v>1</v>
      </c>
      <c r="C130" s="6" t="s">
        <v>719</v>
      </c>
      <c r="D130" s="6" t="s">
        <v>719</v>
      </c>
      <c r="E130" s="5" t="s">
        <v>7</v>
      </c>
      <c r="F130" s="6" t="s">
        <v>720</v>
      </c>
      <c r="G130" s="12" t="s">
        <v>8</v>
      </c>
      <c r="H130" s="6"/>
      <c r="I130" s="13">
        <v>2024</v>
      </c>
      <c r="J130" s="39">
        <v>335722.47999999975</v>
      </c>
      <c r="K130" s="36">
        <v>950760.20999999926</v>
      </c>
      <c r="L130" s="36">
        <v>629248.92999999865</v>
      </c>
      <c r="M130" s="36">
        <v>1223273.6499999997</v>
      </c>
      <c r="N130" s="36">
        <v>896326.12000000046</v>
      </c>
      <c r="O130" s="36">
        <v>624784.75000000047</v>
      </c>
      <c r="P130" s="36">
        <v>677482.91000000038</v>
      </c>
      <c r="Q130" s="36">
        <v>986648.13000000105</v>
      </c>
      <c r="R130" s="36">
        <v>612564.50999999931</v>
      </c>
      <c r="S130" s="36">
        <v>1253044</v>
      </c>
      <c r="T130" s="36">
        <v>880350.23999999859</v>
      </c>
      <c r="U130" s="36">
        <v>1302006.8799999994</v>
      </c>
      <c r="V130" s="37">
        <f>SUM(BASE_ADM[[#This Row],[jan]:[dez]])</f>
        <v>10372212.809999997</v>
      </c>
      <c r="W130" s="38">
        <f>SUM(BASE_ADM[[#This Row],[jan]:[dez]])/12</f>
        <v>864351.06749999977</v>
      </c>
      <c r="X130" s="38" t="str">
        <f>_xlfn.CONCAT(LEFT(BASE_ADM[[#This Row],[CONTA CONTABIL]],7),LEFT(BASE_ADM[[#This Row],[CENTRO DE CUSTOS]],5))</f>
        <v>430005623210</v>
      </c>
      <c r="Y130" s="36" cm="1">
        <f t="array" ref="Y13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592026.12508031353</v>
      </c>
    </row>
    <row r="131" spans="1:25" hidden="1">
      <c r="A131" s="6"/>
      <c r="B131" s="5" t="s">
        <v>1</v>
      </c>
      <c r="C131" s="6" t="s">
        <v>719</v>
      </c>
      <c r="D131" s="6" t="s">
        <v>719</v>
      </c>
      <c r="E131" s="5" t="s">
        <v>7</v>
      </c>
      <c r="F131" s="6" t="s">
        <v>720</v>
      </c>
      <c r="G131" s="12" t="s">
        <v>8</v>
      </c>
      <c r="H131" s="6"/>
      <c r="I131" s="13">
        <v>2025</v>
      </c>
      <c r="J131" s="39">
        <v>1001898.0499999983</v>
      </c>
      <c r="K131" s="36">
        <v>809656.21</v>
      </c>
      <c r="L131" s="36">
        <v>819691.6800000004</v>
      </c>
      <c r="M131" s="36">
        <v>716399.90999999864</v>
      </c>
      <c r="N131" s="36">
        <v>654641.94999999867</v>
      </c>
      <c r="O131" s="36">
        <v>1447312.2599999998</v>
      </c>
      <c r="P131" s="36">
        <v>432813.59999999974</v>
      </c>
      <c r="Q131" s="36">
        <v>1619438.41</v>
      </c>
      <c r="R131" s="36">
        <v>846491.2192872701</v>
      </c>
      <c r="S131" s="36">
        <v>924461.08702511596</v>
      </c>
      <c r="T131" s="36">
        <v>871686.64668879029</v>
      </c>
      <c r="U131" s="36">
        <v>803145.04919961595</v>
      </c>
      <c r="V131" s="37">
        <f>SUM(BASE_ADM[[#This Row],[jan]:[dez]])</f>
        <v>10947636.072200788</v>
      </c>
      <c r="W131" s="38">
        <f>SUM(BASE_ADM[[#This Row],[jan]:[dez]])/12</f>
        <v>912303.00601673231</v>
      </c>
      <c r="X131" s="38" t="str">
        <f>_xlfn.CONCAT(LEFT(BASE_ADM[[#This Row],[CONTA CONTABIL]],7),LEFT(BASE_ADM[[#This Row],[CENTRO DE CUSTOS]],5))</f>
        <v>430005623210</v>
      </c>
      <c r="Y131" s="36" cm="1">
        <f t="array" ref="Y13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592026.12508031353</v>
      </c>
    </row>
    <row r="132" spans="1:25" hidden="1">
      <c r="A132" s="6"/>
      <c r="B132" s="241" t="s">
        <v>1</v>
      </c>
      <c r="C132" s="242" t="s">
        <v>719</v>
      </c>
      <c r="D132" s="242" t="s">
        <v>719</v>
      </c>
      <c r="E132" s="241" t="s">
        <v>7</v>
      </c>
      <c r="F132" s="242" t="s">
        <v>720</v>
      </c>
      <c r="G132" s="243" t="s">
        <v>8</v>
      </c>
      <c r="H132" s="242" t="s">
        <v>728</v>
      </c>
      <c r="I132" s="244" t="s">
        <v>103</v>
      </c>
      <c r="J132" s="245">
        <v>1076366.1274940199</v>
      </c>
      <c r="K132" s="246">
        <v>841026.85935322405</v>
      </c>
      <c r="L132" s="246">
        <v>850826.9273473724</v>
      </c>
      <c r="M132" s="246">
        <v>900514.93279577827</v>
      </c>
      <c r="N132" s="246">
        <v>859509.62652236188</v>
      </c>
      <c r="O132" s="246">
        <v>991266.03201116342</v>
      </c>
      <c r="P132" s="246">
        <v>1042865.0994558508</v>
      </c>
      <c r="Q132" s="246">
        <v>966995.17831563985</v>
      </c>
      <c r="R132" s="246">
        <v>1065977.3478942739</v>
      </c>
      <c r="S132" s="246">
        <v>1092872.6234945152</v>
      </c>
      <c r="T132" s="246">
        <v>992356.68432134227</v>
      </c>
      <c r="U132" s="246">
        <v>859084.75827555894</v>
      </c>
      <c r="V132" s="247">
        <f>SUM(BASE_ADM[[#This Row],[jan]:[dez]])</f>
        <v>11539662.197281102</v>
      </c>
      <c r="W132" s="247">
        <f>SUM(BASE_ADM[[#This Row],[jan]:[dez]])/12</f>
        <v>961638.51644009177</v>
      </c>
      <c r="X132" s="247" t="str">
        <f>_xlfn.CONCAT(LEFT(BASE_ADM[[#This Row],[CONTA CONTABIL]],7),LEFT(BASE_ADM[[#This Row],[CENTRO DE CUSTOS]],5))</f>
        <v>430005623210</v>
      </c>
      <c r="Y132" s="246" cm="1">
        <f t="array" ref="Y13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592026.12508031353</v>
      </c>
    </row>
    <row r="133" spans="1:25" hidden="1">
      <c r="A133" s="6"/>
      <c r="B133" s="5" t="s">
        <v>1</v>
      </c>
      <c r="C133" s="6" t="s">
        <v>719</v>
      </c>
      <c r="D133" s="6" t="s">
        <v>719</v>
      </c>
      <c r="E133" s="5" t="s">
        <v>7</v>
      </c>
      <c r="F133" s="6" t="s">
        <v>721</v>
      </c>
      <c r="G133" s="12" t="s">
        <v>88</v>
      </c>
      <c r="H133" s="6"/>
      <c r="I133" s="13">
        <v>2018</v>
      </c>
      <c r="J133" s="39">
        <v>2912.24</v>
      </c>
      <c r="K133" s="36">
        <v>6579.1799999999985</v>
      </c>
      <c r="L133" s="36">
        <v>285.67</v>
      </c>
      <c r="M133" s="36">
        <v>6584.6000000000013</v>
      </c>
      <c r="N133" s="36">
        <v>3047.6600000000003</v>
      </c>
      <c r="O133" s="36">
        <v>13927.230000000001</v>
      </c>
      <c r="P133" s="36">
        <v>2414.73</v>
      </c>
      <c r="Q133" s="36">
        <v>11834.690000000002</v>
      </c>
      <c r="R133" s="36">
        <v>2213.35</v>
      </c>
      <c r="S133" s="36">
        <v>7432.91</v>
      </c>
      <c r="T133" s="36">
        <v>357.84999999999997</v>
      </c>
      <c r="U133" s="36">
        <v>4423.2900000000009</v>
      </c>
      <c r="V133" s="37">
        <f>SUM(BASE_ADM[[#This Row],[jan]:[dez]])</f>
        <v>62013.400000000009</v>
      </c>
      <c r="W133" s="38">
        <f>SUM(BASE_ADM[[#This Row],[jan]:[dez]])/12</f>
        <v>5167.7833333333338</v>
      </c>
      <c r="X133" s="38" t="str">
        <f>_xlfn.CONCAT(LEFT(BASE_ADM[[#This Row],[CONTA CONTABIL]],7),LEFT(BASE_ADM[[#This Row],[CENTRO DE CUSTOS]],5))</f>
        <v>430009923200</v>
      </c>
      <c r="Y133" s="36" cm="1">
        <f t="array" ref="Y13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4" spans="1:25" hidden="1">
      <c r="A134" s="6"/>
      <c r="B134" s="5" t="s">
        <v>1</v>
      </c>
      <c r="C134" s="6" t="s">
        <v>719</v>
      </c>
      <c r="D134" s="6" t="s">
        <v>719</v>
      </c>
      <c r="E134" s="5" t="s">
        <v>7</v>
      </c>
      <c r="F134" s="6" t="s">
        <v>721</v>
      </c>
      <c r="G134" s="12" t="s">
        <v>88</v>
      </c>
      <c r="H134" s="6"/>
      <c r="I134" s="13">
        <v>2019</v>
      </c>
      <c r="J134" s="39">
        <v>6141.7500000000009</v>
      </c>
      <c r="K134" s="36">
        <v>40911.270000000055</v>
      </c>
      <c r="L134" s="36">
        <v>55825.830000000082</v>
      </c>
      <c r="M134" s="36">
        <v>58616.399999999907</v>
      </c>
      <c r="N134" s="36">
        <v>90659.349999999919</v>
      </c>
      <c r="O134" s="36">
        <v>57274.940000000031</v>
      </c>
      <c r="P134" s="36">
        <v>46242.200000000041</v>
      </c>
      <c r="Q134" s="36">
        <v>24362.079999999998</v>
      </c>
      <c r="R134" s="36">
        <v>16113.199999999999</v>
      </c>
      <c r="S134" s="36">
        <v>4841.8</v>
      </c>
      <c r="T134" s="36">
        <v>3245.5699999999997</v>
      </c>
      <c r="U134" s="36">
        <v>2818.0699999999988</v>
      </c>
      <c r="V134" s="37">
        <f>SUM(BASE_ADM[[#This Row],[jan]:[dez]])</f>
        <v>407052.46000000014</v>
      </c>
      <c r="W134" s="38">
        <f>SUM(BASE_ADM[[#This Row],[jan]:[dez]])/12</f>
        <v>33921.038333333345</v>
      </c>
      <c r="X134" s="38" t="str">
        <f>_xlfn.CONCAT(LEFT(BASE_ADM[[#This Row],[CONTA CONTABIL]],7),LEFT(BASE_ADM[[#This Row],[CENTRO DE CUSTOS]],5))</f>
        <v>430009923200</v>
      </c>
      <c r="Y134" s="36" cm="1">
        <f t="array" ref="Y13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5" spans="1:25" hidden="1">
      <c r="A135" s="6"/>
      <c r="B135" s="5" t="s">
        <v>1</v>
      </c>
      <c r="C135" s="6" t="s">
        <v>719</v>
      </c>
      <c r="D135" s="6" t="s">
        <v>719</v>
      </c>
      <c r="E135" s="5" t="s">
        <v>7</v>
      </c>
      <c r="F135" s="6" t="s">
        <v>721</v>
      </c>
      <c r="G135" s="12" t="s">
        <v>88</v>
      </c>
      <c r="H135" s="6"/>
      <c r="I135" s="13">
        <v>2020</v>
      </c>
      <c r="J135" s="39">
        <v>20087.060000000005</v>
      </c>
      <c r="K135" s="36">
        <v>7845.6299999999992</v>
      </c>
      <c r="L135" s="36">
        <v>22911.419999999984</v>
      </c>
      <c r="M135" s="36">
        <v>2755.9499999999994</v>
      </c>
      <c r="N135" s="36">
        <v>5528.130000000001</v>
      </c>
      <c r="O135" s="36">
        <v>6418.3600000000006</v>
      </c>
      <c r="P135" s="36">
        <v>262.08000000000004</v>
      </c>
      <c r="Q135" s="36">
        <v>2481.06</v>
      </c>
      <c r="R135" s="36">
        <v>205.46</v>
      </c>
      <c r="S135" s="36">
        <v>841.86</v>
      </c>
      <c r="T135" s="36">
        <v>0</v>
      </c>
      <c r="U135" s="36">
        <v>0</v>
      </c>
      <c r="V135" s="37">
        <f>SUM(BASE_ADM[[#This Row],[jan]:[dez]])</f>
        <v>69337.009999999995</v>
      </c>
      <c r="W135" s="38">
        <f>SUM(BASE_ADM[[#This Row],[jan]:[dez]])/12</f>
        <v>5778.0841666666665</v>
      </c>
      <c r="X135" s="38" t="str">
        <f>_xlfn.CONCAT(LEFT(BASE_ADM[[#This Row],[CONTA CONTABIL]],7),LEFT(BASE_ADM[[#This Row],[CENTRO DE CUSTOS]],5))</f>
        <v>430009923200</v>
      </c>
      <c r="Y135" s="36" cm="1">
        <f t="array" ref="Y13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6" spans="1:25" hidden="1">
      <c r="A136" s="6"/>
      <c r="B136" s="5" t="s">
        <v>1</v>
      </c>
      <c r="C136" s="6" t="s">
        <v>719</v>
      </c>
      <c r="D136" s="6" t="s">
        <v>719</v>
      </c>
      <c r="E136" s="5" t="s">
        <v>7</v>
      </c>
      <c r="F136" s="6" t="s">
        <v>720</v>
      </c>
      <c r="G136" s="12" t="s">
        <v>88</v>
      </c>
      <c r="H136" s="6"/>
      <c r="I136" s="13">
        <v>2020</v>
      </c>
      <c r="J136" s="39">
        <v>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26.58</v>
      </c>
      <c r="Q136" s="36">
        <v>0</v>
      </c>
      <c r="R136" s="36">
        <v>0</v>
      </c>
      <c r="S136" s="36">
        <v>0</v>
      </c>
      <c r="T136" s="36">
        <v>523.86</v>
      </c>
      <c r="U136" s="36">
        <v>646.19999999999993</v>
      </c>
      <c r="V136" s="37">
        <f>SUM(BASE_ADM[[#This Row],[jan]:[dez]])</f>
        <v>1196.6399999999999</v>
      </c>
      <c r="W136" s="38">
        <f>SUM(BASE_ADM[[#This Row],[jan]:[dez]])/12</f>
        <v>99.719999999999985</v>
      </c>
      <c r="X136" s="38" t="str">
        <f>_xlfn.CONCAT(LEFT(BASE_ADM[[#This Row],[CONTA CONTABIL]],7),LEFT(BASE_ADM[[#This Row],[CENTRO DE CUSTOS]],5))</f>
        <v>430009923210</v>
      </c>
      <c r="Y136" s="36" cm="1">
        <f t="array" ref="Y13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7" spans="1:25" hidden="1">
      <c r="A137" s="6"/>
      <c r="B137" s="5" t="s">
        <v>1</v>
      </c>
      <c r="C137" s="6" t="s">
        <v>719</v>
      </c>
      <c r="D137" s="6" t="s">
        <v>719</v>
      </c>
      <c r="E137" s="5" t="s">
        <v>7</v>
      </c>
      <c r="F137" s="6" t="s">
        <v>720</v>
      </c>
      <c r="G137" s="12" t="s">
        <v>88</v>
      </c>
      <c r="H137" s="6"/>
      <c r="I137" s="13">
        <v>2021</v>
      </c>
      <c r="J137" s="39">
        <v>0</v>
      </c>
      <c r="K137" s="36">
        <v>155.12</v>
      </c>
      <c r="L137" s="36">
        <v>3615.41</v>
      </c>
      <c r="M137" s="36">
        <v>4932.2599999999984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0</v>
      </c>
      <c r="U137" s="36">
        <v>0</v>
      </c>
      <c r="V137" s="37">
        <f>SUM(BASE_ADM[[#This Row],[jan]:[dez]])</f>
        <v>8702.7899999999972</v>
      </c>
      <c r="W137" s="38">
        <f>SUM(BASE_ADM[[#This Row],[jan]:[dez]])/12</f>
        <v>725.23249999999973</v>
      </c>
      <c r="X137" s="38" t="str">
        <f>_xlfn.CONCAT(LEFT(BASE_ADM[[#This Row],[CONTA CONTABIL]],7),LEFT(BASE_ADM[[#This Row],[CENTRO DE CUSTOS]],5))</f>
        <v>430009923210</v>
      </c>
      <c r="Y137" s="36" cm="1">
        <f t="array" ref="Y13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8" spans="1:25" hidden="1">
      <c r="A138" s="6"/>
      <c r="B138" s="5" t="s">
        <v>1</v>
      </c>
      <c r="C138" s="6" t="s">
        <v>719</v>
      </c>
      <c r="D138" s="6" t="s">
        <v>719</v>
      </c>
      <c r="E138" s="5" t="s">
        <v>7</v>
      </c>
      <c r="F138" s="6" t="s">
        <v>720</v>
      </c>
      <c r="G138" s="12" t="s">
        <v>88</v>
      </c>
      <c r="H138" s="6"/>
      <c r="I138" s="13">
        <v>2022</v>
      </c>
      <c r="J138" s="39">
        <v>0</v>
      </c>
      <c r="K138" s="36">
        <v>657.66000000000008</v>
      </c>
      <c r="L138" s="36">
        <v>0</v>
      </c>
      <c r="M138" s="36">
        <v>0</v>
      </c>
      <c r="N138" s="36">
        <v>541.20000000000005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7">
        <f>SUM(BASE_ADM[[#This Row],[jan]:[dez]])</f>
        <v>1198.8600000000001</v>
      </c>
      <c r="W138" s="38">
        <f>SUM(BASE_ADM[[#This Row],[jan]:[dez]])/12</f>
        <v>99.905000000000015</v>
      </c>
      <c r="X138" s="38" t="str">
        <f>_xlfn.CONCAT(LEFT(BASE_ADM[[#This Row],[CONTA CONTABIL]],7),LEFT(BASE_ADM[[#This Row],[CENTRO DE CUSTOS]],5))</f>
        <v>430009923210</v>
      </c>
      <c r="Y138" s="36" cm="1">
        <f t="array" ref="Y13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9" spans="1:25" hidden="1">
      <c r="A139" s="6"/>
      <c r="B139" s="5" t="s">
        <v>1</v>
      </c>
      <c r="C139" s="6" t="s">
        <v>719</v>
      </c>
      <c r="D139" s="6" t="s">
        <v>719</v>
      </c>
      <c r="E139" s="5" t="s">
        <v>7</v>
      </c>
      <c r="F139" s="6" t="s">
        <v>720</v>
      </c>
      <c r="G139" s="12" t="s">
        <v>88</v>
      </c>
      <c r="H139" s="6"/>
      <c r="I139" s="13">
        <v>2024</v>
      </c>
      <c r="J139" s="39">
        <v>0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186.03</v>
      </c>
      <c r="V139" s="37">
        <f>SUM(BASE_ADM[[#This Row],[jan]:[dez]])</f>
        <v>186.03</v>
      </c>
      <c r="W139" s="38">
        <f>SUM(BASE_ADM[[#This Row],[jan]:[dez]])/12</f>
        <v>15.5025</v>
      </c>
      <c r="X139" s="38" t="str">
        <f>_xlfn.CONCAT(LEFT(BASE_ADM[[#This Row],[CONTA CONTABIL]],7),LEFT(BASE_ADM[[#This Row],[CENTRO DE CUSTOS]],5))</f>
        <v>430009923210</v>
      </c>
      <c r="Y139" s="36" cm="1">
        <f t="array" ref="Y13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0" spans="1:25" hidden="1">
      <c r="A140" s="6"/>
      <c r="B140" s="5" t="s">
        <v>1</v>
      </c>
      <c r="C140" s="6" t="s">
        <v>719</v>
      </c>
      <c r="D140" s="6" t="s">
        <v>719</v>
      </c>
      <c r="E140" s="5" t="s">
        <v>7</v>
      </c>
      <c r="F140" s="6" t="s">
        <v>720</v>
      </c>
      <c r="G140" s="12" t="s">
        <v>114</v>
      </c>
      <c r="H140" s="6"/>
      <c r="I140" s="13">
        <v>2025</v>
      </c>
      <c r="J140" s="39">
        <v>0</v>
      </c>
      <c r="K140" s="36">
        <v>0</v>
      </c>
      <c r="L140" s="36">
        <v>0</v>
      </c>
      <c r="M140" s="36">
        <v>5467.5</v>
      </c>
      <c r="N140" s="36">
        <v>0</v>
      </c>
      <c r="O140" s="36">
        <v>3967.5</v>
      </c>
      <c r="P140" s="36">
        <v>0</v>
      </c>
      <c r="Q140" s="36">
        <v>5826.67</v>
      </c>
      <c r="R140" s="36">
        <v>13500</v>
      </c>
      <c r="S140" s="36">
        <v>13500</v>
      </c>
      <c r="T140" s="36">
        <v>13500</v>
      </c>
      <c r="U140" s="36">
        <v>13500</v>
      </c>
      <c r="V140" s="37">
        <f>SUM(BASE_ADM[[#This Row],[jan]:[dez]])</f>
        <v>69261.67</v>
      </c>
      <c r="W140" s="38">
        <f>SUM(BASE_ADM[[#This Row],[jan]:[dez]])/12</f>
        <v>5771.8058333333329</v>
      </c>
      <c r="X140" s="38" t="str">
        <f>_xlfn.CONCAT(LEFT(BASE_ADM[[#This Row],[CONTA CONTABIL]],7),LEFT(BASE_ADM[[#This Row],[CENTRO DE CUSTOS]],5))</f>
        <v>430010023210</v>
      </c>
      <c r="Y140" s="36" cm="1">
        <f t="array" ref="Y14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26738.33</v>
      </c>
    </row>
    <row r="141" spans="1:25" hidden="1">
      <c r="A141" s="6"/>
      <c r="B141" s="241" t="s">
        <v>1</v>
      </c>
      <c r="C141" s="242" t="s">
        <v>719</v>
      </c>
      <c r="D141" s="242" t="s">
        <v>719</v>
      </c>
      <c r="E141" s="241" t="s">
        <v>7</v>
      </c>
      <c r="F141" s="242" t="s">
        <v>720</v>
      </c>
      <c r="G141" s="243" t="s">
        <v>114</v>
      </c>
      <c r="H141" s="242" t="s">
        <v>725</v>
      </c>
      <c r="I141" s="244" t="s">
        <v>103</v>
      </c>
      <c r="J141" s="245">
        <v>8000</v>
      </c>
      <c r="K141" s="246">
        <v>8000</v>
      </c>
      <c r="L141" s="246">
        <v>8000</v>
      </c>
      <c r="M141" s="246">
        <v>8000</v>
      </c>
      <c r="N141" s="246">
        <v>8000</v>
      </c>
      <c r="O141" s="246">
        <v>8000</v>
      </c>
      <c r="P141" s="246">
        <v>8000</v>
      </c>
      <c r="Q141" s="246">
        <v>8000</v>
      </c>
      <c r="R141" s="246">
        <v>8000</v>
      </c>
      <c r="S141" s="246">
        <v>8000</v>
      </c>
      <c r="T141" s="246">
        <v>8000</v>
      </c>
      <c r="U141" s="246">
        <v>8000</v>
      </c>
      <c r="V141" s="247">
        <f>SUM(BASE_ADM[[#This Row],[jan]:[dez]])</f>
        <v>96000</v>
      </c>
      <c r="W141" s="247">
        <f>SUM(BASE_ADM[[#This Row],[jan]:[dez]])/12</f>
        <v>8000</v>
      </c>
      <c r="X141" s="247" t="str">
        <f>_xlfn.CONCAT(LEFT(BASE_ADM[[#This Row],[CONTA CONTABIL]],7),LEFT(BASE_ADM[[#This Row],[CENTRO DE CUSTOS]],5))</f>
        <v>430010023210</v>
      </c>
      <c r="Y141" s="246" cm="1">
        <f t="array" ref="Y14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26738.33</v>
      </c>
    </row>
    <row r="142" spans="1:25" hidden="1">
      <c r="A142" s="6"/>
      <c r="B142" s="5" t="s">
        <v>1</v>
      </c>
      <c r="C142" s="6" t="s">
        <v>719</v>
      </c>
      <c r="D142" s="6" t="s">
        <v>719</v>
      </c>
      <c r="E142" s="5" t="s">
        <v>7</v>
      </c>
      <c r="F142" s="6" t="s">
        <v>721</v>
      </c>
      <c r="G142" s="12" t="s">
        <v>89</v>
      </c>
      <c r="H142" s="6"/>
      <c r="I142" s="13">
        <v>2018</v>
      </c>
      <c r="J142" s="39">
        <v>2196.15</v>
      </c>
      <c r="K142" s="36">
        <v>1391.25</v>
      </c>
      <c r="L142" s="36">
        <v>953.75</v>
      </c>
      <c r="M142" s="36">
        <v>500</v>
      </c>
      <c r="N142" s="36">
        <v>500</v>
      </c>
      <c r="O142" s="36">
        <v>0</v>
      </c>
      <c r="P142" s="36">
        <v>0</v>
      </c>
      <c r="Q142" s="36">
        <v>1300</v>
      </c>
      <c r="R142" s="36">
        <v>0</v>
      </c>
      <c r="S142" s="36">
        <v>0</v>
      </c>
      <c r="T142" s="36">
        <v>0</v>
      </c>
      <c r="U142" s="36">
        <v>0</v>
      </c>
      <c r="V142" s="37">
        <f>SUM(BASE_ADM[[#This Row],[jan]:[dez]])</f>
        <v>6841.15</v>
      </c>
      <c r="W142" s="38">
        <f>SUM(BASE_ADM[[#This Row],[jan]:[dez]])/12</f>
        <v>570.0958333333333</v>
      </c>
      <c r="X142" s="38" t="str">
        <f>_xlfn.CONCAT(LEFT(BASE_ADM[[#This Row],[CONTA CONTABIL]],7),LEFT(BASE_ADM[[#This Row],[CENTRO DE CUSTOS]],5))</f>
        <v>430010223200</v>
      </c>
      <c r="Y142" s="36" cm="1">
        <f t="array" ref="Y14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3" spans="1:25" hidden="1">
      <c r="A143" s="6"/>
      <c r="B143" s="5" t="s">
        <v>1</v>
      </c>
      <c r="C143" s="6" t="s">
        <v>719</v>
      </c>
      <c r="D143" s="6" t="s">
        <v>719</v>
      </c>
      <c r="E143" s="5" t="s">
        <v>7</v>
      </c>
      <c r="F143" s="6" t="s">
        <v>721</v>
      </c>
      <c r="G143" s="12" t="s">
        <v>89</v>
      </c>
      <c r="H143" s="6"/>
      <c r="I143" s="13">
        <v>2019</v>
      </c>
      <c r="J143" s="39">
        <v>0</v>
      </c>
      <c r="K143" s="36">
        <v>0</v>
      </c>
      <c r="L143" s="36">
        <v>0</v>
      </c>
      <c r="M143" s="36">
        <v>121.64</v>
      </c>
      <c r="N143" s="36">
        <v>0</v>
      </c>
      <c r="O143" s="36">
        <v>0</v>
      </c>
      <c r="P143" s="36">
        <v>0</v>
      </c>
      <c r="Q143" s="36">
        <v>1131.68</v>
      </c>
      <c r="R143" s="36">
        <v>0</v>
      </c>
      <c r="S143" s="36">
        <v>150</v>
      </c>
      <c r="T143" s="36">
        <v>13373.219999999998</v>
      </c>
      <c r="U143" s="36">
        <v>697.88</v>
      </c>
      <c r="V143" s="37">
        <f>SUM(BASE_ADM[[#This Row],[jan]:[dez]])</f>
        <v>15474.419999999996</v>
      </c>
      <c r="W143" s="38">
        <f>SUM(BASE_ADM[[#This Row],[jan]:[dez]])/12</f>
        <v>1289.5349999999996</v>
      </c>
      <c r="X143" s="38" t="str">
        <f>_xlfn.CONCAT(LEFT(BASE_ADM[[#This Row],[CONTA CONTABIL]],7),LEFT(BASE_ADM[[#This Row],[CENTRO DE CUSTOS]],5))</f>
        <v>430010223200</v>
      </c>
      <c r="Y143" s="36" cm="1">
        <f t="array" ref="Y14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4" spans="1:25" hidden="1">
      <c r="A144" s="6"/>
      <c r="B144" s="5" t="s">
        <v>1</v>
      </c>
      <c r="C144" s="6" t="s">
        <v>719</v>
      </c>
      <c r="D144" s="6" t="s">
        <v>719</v>
      </c>
      <c r="E144" s="5" t="s">
        <v>7</v>
      </c>
      <c r="F144" s="6" t="s">
        <v>721</v>
      </c>
      <c r="G144" s="12" t="s">
        <v>89</v>
      </c>
      <c r="H144" s="6"/>
      <c r="I144" s="13">
        <v>2020</v>
      </c>
      <c r="J144" s="39">
        <v>0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14838.259999999997</v>
      </c>
      <c r="Q144" s="36">
        <v>13863.960000000005</v>
      </c>
      <c r="R144" s="36">
        <v>0</v>
      </c>
      <c r="S144" s="36">
        <v>0</v>
      </c>
      <c r="T144" s="36">
        <v>0</v>
      </c>
      <c r="U144" s="36">
        <v>0</v>
      </c>
      <c r="V144" s="37">
        <f>SUM(BASE_ADM[[#This Row],[jan]:[dez]])</f>
        <v>28702.22</v>
      </c>
      <c r="W144" s="38">
        <f>SUM(BASE_ADM[[#This Row],[jan]:[dez]])/12</f>
        <v>2391.8516666666669</v>
      </c>
      <c r="X144" s="38" t="str">
        <f>_xlfn.CONCAT(LEFT(BASE_ADM[[#This Row],[CONTA CONTABIL]],7),LEFT(BASE_ADM[[#This Row],[CENTRO DE CUSTOS]],5))</f>
        <v>430010223200</v>
      </c>
      <c r="Y144" s="36" cm="1">
        <f t="array" ref="Y14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5" spans="1:25" hidden="1">
      <c r="A145" s="6"/>
      <c r="B145" s="5" t="s">
        <v>1</v>
      </c>
      <c r="C145" s="6" t="s">
        <v>719</v>
      </c>
      <c r="D145" s="6" t="s">
        <v>719</v>
      </c>
      <c r="E145" s="5" t="s">
        <v>7</v>
      </c>
      <c r="F145" s="6" t="s">
        <v>720</v>
      </c>
      <c r="G145" s="12" t="s">
        <v>89</v>
      </c>
      <c r="H145" s="6"/>
      <c r="I145" s="13">
        <v>2019</v>
      </c>
      <c r="J145" s="39">
        <v>0</v>
      </c>
      <c r="K145" s="36">
        <v>0</v>
      </c>
      <c r="L145" s="36">
        <v>400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7">
        <f>SUM(BASE_ADM[[#This Row],[jan]:[dez]])</f>
        <v>400</v>
      </c>
      <c r="W145" s="38">
        <f>SUM(BASE_ADM[[#This Row],[jan]:[dez]])/12</f>
        <v>33.333333333333336</v>
      </c>
      <c r="X145" s="38" t="str">
        <f>_xlfn.CONCAT(LEFT(BASE_ADM[[#This Row],[CONTA CONTABIL]],7),LEFT(BASE_ADM[[#This Row],[CENTRO DE CUSTOS]],5))</f>
        <v>430010223210</v>
      </c>
      <c r="Y145" s="36" cm="1">
        <f t="array" ref="Y14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6" spans="1:25" hidden="1">
      <c r="A146" s="6"/>
      <c r="B146" s="5" t="s">
        <v>1</v>
      </c>
      <c r="C146" s="6" t="s">
        <v>719</v>
      </c>
      <c r="D146" s="6" t="s">
        <v>719</v>
      </c>
      <c r="E146" s="5" t="s">
        <v>7</v>
      </c>
      <c r="F146" s="6" t="s">
        <v>720</v>
      </c>
      <c r="G146" s="12" t="s">
        <v>724</v>
      </c>
      <c r="H146" s="6"/>
      <c r="I146" s="13">
        <v>2021</v>
      </c>
      <c r="J146" s="39">
        <v>0</v>
      </c>
      <c r="K146" s="36">
        <v>-6120</v>
      </c>
      <c r="L146" s="36">
        <v>-4434</v>
      </c>
      <c r="M146" s="36">
        <v>0</v>
      </c>
      <c r="N146" s="36">
        <v>-1900.8</v>
      </c>
      <c r="O146" s="36">
        <v>0</v>
      </c>
      <c r="P146" s="36">
        <v>0</v>
      </c>
      <c r="Q146" s="36">
        <v>0</v>
      </c>
      <c r="R146" s="36">
        <v>-1974</v>
      </c>
      <c r="S146" s="36">
        <v>-235</v>
      </c>
      <c r="T146" s="36">
        <v>-3948</v>
      </c>
      <c r="U146" s="36">
        <v>0</v>
      </c>
      <c r="V146" s="37">
        <f>SUM(BASE_ADM[[#This Row],[jan]:[dez]])</f>
        <v>-18611.8</v>
      </c>
      <c r="W146" s="38">
        <f>SUM(BASE_ADM[[#This Row],[jan]:[dez]])/12</f>
        <v>-1550.9833333333333</v>
      </c>
      <c r="X146" s="38" t="str">
        <f>_xlfn.CONCAT(LEFT(BASE_ADM[[#This Row],[CONTA CONTABIL]],7),LEFT(BASE_ADM[[#This Row],[CENTRO DE CUSTOS]],5))</f>
        <v>430013423210</v>
      </c>
      <c r="Y146" s="36" cm="1">
        <f t="array" ref="Y14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7" spans="1:25" hidden="1">
      <c r="A147" s="6"/>
      <c r="B147" s="5" t="s">
        <v>1</v>
      </c>
      <c r="C147" s="6" t="s">
        <v>719</v>
      </c>
      <c r="D147" s="6" t="s">
        <v>719</v>
      </c>
      <c r="E147" s="5" t="s">
        <v>7</v>
      </c>
      <c r="F147" s="6" t="s">
        <v>720</v>
      </c>
      <c r="G147" s="12" t="s">
        <v>724</v>
      </c>
      <c r="H147" s="6"/>
      <c r="I147" s="13">
        <v>2022</v>
      </c>
      <c r="J147" s="39">
        <v>-7896</v>
      </c>
      <c r="K147" s="36">
        <v>-1974</v>
      </c>
      <c r="L147" s="36">
        <v>0</v>
      </c>
      <c r="M147" s="36">
        <v>-1974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7">
        <f>SUM(BASE_ADM[[#This Row],[jan]:[dez]])</f>
        <v>-11844</v>
      </c>
      <c r="W147" s="38">
        <f>SUM(BASE_ADM[[#This Row],[jan]:[dez]])/12</f>
        <v>-987</v>
      </c>
      <c r="X147" s="38" t="str">
        <f>_xlfn.CONCAT(LEFT(BASE_ADM[[#This Row],[CONTA CONTABIL]],7),LEFT(BASE_ADM[[#This Row],[CENTRO DE CUSTOS]],5))</f>
        <v>430013423210</v>
      </c>
      <c r="Y147" s="36" cm="1">
        <f t="array" ref="Y14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8" spans="1:25" hidden="1">
      <c r="A148" s="14"/>
      <c r="B148" s="15" t="s">
        <v>1</v>
      </c>
      <c r="C148" s="14" t="s">
        <v>719</v>
      </c>
      <c r="D148" s="14" t="s">
        <v>719</v>
      </c>
      <c r="E148" s="15" t="s">
        <v>7</v>
      </c>
      <c r="F148" s="14" t="s">
        <v>720</v>
      </c>
      <c r="G148" s="16" t="s">
        <v>724</v>
      </c>
      <c r="H148" s="14"/>
      <c r="I148" s="19">
        <v>2023</v>
      </c>
      <c r="J148" s="40">
        <v>0</v>
      </c>
      <c r="K148" s="41">
        <v>0</v>
      </c>
      <c r="L148" s="41">
        <v>0</v>
      </c>
      <c r="M148" s="41">
        <v>0</v>
      </c>
      <c r="N148" s="41">
        <v>0</v>
      </c>
      <c r="O148" s="41">
        <v>5922</v>
      </c>
      <c r="P148" s="41">
        <v>0</v>
      </c>
      <c r="Q148" s="41">
        <v>6157</v>
      </c>
      <c r="R148" s="41">
        <v>0</v>
      </c>
      <c r="S148" s="41">
        <v>0</v>
      </c>
      <c r="T148" s="41">
        <v>0</v>
      </c>
      <c r="U148" s="41">
        <v>0</v>
      </c>
      <c r="V148" s="42">
        <f>SUM(BASE_ADM[[#This Row],[jan]:[dez]])</f>
        <v>12079</v>
      </c>
      <c r="W148" s="43">
        <f>SUM(BASE_ADM[[#This Row],[jan]:[dez]])/12</f>
        <v>1006.5833333333334</v>
      </c>
      <c r="X148" s="43" t="str">
        <f>_xlfn.CONCAT(LEFT(BASE_ADM[[#This Row],[CONTA CONTABIL]],7),LEFT(BASE_ADM[[#This Row],[CENTRO DE CUSTOS]],5))</f>
        <v>430013423210</v>
      </c>
      <c r="Y148" s="36" cm="1">
        <f t="array" ref="Y14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9" spans="1:25" hidden="1">
      <c r="A149" s="6"/>
      <c r="B149" s="5" t="s">
        <v>1</v>
      </c>
      <c r="C149" s="6" t="s">
        <v>719</v>
      </c>
      <c r="D149" s="6" t="s">
        <v>719</v>
      </c>
      <c r="E149" s="5" t="s">
        <v>4</v>
      </c>
      <c r="F149" s="6" t="s">
        <v>720</v>
      </c>
      <c r="G149" s="12" t="s">
        <v>6</v>
      </c>
      <c r="H149" s="6"/>
      <c r="I149" s="13">
        <v>2018</v>
      </c>
      <c r="J149" s="39">
        <v>79527.399999999994</v>
      </c>
      <c r="K149" s="36">
        <v>87391.50999999998</v>
      </c>
      <c r="L149" s="36">
        <v>50329.049999999981</v>
      </c>
      <c r="M149" s="36">
        <v>55339.630000000005</v>
      </c>
      <c r="N149" s="36">
        <v>63368.079999999994</v>
      </c>
      <c r="O149" s="36">
        <v>61294.5</v>
      </c>
      <c r="P149" s="36">
        <v>60779.049999999988</v>
      </c>
      <c r="Q149" s="36">
        <v>68284.109999999986</v>
      </c>
      <c r="R149" s="36">
        <v>47570.64</v>
      </c>
      <c r="S149" s="36">
        <v>23978.03</v>
      </c>
      <c r="T149" s="36">
        <v>72251.579999999987</v>
      </c>
      <c r="U149" s="36">
        <v>39487.01</v>
      </c>
      <c r="V149" s="37">
        <f>SUM(BASE_ADM[[#This Row],[jan]:[dez]])</f>
        <v>709600.59</v>
      </c>
      <c r="W149" s="38">
        <f>SUM(BASE_ADM[[#This Row],[jan]:[dez]])/12</f>
        <v>59133.3825</v>
      </c>
      <c r="X149" s="38" t="str">
        <f>_xlfn.CONCAT(LEFT(BASE_ADM[[#This Row],[CONTA CONTABIL]],7),LEFT(BASE_ADM[[#This Row],[CENTRO DE CUSTOS]],5))</f>
        <v>410000223210</v>
      </c>
      <c r="Y149" s="36" cm="1">
        <f t="array" ref="Y14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0" spans="1:25" hidden="1">
      <c r="A150" s="6"/>
      <c r="B150" s="5" t="s">
        <v>1</v>
      </c>
      <c r="C150" s="6" t="s">
        <v>719</v>
      </c>
      <c r="D150" s="6" t="s">
        <v>719</v>
      </c>
      <c r="E150" s="5" t="s">
        <v>4</v>
      </c>
      <c r="F150" s="6" t="s">
        <v>720</v>
      </c>
      <c r="G150" s="12" t="s">
        <v>6</v>
      </c>
      <c r="H150" s="6"/>
      <c r="I150" s="13">
        <v>2019</v>
      </c>
      <c r="J150" s="39">
        <v>30923.64</v>
      </c>
      <c r="K150" s="36">
        <v>55909.380000000005</v>
      </c>
      <c r="L150" s="36">
        <v>54486.77</v>
      </c>
      <c r="M150" s="36">
        <v>41156.609999999993</v>
      </c>
      <c r="N150" s="36">
        <v>29479.71</v>
      </c>
      <c r="O150" s="36">
        <v>48888.89</v>
      </c>
      <c r="P150" s="36">
        <v>80503.28</v>
      </c>
      <c r="Q150" s="36">
        <v>40237.539999999994</v>
      </c>
      <c r="R150" s="36">
        <v>32503.590000000004</v>
      </c>
      <c r="S150" s="36">
        <v>64349.209999999985</v>
      </c>
      <c r="T150" s="36">
        <v>44402.26</v>
      </c>
      <c r="U150" s="36">
        <v>36436.97</v>
      </c>
      <c r="V150" s="37">
        <f>SUM(BASE_ADM[[#This Row],[jan]:[dez]])</f>
        <v>559277.85</v>
      </c>
      <c r="W150" s="38">
        <f>SUM(BASE_ADM[[#This Row],[jan]:[dez]])/12</f>
        <v>46606.487499999996</v>
      </c>
      <c r="X150" s="38" t="str">
        <f>_xlfn.CONCAT(LEFT(BASE_ADM[[#This Row],[CONTA CONTABIL]],7),LEFT(BASE_ADM[[#This Row],[CENTRO DE CUSTOS]],5))</f>
        <v>410000223210</v>
      </c>
      <c r="Y150" s="36" cm="1">
        <f t="array" ref="Y15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1" spans="1:25" hidden="1">
      <c r="A151" s="6"/>
      <c r="B151" s="5" t="s">
        <v>1</v>
      </c>
      <c r="C151" s="6" t="s">
        <v>719</v>
      </c>
      <c r="D151" s="6" t="s">
        <v>719</v>
      </c>
      <c r="E151" s="5" t="s">
        <v>4</v>
      </c>
      <c r="F151" s="6" t="s">
        <v>720</v>
      </c>
      <c r="G151" s="12" t="s">
        <v>6</v>
      </c>
      <c r="H151" s="6"/>
      <c r="I151" s="13">
        <v>2020</v>
      </c>
      <c r="J151" s="39">
        <v>95020.65</v>
      </c>
      <c r="K151" s="36">
        <v>44026.829999999987</v>
      </c>
      <c r="L151" s="36">
        <v>42862.729999999989</v>
      </c>
      <c r="M151" s="36">
        <v>43658.96</v>
      </c>
      <c r="N151" s="36">
        <v>19705.830000000002</v>
      </c>
      <c r="O151" s="36">
        <v>30946.740000000005</v>
      </c>
      <c r="P151" s="36">
        <v>61806.59</v>
      </c>
      <c r="Q151" s="36">
        <v>62154.07</v>
      </c>
      <c r="R151" s="36">
        <v>17306.18</v>
      </c>
      <c r="S151" s="36">
        <v>88212.77</v>
      </c>
      <c r="T151" s="36">
        <v>62635.539999999994</v>
      </c>
      <c r="U151" s="36">
        <v>20290.12</v>
      </c>
      <c r="V151" s="37">
        <f>SUM(BASE_ADM[[#This Row],[jan]:[dez]])</f>
        <v>588627.01</v>
      </c>
      <c r="W151" s="38">
        <f>SUM(BASE_ADM[[#This Row],[jan]:[dez]])/12</f>
        <v>49052.250833333332</v>
      </c>
      <c r="X151" s="38" t="str">
        <f>_xlfn.CONCAT(LEFT(BASE_ADM[[#This Row],[CONTA CONTABIL]],7),LEFT(BASE_ADM[[#This Row],[CENTRO DE CUSTOS]],5))</f>
        <v>410000223210</v>
      </c>
      <c r="Y151" s="36" cm="1">
        <f t="array" ref="Y15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2" spans="1:25" hidden="1">
      <c r="A152" s="6"/>
      <c r="B152" s="5" t="s">
        <v>1</v>
      </c>
      <c r="C152" s="6" t="s">
        <v>719</v>
      </c>
      <c r="D152" s="6" t="s">
        <v>719</v>
      </c>
      <c r="E152" s="5" t="s">
        <v>4</v>
      </c>
      <c r="F152" s="6" t="s">
        <v>720</v>
      </c>
      <c r="G152" s="12" t="s">
        <v>6</v>
      </c>
      <c r="H152" s="6"/>
      <c r="I152" s="13">
        <v>2021</v>
      </c>
      <c r="J152" s="39">
        <v>129242.81</v>
      </c>
      <c r="K152" s="36">
        <v>53183.89</v>
      </c>
      <c r="L152" s="36">
        <v>38926.969999999994</v>
      </c>
      <c r="M152" s="36">
        <v>53609.56</v>
      </c>
      <c r="N152" s="36">
        <v>131629.32</v>
      </c>
      <c r="O152" s="36">
        <v>4207.8399999999992</v>
      </c>
      <c r="P152" s="36">
        <v>92557.01999999999</v>
      </c>
      <c r="Q152" s="36">
        <v>191596.46000000002</v>
      </c>
      <c r="R152" s="36">
        <v>207457.40000000002</v>
      </c>
      <c r="S152" s="36">
        <v>305708.43000000023</v>
      </c>
      <c r="T152" s="36">
        <v>251712.43000000002</v>
      </c>
      <c r="U152" s="36">
        <v>201606.56000000003</v>
      </c>
      <c r="V152" s="37">
        <f>SUM(BASE_ADM[[#This Row],[jan]:[dez]])</f>
        <v>1661438.6900000004</v>
      </c>
      <c r="W152" s="38">
        <f>SUM(BASE_ADM[[#This Row],[jan]:[dez]])/12</f>
        <v>138453.22416666671</v>
      </c>
      <c r="X152" s="38" t="str">
        <f>_xlfn.CONCAT(LEFT(BASE_ADM[[#This Row],[CONTA CONTABIL]],7),LEFT(BASE_ADM[[#This Row],[CENTRO DE CUSTOS]],5))</f>
        <v>410000223210</v>
      </c>
      <c r="Y152" s="36" cm="1">
        <f t="array" ref="Y15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3" spans="1:25" hidden="1">
      <c r="A153" s="6"/>
      <c r="B153" s="5" t="s">
        <v>1</v>
      </c>
      <c r="C153" s="6" t="s">
        <v>719</v>
      </c>
      <c r="D153" s="6" t="s">
        <v>719</v>
      </c>
      <c r="E153" s="5" t="s">
        <v>4</v>
      </c>
      <c r="F153" s="6" t="s">
        <v>720</v>
      </c>
      <c r="G153" s="12" t="s">
        <v>6</v>
      </c>
      <c r="H153" s="6"/>
      <c r="I153" s="13">
        <v>2022</v>
      </c>
      <c r="J153" s="39">
        <v>88708.48000000001</v>
      </c>
      <c r="K153" s="36">
        <v>89132.84</v>
      </c>
      <c r="L153" s="36">
        <v>115882.61</v>
      </c>
      <c r="M153" s="36">
        <v>206750.52999999997</v>
      </c>
      <c r="N153" s="36">
        <v>128667.54000000001</v>
      </c>
      <c r="O153" s="36">
        <v>156783.47</v>
      </c>
      <c r="P153" s="36">
        <v>97035.199999999997</v>
      </c>
      <c r="Q153" s="36">
        <v>141823</v>
      </c>
      <c r="R153" s="36">
        <v>176881.20999999996</v>
      </c>
      <c r="S153" s="36">
        <v>64948.889999999992</v>
      </c>
      <c r="T153" s="36">
        <v>141063.36000000002</v>
      </c>
      <c r="U153" s="36">
        <v>103661.54000000001</v>
      </c>
      <c r="V153" s="37">
        <f>SUM(BASE_ADM[[#This Row],[jan]:[dez]])</f>
        <v>1511338.67</v>
      </c>
      <c r="W153" s="38">
        <f>SUM(BASE_ADM[[#This Row],[jan]:[dez]])/12</f>
        <v>125944.88916666666</v>
      </c>
      <c r="X153" s="38" t="str">
        <f>_xlfn.CONCAT(LEFT(BASE_ADM[[#This Row],[CONTA CONTABIL]],7),LEFT(BASE_ADM[[#This Row],[CENTRO DE CUSTOS]],5))</f>
        <v>410000223210</v>
      </c>
      <c r="Y153" s="36" cm="1">
        <f t="array" ref="Y15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4" spans="1:25" hidden="1">
      <c r="A154" s="6"/>
      <c r="B154" s="5" t="s">
        <v>1</v>
      </c>
      <c r="C154" s="6" t="s">
        <v>719</v>
      </c>
      <c r="D154" s="6" t="s">
        <v>719</v>
      </c>
      <c r="E154" s="5" t="s">
        <v>4</v>
      </c>
      <c r="F154" s="6" t="s">
        <v>720</v>
      </c>
      <c r="G154" s="12" t="s">
        <v>6</v>
      </c>
      <c r="H154" s="6"/>
      <c r="I154" s="13">
        <v>2023</v>
      </c>
      <c r="J154" s="39">
        <v>206698.89000000004</v>
      </c>
      <c r="K154" s="36">
        <v>113372</v>
      </c>
      <c r="L154" s="36">
        <v>118907.06</v>
      </c>
      <c r="M154" s="36">
        <v>91323.25</v>
      </c>
      <c r="N154" s="36">
        <v>62787.03</v>
      </c>
      <c r="O154" s="36">
        <v>199447.69999999998</v>
      </c>
      <c r="P154" s="36">
        <v>185207.89</v>
      </c>
      <c r="Q154" s="36">
        <v>128038.96000000004</v>
      </c>
      <c r="R154" s="36">
        <v>106603.53</v>
      </c>
      <c r="S154" s="36">
        <v>130366.85</v>
      </c>
      <c r="T154" s="36">
        <v>164116.54</v>
      </c>
      <c r="U154" s="36">
        <v>163800.56999999995</v>
      </c>
      <c r="V154" s="37">
        <f>SUM(BASE_ADM[[#This Row],[jan]:[dez]])</f>
        <v>1670670.27</v>
      </c>
      <c r="W154" s="38">
        <f>SUM(BASE_ADM[[#This Row],[jan]:[dez]])/12</f>
        <v>139222.52249999999</v>
      </c>
      <c r="X154" s="38" t="str">
        <f>_xlfn.CONCAT(LEFT(BASE_ADM[[#This Row],[CONTA CONTABIL]],7),LEFT(BASE_ADM[[#This Row],[CENTRO DE CUSTOS]],5))</f>
        <v>410000223210</v>
      </c>
      <c r="Y154" s="36" cm="1">
        <f t="array" ref="Y15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5" spans="1:25" hidden="1">
      <c r="A155" s="6"/>
      <c r="B155" s="5" t="s">
        <v>1</v>
      </c>
      <c r="C155" s="6" t="s">
        <v>719</v>
      </c>
      <c r="D155" s="6" t="s">
        <v>719</v>
      </c>
      <c r="E155" s="5" t="s">
        <v>4</v>
      </c>
      <c r="F155" s="6" t="s">
        <v>720</v>
      </c>
      <c r="G155" s="12" t="s">
        <v>6</v>
      </c>
      <c r="H155" s="6"/>
      <c r="I155" s="13">
        <v>2024</v>
      </c>
      <c r="J155" s="39">
        <v>146132.84000000008</v>
      </c>
      <c r="K155" s="36">
        <v>197495.89000000004</v>
      </c>
      <c r="L155" s="36">
        <v>146266.14000000001</v>
      </c>
      <c r="M155" s="36">
        <v>87593.209999999977</v>
      </c>
      <c r="N155" s="36">
        <v>241947.77</v>
      </c>
      <c r="O155" s="36">
        <v>77384.340000000011</v>
      </c>
      <c r="P155" s="36">
        <v>134034.10000000006</v>
      </c>
      <c r="Q155" s="36">
        <v>219286.02</v>
      </c>
      <c r="R155" s="36">
        <v>101714.04</v>
      </c>
      <c r="S155" s="36">
        <v>189383</v>
      </c>
      <c r="T155" s="36">
        <v>154909.55000000002</v>
      </c>
      <c r="U155" s="36">
        <v>141661.26</v>
      </c>
      <c r="V155" s="37">
        <f>SUM(BASE_ADM[[#This Row],[jan]:[dez]])</f>
        <v>1837808.1600000001</v>
      </c>
      <c r="W155" s="38">
        <f>SUM(BASE_ADM[[#This Row],[jan]:[dez]])/12</f>
        <v>153150.68000000002</v>
      </c>
      <c r="X155" s="38" t="str">
        <f>_xlfn.CONCAT(LEFT(BASE_ADM[[#This Row],[CONTA CONTABIL]],7),LEFT(BASE_ADM[[#This Row],[CENTRO DE CUSTOS]],5))</f>
        <v>410000223210</v>
      </c>
      <c r="Y155" s="36" cm="1">
        <f t="array" ref="Y15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6" spans="1:25" hidden="1">
      <c r="A156" s="6"/>
      <c r="B156" s="5" t="s">
        <v>1</v>
      </c>
      <c r="C156" s="6" t="s">
        <v>719</v>
      </c>
      <c r="D156" s="6" t="s">
        <v>719</v>
      </c>
      <c r="E156" s="5" t="s">
        <v>4</v>
      </c>
      <c r="F156" s="6" t="s">
        <v>720</v>
      </c>
      <c r="G156" s="12" t="s">
        <v>6</v>
      </c>
      <c r="H156" s="6"/>
      <c r="I156" s="13">
        <v>2025</v>
      </c>
      <c r="J156" s="39">
        <v>66666.8</v>
      </c>
      <c r="K156" s="36">
        <v>204065.50999999998</v>
      </c>
      <c r="L156" s="36">
        <v>220407.73</v>
      </c>
      <c r="M156" s="36">
        <v>148897.08000000005</v>
      </c>
      <c r="N156" s="36">
        <v>102752.56999999999</v>
      </c>
      <c r="O156" s="36">
        <v>160987.71</v>
      </c>
      <c r="P156" s="36">
        <v>173852.39999999997</v>
      </c>
      <c r="Q156" s="36">
        <v>167658.79</v>
      </c>
      <c r="R156" s="36">
        <v>195609.771996</v>
      </c>
      <c r="S156" s="36">
        <v>187914.92072999995</v>
      </c>
      <c r="T156" s="36">
        <v>178020.68843399998</v>
      </c>
      <c r="U156" s="36">
        <v>164747.30612999998</v>
      </c>
      <c r="V156" s="37">
        <f>SUM(BASE_ADM[[#This Row],[jan]:[dez]])</f>
        <v>1971581.2772899999</v>
      </c>
      <c r="W156" s="38">
        <f>SUM(BASE_ADM[[#This Row],[jan]:[dez]])/12</f>
        <v>164298.43977416665</v>
      </c>
      <c r="X156" s="38" t="str">
        <f>_xlfn.CONCAT(LEFT(BASE_ADM[[#This Row],[CONTA CONTABIL]],7),LEFT(BASE_ADM[[#This Row],[CENTRO DE CUSTOS]],5))</f>
        <v>410000223210</v>
      </c>
      <c r="Y156" s="36" cm="1">
        <f t="array" ref="Y15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7" spans="1:25">
      <c r="A157" s="6"/>
      <c r="B157" s="241" t="s">
        <v>1</v>
      </c>
      <c r="C157" s="242" t="s">
        <v>719</v>
      </c>
      <c r="D157" s="242" t="s">
        <v>719</v>
      </c>
      <c r="E157" s="241" t="s">
        <v>4</v>
      </c>
      <c r="F157" s="242" t="s">
        <v>720</v>
      </c>
      <c r="G157" s="243" t="s">
        <v>6</v>
      </c>
      <c r="H157" s="242" t="s">
        <v>729</v>
      </c>
      <c r="I157" s="244" t="s">
        <v>103</v>
      </c>
      <c r="J157" s="245">
        <v>130268.77280094601</v>
      </c>
      <c r="K157" s="245">
        <v>202929.66570488043</v>
      </c>
      <c r="L157" s="245">
        <v>175150.16651171522</v>
      </c>
      <c r="M157" s="245">
        <v>177120.09814037761</v>
      </c>
      <c r="N157" s="245">
        <v>239984.16181833603</v>
      </c>
      <c r="O157" s="245">
        <v>161428.73571564481</v>
      </c>
      <c r="P157" s="245">
        <v>183477.44200439632</v>
      </c>
      <c r="Q157" s="245">
        <v>167011.5196033222</v>
      </c>
      <c r="R157" s="245">
        <v>191370.94512671119</v>
      </c>
      <c r="S157" s="245">
        <v>219661.98085656119</v>
      </c>
      <c r="T157" s="245">
        <v>195315.72734322795</v>
      </c>
      <c r="U157" s="245">
        <v>161842.32743958864</v>
      </c>
      <c r="V157" s="247">
        <f>SUM(BASE_ADM[[#This Row],[jan]:[dez]])</f>
        <v>2205561.5430657077</v>
      </c>
      <c r="W157" s="247">
        <f>SUM(BASE_ADM[[#This Row],[jan]:[dez]])/12</f>
        <v>183796.79525547565</v>
      </c>
      <c r="X157" s="247" t="str">
        <f>_xlfn.CONCAT(LEFT(BASE_ADM[[#This Row],[CONTA CONTABIL]],7),LEFT(BASE_ADM[[#This Row],[CENTRO DE CUSTOS]],5))</f>
        <v>410000223210</v>
      </c>
      <c r="Y157" s="246" cm="1">
        <f t="array" ref="Y15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8" spans="1:25" hidden="1">
      <c r="A158" s="6"/>
      <c r="B158" s="5" t="s">
        <v>1</v>
      </c>
      <c r="C158" s="6" t="s">
        <v>719</v>
      </c>
      <c r="D158" s="6" t="s">
        <v>719</v>
      </c>
      <c r="E158" s="5" t="s">
        <v>4</v>
      </c>
      <c r="F158" s="6" t="s">
        <v>720</v>
      </c>
      <c r="G158" s="12" t="s">
        <v>5</v>
      </c>
      <c r="H158" s="6"/>
      <c r="I158" s="13">
        <v>2018</v>
      </c>
      <c r="J158" s="39">
        <v>335</v>
      </c>
      <c r="K158" s="36">
        <v>0</v>
      </c>
      <c r="L158" s="36">
        <v>260.10000000000002</v>
      </c>
      <c r="M158" s="36">
        <v>120</v>
      </c>
      <c r="N158" s="36">
        <v>0</v>
      </c>
      <c r="O158" s="36">
        <v>300</v>
      </c>
      <c r="P158" s="36">
        <v>0</v>
      </c>
      <c r="Q158" s="36">
        <v>283.57</v>
      </c>
      <c r="R158" s="36">
        <v>125</v>
      </c>
      <c r="S158" s="36">
        <v>89.5</v>
      </c>
      <c r="T158" s="36">
        <v>275.10000000000002</v>
      </c>
      <c r="U158" s="36">
        <v>2035.4999999999998</v>
      </c>
      <c r="V158" s="37">
        <f>SUM(BASE_ADM[[#This Row],[jan]:[dez]])</f>
        <v>3823.7699999999995</v>
      </c>
      <c r="W158" s="38">
        <f>SUM(BASE_ADM[[#This Row],[jan]:[dez]])/12</f>
        <v>318.64749999999998</v>
      </c>
      <c r="X158" s="38" t="str">
        <f>_xlfn.CONCAT(LEFT(BASE_ADM[[#This Row],[CONTA CONTABIL]],7),LEFT(BASE_ADM[[#This Row],[CENTRO DE CUSTOS]],5))</f>
        <v>410000323210</v>
      </c>
      <c r="Y158" s="36" cm="1">
        <f t="array" ref="Y15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59" spans="1:25" hidden="1">
      <c r="A159" s="6"/>
      <c r="B159" s="5" t="s">
        <v>1</v>
      </c>
      <c r="C159" s="6" t="s">
        <v>719</v>
      </c>
      <c r="D159" s="6" t="s">
        <v>719</v>
      </c>
      <c r="E159" s="5" t="s">
        <v>4</v>
      </c>
      <c r="F159" s="6" t="s">
        <v>720</v>
      </c>
      <c r="G159" s="12" t="s">
        <v>5</v>
      </c>
      <c r="H159" s="6"/>
      <c r="I159" s="13">
        <v>2019</v>
      </c>
      <c r="J159" s="39">
        <v>90</v>
      </c>
      <c r="K159" s="36">
        <v>0</v>
      </c>
      <c r="L159" s="36">
        <v>672.7</v>
      </c>
      <c r="M159" s="36">
        <v>229</v>
      </c>
      <c r="N159" s="36">
        <v>108.1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380</v>
      </c>
      <c r="V159" s="37">
        <f>SUM(BASE_ADM[[#This Row],[jan]:[dez]])</f>
        <v>1479.8</v>
      </c>
      <c r="W159" s="38">
        <f>SUM(BASE_ADM[[#This Row],[jan]:[dez]])/12</f>
        <v>123.31666666666666</v>
      </c>
      <c r="X159" s="38" t="str">
        <f>_xlfn.CONCAT(LEFT(BASE_ADM[[#This Row],[CONTA CONTABIL]],7),LEFT(BASE_ADM[[#This Row],[CENTRO DE CUSTOS]],5))</f>
        <v>410000323210</v>
      </c>
      <c r="Y159" s="36" cm="1">
        <f t="array" ref="Y15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0" spans="1:25" hidden="1">
      <c r="A160" s="6"/>
      <c r="B160" s="5" t="s">
        <v>1</v>
      </c>
      <c r="C160" s="6" t="s">
        <v>719</v>
      </c>
      <c r="D160" s="6" t="s">
        <v>719</v>
      </c>
      <c r="E160" s="5" t="s">
        <v>4</v>
      </c>
      <c r="F160" s="6" t="s">
        <v>720</v>
      </c>
      <c r="G160" s="12" t="s">
        <v>5</v>
      </c>
      <c r="H160" s="6"/>
      <c r="I160" s="13">
        <v>2020</v>
      </c>
      <c r="J160" s="39">
        <v>85.69</v>
      </c>
      <c r="K160" s="36">
        <v>0</v>
      </c>
      <c r="L160" s="36">
        <v>699.78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179.98</v>
      </c>
      <c r="U160" s="36">
        <v>41.769999999999996</v>
      </c>
      <c r="V160" s="37">
        <f>SUM(BASE_ADM[[#This Row],[jan]:[dez]])</f>
        <v>1007.22</v>
      </c>
      <c r="W160" s="38">
        <f>SUM(BASE_ADM[[#This Row],[jan]:[dez]])/12</f>
        <v>83.935000000000002</v>
      </c>
      <c r="X160" s="38" t="str">
        <f>_xlfn.CONCAT(LEFT(BASE_ADM[[#This Row],[CONTA CONTABIL]],7),LEFT(BASE_ADM[[#This Row],[CENTRO DE CUSTOS]],5))</f>
        <v>410000323210</v>
      </c>
      <c r="Y160" s="36" cm="1">
        <f t="array" ref="Y16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1" spans="1:25" hidden="1">
      <c r="A161" s="6"/>
      <c r="B161" s="5" t="s">
        <v>1</v>
      </c>
      <c r="C161" s="6" t="s">
        <v>719</v>
      </c>
      <c r="D161" s="6" t="s">
        <v>719</v>
      </c>
      <c r="E161" s="5" t="s">
        <v>4</v>
      </c>
      <c r="F161" s="6" t="s">
        <v>720</v>
      </c>
      <c r="G161" s="12" t="s">
        <v>5</v>
      </c>
      <c r="H161" s="6"/>
      <c r="I161" s="13">
        <v>2021</v>
      </c>
      <c r="J161" s="39">
        <v>0</v>
      </c>
      <c r="K161" s="36">
        <v>0</v>
      </c>
      <c r="L161" s="36">
        <v>0</v>
      </c>
      <c r="M161" s="36">
        <v>0</v>
      </c>
      <c r="N161" s="36">
        <v>555.66</v>
      </c>
      <c r="O161" s="36">
        <v>0</v>
      </c>
      <c r="P161" s="36">
        <v>0</v>
      </c>
      <c r="Q161" s="36">
        <v>0</v>
      </c>
      <c r="R161" s="36">
        <v>0</v>
      </c>
      <c r="S161" s="36">
        <v>1420.6499999999999</v>
      </c>
      <c r="T161" s="36">
        <v>1746.55</v>
      </c>
      <c r="U161" s="36">
        <v>29.4</v>
      </c>
      <c r="V161" s="37">
        <f>SUM(BASE_ADM[[#This Row],[jan]:[dez]])</f>
        <v>3752.2599999999998</v>
      </c>
      <c r="W161" s="38">
        <f>SUM(BASE_ADM[[#This Row],[jan]:[dez]])/12</f>
        <v>312.68833333333333</v>
      </c>
      <c r="X161" s="38" t="str">
        <f>_xlfn.CONCAT(LEFT(BASE_ADM[[#This Row],[CONTA CONTABIL]],7),LEFT(BASE_ADM[[#This Row],[CENTRO DE CUSTOS]],5))</f>
        <v>410000323210</v>
      </c>
      <c r="Y161" s="36" cm="1">
        <f t="array" ref="Y16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2" spans="1:25" hidden="1">
      <c r="A162" s="6"/>
      <c r="B162" s="5" t="s">
        <v>1</v>
      </c>
      <c r="C162" s="6" t="s">
        <v>719</v>
      </c>
      <c r="D162" s="6" t="s">
        <v>719</v>
      </c>
      <c r="E162" s="5" t="s">
        <v>4</v>
      </c>
      <c r="F162" s="6" t="s">
        <v>720</v>
      </c>
      <c r="G162" s="12" t="s">
        <v>5</v>
      </c>
      <c r="H162" s="6"/>
      <c r="I162" s="13">
        <v>2022</v>
      </c>
      <c r="J162" s="39">
        <v>0</v>
      </c>
      <c r="K162" s="36">
        <v>0</v>
      </c>
      <c r="L162" s="36">
        <v>1436</v>
      </c>
      <c r="M162" s="36">
        <v>1542.64</v>
      </c>
      <c r="N162" s="36">
        <v>0</v>
      </c>
      <c r="O162" s="36">
        <v>109.19999999999999</v>
      </c>
      <c r="P162" s="36">
        <v>524.85</v>
      </c>
      <c r="Q162" s="36">
        <v>142</v>
      </c>
      <c r="R162" s="36">
        <v>319.8</v>
      </c>
      <c r="S162" s="36">
        <v>800</v>
      </c>
      <c r="T162" s="36">
        <v>240</v>
      </c>
      <c r="U162" s="36">
        <v>0</v>
      </c>
      <c r="V162" s="37">
        <f>SUM(BASE_ADM[[#This Row],[jan]:[dez]])</f>
        <v>5114.49</v>
      </c>
      <c r="W162" s="38">
        <f>SUM(BASE_ADM[[#This Row],[jan]:[dez]])/12</f>
        <v>426.20749999999998</v>
      </c>
      <c r="X162" s="38" t="str">
        <f>_xlfn.CONCAT(LEFT(BASE_ADM[[#This Row],[CONTA CONTABIL]],7),LEFT(BASE_ADM[[#This Row],[CENTRO DE CUSTOS]],5))</f>
        <v>410000323210</v>
      </c>
      <c r="Y162" s="36" cm="1">
        <f t="array" ref="Y16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3" spans="1:25" hidden="1">
      <c r="A163" s="6"/>
      <c r="B163" s="5" t="s">
        <v>1</v>
      </c>
      <c r="C163" s="6" t="s">
        <v>719</v>
      </c>
      <c r="D163" s="6" t="s">
        <v>719</v>
      </c>
      <c r="E163" s="5" t="s">
        <v>4</v>
      </c>
      <c r="F163" s="6" t="s">
        <v>720</v>
      </c>
      <c r="G163" s="12" t="s">
        <v>5</v>
      </c>
      <c r="H163" s="6"/>
      <c r="I163" s="13">
        <v>2023</v>
      </c>
      <c r="J163" s="39">
        <v>1848</v>
      </c>
      <c r="K163" s="36">
        <v>225</v>
      </c>
      <c r="L163" s="36">
        <v>0</v>
      </c>
      <c r="M163" s="36">
        <v>0</v>
      </c>
      <c r="N163" s="36">
        <v>240</v>
      </c>
      <c r="O163" s="36">
        <v>277</v>
      </c>
      <c r="P163" s="36">
        <v>1545.57</v>
      </c>
      <c r="Q163" s="36">
        <v>225</v>
      </c>
      <c r="R163" s="36">
        <v>225</v>
      </c>
      <c r="S163" s="36">
        <v>1609</v>
      </c>
      <c r="T163" s="36">
        <v>225</v>
      </c>
      <c r="U163" s="36">
        <v>225</v>
      </c>
      <c r="V163" s="37">
        <f>SUM(BASE_ADM[[#This Row],[jan]:[dez]])</f>
        <v>6644.57</v>
      </c>
      <c r="W163" s="38">
        <f>SUM(BASE_ADM[[#This Row],[jan]:[dez]])/12</f>
        <v>553.71416666666664</v>
      </c>
      <c r="X163" s="38" t="str">
        <f>_xlfn.CONCAT(LEFT(BASE_ADM[[#This Row],[CONTA CONTABIL]],7),LEFT(BASE_ADM[[#This Row],[CENTRO DE CUSTOS]],5))</f>
        <v>410000323210</v>
      </c>
      <c r="Y163" s="36" cm="1">
        <f t="array" ref="Y16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4" spans="1:25" hidden="1">
      <c r="A164" s="6"/>
      <c r="B164" s="5" t="s">
        <v>1</v>
      </c>
      <c r="C164" s="6" t="s">
        <v>719</v>
      </c>
      <c r="D164" s="6" t="s">
        <v>719</v>
      </c>
      <c r="E164" s="5" t="s">
        <v>4</v>
      </c>
      <c r="F164" s="6" t="s">
        <v>720</v>
      </c>
      <c r="G164" s="12" t="s">
        <v>5</v>
      </c>
      <c r="H164" s="6"/>
      <c r="I164" s="13">
        <v>2024</v>
      </c>
      <c r="J164" s="39">
        <v>234</v>
      </c>
      <c r="K164" s="36">
        <v>1605</v>
      </c>
      <c r="L164" s="36">
        <v>0</v>
      </c>
      <c r="M164" s="36">
        <v>406.25</v>
      </c>
      <c r="N164" s="36">
        <v>0</v>
      </c>
      <c r="O164" s="36">
        <v>815.8</v>
      </c>
      <c r="P164" s="36">
        <v>12664.01</v>
      </c>
      <c r="Q164" s="36">
        <v>867.9</v>
      </c>
      <c r="R164" s="36">
        <v>3912.6299999999997</v>
      </c>
      <c r="S164" s="36">
        <v>1815</v>
      </c>
      <c r="T164" s="36">
        <v>3683.11</v>
      </c>
      <c r="U164" s="36">
        <v>216</v>
      </c>
      <c r="V164" s="37">
        <f>SUM(BASE_ADM[[#This Row],[jan]:[dez]])</f>
        <v>26219.700000000004</v>
      </c>
      <c r="W164" s="38">
        <f>SUM(BASE_ADM[[#This Row],[jan]:[dez]])/12</f>
        <v>2184.9750000000004</v>
      </c>
      <c r="X164" s="38" t="str">
        <f>_xlfn.CONCAT(LEFT(BASE_ADM[[#This Row],[CONTA CONTABIL]],7),LEFT(BASE_ADM[[#This Row],[CENTRO DE CUSTOS]],5))</f>
        <v>410000323210</v>
      </c>
      <c r="Y164" s="36" cm="1">
        <f t="array" ref="Y16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5" spans="1:25" hidden="1">
      <c r="A165" s="6"/>
      <c r="B165" s="5" t="s">
        <v>1</v>
      </c>
      <c r="C165" s="6" t="s">
        <v>719</v>
      </c>
      <c r="D165" s="6" t="s">
        <v>719</v>
      </c>
      <c r="E165" s="5" t="s">
        <v>4</v>
      </c>
      <c r="F165" s="6" t="s">
        <v>720</v>
      </c>
      <c r="G165" s="12" t="s">
        <v>5</v>
      </c>
      <c r="H165" s="6"/>
      <c r="I165" s="13">
        <v>2025</v>
      </c>
      <c r="J165" s="39">
        <v>3363.11</v>
      </c>
      <c r="K165" s="36">
        <v>640</v>
      </c>
      <c r="L165" s="36">
        <v>6139.34</v>
      </c>
      <c r="M165" s="36">
        <v>0</v>
      </c>
      <c r="N165" s="36">
        <v>156.37</v>
      </c>
      <c r="O165" s="36">
        <v>3389.67</v>
      </c>
      <c r="P165" s="36">
        <v>3441.79</v>
      </c>
      <c r="Q165" s="36">
        <v>3389.67</v>
      </c>
      <c r="R165" s="36">
        <v>3869</v>
      </c>
      <c r="S165" s="36">
        <v>3374</v>
      </c>
      <c r="T165" s="36">
        <v>3374</v>
      </c>
      <c r="U165" s="36">
        <v>3374</v>
      </c>
      <c r="V165" s="37">
        <f>SUM(BASE_ADM[[#This Row],[jan]:[dez]])</f>
        <v>34510.950000000004</v>
      </c>
      <c r="W165" s="38">
        <f>SUM(BASE_ADM[[#This Row],[jan]:[dez]])/12</f>
        <v>2875.9125000000004</v>
      </c>
      <c r="X165" s="38" t="str">
        <f>_xlfn.CONCAT(LEFT(BASE_ADM[[#This Row],[CONTA CONTABIL]],7),LEFT(BASE_ADM[[#This Row],[CENTRO DE CUSTOS]],5))</f>
        <v>410000323210</v>
      </c>
      <c r="Y165" s="36" cm="1">
        <f t="array" ref="Y16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6" spans="1:25" hidden="1">
      <c r="A166" s="6"/>
      <c r="B166" s="241" t="s">
        <v>1</v>
      </c>
      <c r="C166" s="242" t="s">
        <v>719</v>
      </c>
      <c r="D166" s="242" t="s">
        <v>719</v>
      </c>
      <c r="E166" s="241" t="s">
        <v>4</v>
      </c>
      <c r="F166" s="242" t="s">
        <v>720</v>
      </c>
      <c r="G166" s="243" t="s">
        <v>5</v>
      </c>
      <c r="H166" s="242" t="s">
        <v>725</v>
      </c>
      <c r="I166" s="244" t="s">
        <v>103</v>
      </c>
      <c r="J166" s="245">
        <v>3286</v>
      </c>
      <c r="K166" s="246">
        <v>3286</v>
      </c>
      <c r="L166" s="246">
        <v>3286</v>
      </c>
      <c r="M166" s="246">
        <v>3286</v>
      </c>
      <c r="N166" s="246">
        <v>3286</v>
      </c>
      <c r="O166" s="246">
        <v>3286</v>
      </c>
      <c r="P166" s="246">
        <v>3286</v>
      </c>
      <c r="Q166" s="246">
        <v>3286</v>
      </c>
      <c r="R166" s="246">
        <v>3781</v>
      </c>
      <c r="S166" s="246">
        <v>3286</v>
      </c>
      <c r="T166" s="246">
        <v>3286</v>
      </c>
      <c r="U166" s="246">
        <v>3286</v>
      </c>
      <c r="V166" s="247">
        <f>SUM(BASE_ADM[[#This Row],[jan]:[dez]])</f>
        <v>39927</v>
      </c>
      <c r="W166" s="247">
        <f>SUM(BASE_ADM[[#This Row],[jan]:[dez]])/12</f>
        <v>3327.25</v>
      </c>
      <c r="X166" s="247" t="str">
        <f>_xlfn.CONCAT(LEFT(BASE_ADM[[#This Row],[CONTA CONTABIL]],7),LEFT(BASE_ADM[[#This Row],[CENTRO DE CUSTOS]],5))</f>
        <v>410000323210</v>
      </c>
      <c r="Y166" s="246" cm="1">
        <f t="array" ref="Y16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7" spans="1:25" hidden="1">
      <c r="A167" s="6"/>
      <c r="B167" s="5" t="s">
        <v>1</v>
      </c>
      <c r="C167" s="6" t="s">
        <v>719</v>
      </c>
      <c r="D167" s="6" t="s">
        <v>719</v>
      </c>
      <c r="E167" s="5" t="s">
        <v>4</v>
      </c>
      <c r="F167" s="6" t="s">
        <v>720</v>
      </c>
      <c r="G167" s="12" t="s">
        <v>33</v>
      </c>
      <c r="H167" s="6"/>
      <c r="I167" s="13">
        <v>2018</v>
      </c>
      <c r="J167" s="39">
        <v>0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16.079999999999998</v>
      </c>
      <c r="T167" s="36">
        <v>0</v>
      </c>
      <c r="U167" s="36">
        <v>0</v>
      </c>
      <c r="V167" s="37">
        <f>SUM(BASE_ADM[[#This Row],[jan]:[dez]])</f>
        <v>16.079999999999998</v>
      </c>
      <c r="W167" s="38">
        <f>SUM(BASE_ADM[[#This Row],[jan]:[dez]])/12</f>
        <v>1.3399999999999999</v>
      </c>
      <c r="X167" s="38" t="str">
        <f>_xlfn.CONCAT(LEFT(BASE_ADM[[#This Row],[CONTA CONTABIL]],7),LEFT(BASE_ADM[[#This Row],[CENTRO DE CUSTOS]],5))</f>
        <v>430003123210</v>
      </c>
      <c r="Y167" s="36" cm="1">
        <f t="array" ref="Y16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68" spans="1:25" hidden="1">
      <c r="A168" s="6"/>
      <c r="B168" s="5" t="s">
        <v>1</v>
      </c>
      <c r="C168" s="6" t="s">
        <v>719</v>
      </c>
      <c r="D168" s="6" t="s">
        <v>719</v>
      </c>
      <c r="E168" s="5" t="s">
        <v>4</v>
      </c>
      <c r="F168" s="6" t="s">
        <v>720</v>
      </c>
      <c r="G168" s="12" t="s">
        <v>33</v>
      </c>
      <c r="H168" s="6"/>
      <c r="I168" s="13">
        <v>2020</v>
      </c>
      <c r="J168" s="39">
        <v>0</v>
      </c>
      <c r="K168" s="36">
        <v>0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513</v>
      </c>
      <c r="T168" s="36">
        <v>0</v>
      </c>
      <c r="U168" s="36">
        <v>0</v>
      </c>
      <c r="V168" s="37">
        <f>SUM(BASE_ADM[[#This Row],[jan]:[dez]])</f>
        <v>513</v>
      </c>
      <c r="W168" s="38">
        <f>SUM(BASE_ADM[[#This Row],[jan]:[dez]])/12</f>
        <v>42.75</v>
      </c>
      <c r="X168" s="38" t="str">
        <f>_xlfn.CONCAT(LEFT(BASE_ADM[[#This Row],[CONTA CONTABIL]],7),LEFT(BASE_ADM[[#This Row],[CENTRO DE CUSTOS]],5))</f>
        <v>430003123210</v>
      </c>
      <c r="Y168" s="36" cm="1">
        <f t="array" ref="Y16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69" spans="1:25" hidden="1">
      <c r="A169" s="6"/>
      <c r="B169" s="5" t="s">
        <v>1</v>
      </c>
      <c r="C169" s="6" t="s">
        <v>719</v>
      </c>
      <c r="D169" s="6" t="s">
        <v>719</v>
      </c>
      <c r="E169" s="5" t="s">
        <v>4</v>
      </c>
      <c r="F169" s="6" t="s">
        <v>720</v>
      </c>
      <c r="G169" s="12" t="s">
        <v>33</v>
      </c>
      <c r="H169" s="6"/>
      <c r="I169" s="13">
        <v>2021</v>
      </c>
      <c r="J169" s="39">
        <v>0</v>
      </c>
      <c r="K169" s="36">
        <v>1284.97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7">
        <f>SUM(BASE_ADM[[#This Row],[jan]:[dez]])</f>
        <v>1284.97</v>
      </c>
      <c r="W169" s="38">
        <f>SUM(BASE_ADM[[#This Row],[jan]:[dez]])/12</f>
        <v>107.08083333333333</v>
      </c>
      <c r="X169" s="38" t="str">
        <f>_xlfn.CONCAT(LEFT(BASE_ADM[[#This Row],[CONTA CONTABIL]],7),LEFT(BASE_ADM[[#This Row],[CENTRO DE CUSTOS]],5))</f>
        <v>430003123210</v>
      </c>
      <c r="Y169" s="36" cm="1">
        <f t="array" ref="Y16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0" spans="1:25" hidden="1">
      <c r="A170" s="6"/>
      <c r="B170" s="5" t="s">
        <v>1</v>
      </c>
      <c r="C170" s="6" t="s">
        <v>719</v>
      </c>
      <c r="D170" s="6" t="s">
        <v>719</v>
      </c>
      <c r="E170" s="5" t="s">
        <v>4</v>
      </c>
      <c r="F170" s="6" t="s">
        <v>720</v>
      </c>
      <c r="G170" s="12" t="s">
        <v>33</v>
      </c>
      <c r="H170" s="6"/>
      <c r="I170" s="13">
        <v>2022</v>
      </c>
      <c r="J170" s="39">
        <v>0</v>
      </c>
      <c r="K170" s="36">
        <v>0</v>
      </c>
      <c r="L170" s="36">
        <v>0</v>
      </c>
      <c r="M170" s="36">
        <v>0</v>
      </c>
      <c r="N170" s="36">
        <v>439.95</v>
      </c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198</v>
      </c>
      <c r="U170" s="36">
        <v>0</v>
      </c>
      <c r="V170" s="37">
        <f>SUM(BASE_ADM[[#This Row],[jan]:[dez]])</f>
        <v>637.95000000000005</v>
      </c>
      <c r="W170" s="38">
        <f>SUM(BASE_ADM[[#This Row],[jan]:[dez]])/12</f>
        <v>53.162500000000001</v>
      </c>
      <c r="X170" s="38" t="str">
        <f>_xlfn.CONCAT(LEFT(BASE_ADM[[#This Row],[CONTA CONTABIL]],7),LEFT(BASE_ADM[[#This Row],[CENTRO DE CUSTOS]],5))</f>
        <v>430003123210</v>
      </c>
      <c r="Y170" s="36" cm="1">
        <f t="array" ref="Y17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1" spans="1:25" hidden="1">
      <c r="A171" s="6"/>
      <c r="B171" s="5" t="s">
        <v>1</v>
      </c>
      <c r="C171" s="6" t="s">
        <v>719</v>
      </c>
      <c r="D171" s="6" t="s">
        <v>719</v>
      </c>
      <c r="E171" s="5" t="s">
        <v>4</v>
      </c>
      <c r="F171" s="6" t="s">
        <v>720</v>
      </c>
      <c r="G171" s="12" t="s">
        <v>33</v>
      </c>
      <c r="H171" s="6"/>
      <c r="I171" s="13">
        <v>2023</v>
      </c>
      <c r="J171" s="39">
        <v>0</v>
      </c>
      <c r="K171" s="36">
        <v>682</v>
      </c>
      <c r="L171" s="36">
        <v>75.8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626.79999999999995</v>
      </c>
      <c r="V171" s="37">
        <f>SUM(BASE_ADM[[#This Row],[jan]:[dez]])</f>
        <v>1384.6</v>
      </c>
      <c r="W171" s="38">
        <f>SUM(BASE_ADM[[#This Row],[jan]:[dez]])/12</f>
        <v>115.38333333333333</v>
      </c>
      <c r="X171" s="38" t="str">
        <f>_xlfn.CONCAT(LEFT(BASE_ADM[[#This Row],[CONTA CONTABIL]],7),LEFT(BASE_ADM[[#This Row],[CENTRO DE CUSTOS]],5))</f>
        <v>430003123210</v>
      </c>
      <c r="Y171" s="36" cm="1">
        <f t="array" ref="Y17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2" spans="1:25" hidden="1">
      <c r="A172" s="6"/>
      <c r="B172" s="5" t="s">
        <v>1</v>
      </c>
      <c r="C172" s="6" t="s">
        <v>719</v>
      </c>
      <c r="D172" s="6" t="s">
        <v>719</v>
      </c>
      <c r="E172" s="5" t="s">
        <v>4</v>
      </c>
      <c r="F172" s="6" t="s">
        <v>720</v>
      </c>
      <c r="G172" s="12" t="s">
        <v>33</v>
      </c>
      <c r="H172" s="6"/>
      <c r="I172" s="13">
        <v>2024</v>
      </c>
      <c r="J172" s="39">
        <v>0</v>
      </c>
      <c r="K172" s="36">
        <v>0</v>
      </c>
      <c r="L172" s="36">
        <v>530</v>
      </c>
      <c r="M172" s="36">
        <v>0</v>
      </c>
      <c r="N172" s="36">
        <v>0</v>
      </c>
      <c r="O172" s="36">
        <v>56</v>
      </c>
      <c r="P172" s="36">
        <v>0</v>
      </c>
      <c r="Q172" s="36">
        <v>0</v>
      </c>
      <c r="R172" s="36">
        <v>0</v>
      </c>
      <c r="S172" s="36">
        <v>429</v>
      </c>
      <c r="T172" s="36">
        <v>0</v>
      </c>
      <c r="U172" s="36">
        <v>1184.2</v>
      </c>
      <c r="V172" s="37">
        <f>SUM(BASE_ADM[[#This Row],[jan]:[dez]])</f>
        <v>2199.1999999999998</v>
      </c>
      <c r="W172" s="38">
        <f>SUM(BASE_ADM[[#This Row],[jan]:[dez]])/12</f>
        <v>183.26666666666665</v>
      </c>
      <c r="X172" s="38" t="str">
        <f>_xlfn.CONCAT(LEFT(BASE_ADM[[#This Row],[CONTA CONTABIL]],7),LEFT(BASE_ADM[[#This Row],[CENTRO DE CUSTOS]],5))</f>
        <v>430003123210</v>
      </c>
      <c r="Y172" s="36" cm="1">
        <f t="array" ref="Y17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3" spans="1:25" hidden="1">
      <c r="A173" s="6"/>
      <c r="B173" s="5" t="s">
        <v>1</v>
      </c>
      <c r="C173" s="6" t="s">
        <v>719</v>
      </c>
      <c r="D173" s="6" t="s">
        <v>719</v>
      </c>
      <c r="E173" s="5" t="s">
        <v>4</v>
      </c>
      <c r="F173" s="6" t="s">
        <v>720</v>
      </c>
      <c r="G173" s="12" t="s">
        <v>33</v>
      </c>
      <c r="H173" s="6"/>
      <c r="I173" s="13">
        <v>2025</v>
      </c>
      <c r="J173" s="39">
        <v>0</v>
      </c>
      <c r="K173" s="36">
        <v>0</v>
      </c>
      <c r="L173" s="36">
        <v>0</v>
      </c>
      <c r="M173" s="36">
        <v>0</v>
      </c>
      <c r="N173" s="36">
        <v>810.84</v>
      </c>
      <c r="O173" s="36">
        <v>0</v>
      </c>
      <c r="P173" s="36">
        <v>317.39999999999998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7">
        <f>SUM(BASE_ADM[[#This Row],[jan]:[dez]])</f>
        <v>1128.24</v>
      </c>
      <c r="W173" s="38">
        <f>SUM(BASE_ADM[[#This Row],[jan]:[dez]])/12</f>
        <v>94.02</v>
      </c>
      <c r="X173" s="38" t="str">
        <f>_xlfn.CONCAT(LEFT(BASE_ADM[[#This Row],[CONTA CONTABIL]],7),LEFT(BASE_ADM[[#This Row],[CENTRO DE CUSTOS]],5))</f>
        <v>430003123210</v>
      </c>
      <c r="Y173" s="36" cm="1">
        <f t="array" ref="Y17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4" spans="1:25" hidden="1">
      <c r="A174" s="6"/>
      <c r="B174" s="241" t="s">
        <v>1</v>
      </c>
      <c r="C174" s="242" t="s">
        <v>719</v>
      </c>
      <c r="D174" s="242" t="s">
        <v>719</v>
      </c>
      <c r="E174" s="241" t="s">
        <v>4</v>
      </c>
      <c r="F174" s="242" t="s">
        <v>720</v>
      </c>
      <c r="G174" s="243" t="s">
        <v>33</v>
      </c>
      <c r="H174" s="242" t="s">
        <v>725</v>
      </c>
      <c r="I174" s="244" t="s">
        <v>103</v>
      </c>
      <c r="J174" s="245">
        <v>0</v>
      </c>
      <c r="K174" s="246">
        <v>0</v>
      </c>
      <c r="L174" s="246">
        <v>0</v>
      </c>
      <c r="M174" s="246">
        <v>0</v>
      </c>
      <c r="N174" s="246">
        <v>813</v>
      </c>
      <c r="O174" s="246">
        <v>0</v>
      </c>
      <c r="P174" s="246">
        <v>0</v>
      </c>
      <c r="Q174" s="246">
        <v>0</v>
      </c>
      <c r="R174" s="246">
        <v>0</v>
      </c>
      <c r="S174" s="246">
        <v>0</v>
      </c>
      <c r="T174" s="246">
        <v>0</v>
      </c>
      <c r="U174" s="246">
        <v>0</v>
      </c>
      <c r="V174" s="247">
        <f>SUM(BASE_ADM[[#This Row],[jan]:[dez]])</f>
        <v>813</v>
      </c>
      <c r="W174" s="247">
        <f>SUM(BASE_ADM[[#This Row],[jan]:[dez]])/12</f>
        <v>67.75</v>
      </c>
      <c r="X174" s="247" t="str">
        <f>_xlfn.CONCAT(LEFT(BASE_ADM[[#This Row],[CONTA CONTABIL]],7),LEFT(BASE_ADM[[#This Row],[CENTRO DE CUSTOS]],5))</f>
        <v>430003123210</v>
      </c>
      <c r="Y174" s="246" cm="1">
        <f t="array" ref="Y17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5" spans="1:25" hidden="1">
      <c r="A175" s="6"/>
      <c r="B175" s="5" t="s">
        <v>1</v>
      </c>
      <c r="C175" s="6" t="s">
        <v>719</v>
      </c>
      <c r="D175" s="6" t="s">
        <v>719</v>
      </c>
      <c r="E175" s="5" t="s">
        <v>4</v>
      </c>
      <c r="F175" s="6" t="s">
        <v>720</v>
      </c>
      <c r="G175" s="12" t="s">
        <v>3</v>
      </c>
      <c r="H175" s="6"/>
      <c r="I175" s="13">
        <v>2022</v>
      </c>
      <c r="J175" s="39">
        <v>0</v>
      </c>
      <c r="K175" s="36">
        <v>0</v>
      </c>
      <c r="L175" s="36">
        <v>0</v>
      </c>
      <c r="M175" s="36">
        <v>0</v>
      </c>
      <c r="N175" s="36">
        <v>0</v>
      </c>
      <c r="O175" s="36">
        <v>0</v>
      </c>
      <c r="P175" s="36">
        <v>20.54</v>
      </c>
      <c r="Q175" s="36">
        <v>0</v>
      </c>
      <c r="R175" s="36">
        <v>0</v>
      </c>
      <c r="S175" s="36">
        <v>39.879999999999995</v>
      </c>
      <c r="T175" s="36">
        <v>44.64</v>
      </c>
      <c r="U175" s="36">
        <v>0</v>
      </c>
      <c r="V175" s="37">
        <f>SUM(BASE_ADM[[#This Row],[jan]:[dez]])</f>
        <v>105.06</v>
      </c>
      <c r="W175" s="38">
        <f>SUM(BASE_ADM[[#This Row],[jan]:[dez]])/12</f>
        <v>8.7550000000000008</v>
      </c>
      <c r="X175" s="38" t="str">
        <f>_xlfn.CONCAT(LEFT(BASE_ADM[[#This Row],[CONTA CONTABIL]],7),LEFT(BASE_ADM[[#This Row],[CENTRO DE CUSTOS]],5))</f>
        <v>430004223210</v>
      </c>
      <c r="Y175" s="36" cm="1">
        <f t="array" ref="Y17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76" spans="1:25" hidden="1">
      <c r="A176" s="6"/>
      <c r="B176" s="5" t="s">
        <v>1</v>
      </c>
      <c r="C176" s="6" t="s">
        <v>719</v>
      </c>
      <c r="D176" s="6" t="s">
        <v>719</v>
      </c>
      <c r="E176" s="5" t="s">
        <v>4</v>
      </c>
      <c r="F176" s="6" t="s">
        <v>720</v>
      </c>
      <c r="G176" s="12" t="s">
        <v>3</v>
      </c>
      <c r="H176" s="6"/>
      <c r="I176" s="13">
        <v>2023</v>
      </c>
      <c r="J176" s="39">
        <v>0</v>
      </c>
      <c r="K176" s="36">
        <v>373</v>
      </c>
      <c r="L176" s="36">
        <v>0</v>
      </c>
      <c r="M176" s="36">
        <v>0</v>
      </c>
      <c r="N176" s="36">
        <v>0</v>
      </c>
      <c r="O176" s="36">
        <v>0</v>
      </c>
      <c r="P176" s="36">
        <v>34.910000000000004</v>
      </c>
      <c r="Q176" s="36">
        <v>0</v>
      </c>
      <c r="R176" s="36">
        <v>0</v>
      </c>
      <c r="S176" s="36">
        <v>2.02</v>
      </c>
      <c r="T176" s="36">
        <v>0</v>
      </c>
      <c r="U176" s="36">
        <v>0</v>
      </c>
      <c r="V176" s="37">
        <f>SUM(BASE_ADM[[#This Row],[jan]:[dez]])</f>
        <v>409.93</v>
      </c>
      <c r="W176" s="38">
        <f>SUM(BASE_ADM[[#This Row],[jan]:[dez]])/12</f>
        <v>34.160833333333336</v>
      </c>
      <c r="X176" s="38" t="str">
        <f>_xlfn.CONCAT(LEFT(BASE_ADM[[#This Row],[CONTA CONTABIL]],7),LEFT(BASE_ADM[[#This Row],[CENTRO DE CUSTOS]],5))</f>
        <v>430004223210</v>
      </c>
      <c r="Y176" s="36" cm="1">
        <f t="array" ref="Y17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77" spans="1:25" hidden="1">
      <c r="A177" s="6"/>
      <c r="B177" s="5" t="s">
        <v>1</v>
      </c>
      <c r="C177" s="6" t="s">
        <v>719</v>
      </c>
      <c r="D177" s="6" t="s">
        <v>719</v>
      </c>
      <c r="E177" s="5" t="s">
        <v>4</v>
      </c>
      <c r="F177" s="6" t="s">
        <v>720</v>
      </c>
      <c r="G177" s="12" t="s">
        <v>3</v>
      </c>
      <c r="H177" s="6"/>
      <c r="I177" s="13">
        <v>2024</v>
      </c>
      <c r="J177" s="39">
        <v>0</v>
      </c>
      <c r="K177" s="36">
        <v>0</v>
      </c>
      <c r="L177" s="36">
        <v>0</v>
      </c>
      <c r="M177" s="36">
        <v>0</v>
      </c>
      <c r="N177" s="36">
        <v>0</v>
      </c>
      <c r="O177" s="36">
        <v>0</v>
      </c>
      <c r="P177" s="36">
        <v>0</v>
      </c>
      <c r="Q177" s="36">
        <v>0</v>
      </c>
      <c r="R177" s="36">
        <v>0</v>
      </c>
      <c r="S177" s="36">
        <v>14</v>
      </c>
      <c r="T177" s="36">
        <v>0</v>
      </c>
      <c r="U177" s="36">
        <v>0</v>
      </c>
      <c r="V177" s="37">
        <f>SUM(BASE_ADM[[#This Row],[jan]:[dez]])</f>
        <v>14</v>
      </c>
      <c r="W177" s="38">
        <f>SUM(BASE_ADM[[#This Row],[jan]:[dez]])/12</f>
        <v>1.1666666666666667</v>
      </c>
      <c r="X177" s="38" t="str">
        <f>_xlfn.CONCAT(LEFT(BASE_ADM[[#This Row],[CONTA CONTABIL]],7),LEFT(BASE_ADM[[#This Row],[CENTRO DE CUSTOS]],5))</f>
        <v>430004223210</v>
      </c>
      <c r="Y177" s="36" cm="1">
        <f t="array" ref="Y17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78" spans="1:25" hidden="1">
      <c r="A178" s="6"/>
      <c r="B178" s="5" t="s">
        <v>1</v>
      </c>
      <c r="C178" s="6" t="s">
        <v>719</v>
      </c>
      <c r="D178" s="6" t="s">
        <v>719</v>
      </c>
      <c r="E178" s="5" t="s">
        <v>4</v>
      </c>
      <c r="F178" s="6" t="s">
        <v>721</v>
      </c>
      <c r="G178" s="12" t="s">
        <v>90</v>
      </c>
      <c r="H178" s="6"/>
      <c r="I178" s="13">
        <v>2018</v>
      </c>
      <c r="J178" s="39">
        <v>0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510.61999999999995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7">
        <f>SUM(BASE_ADM[[#This Row],[jan]:[dez]])</f>
        <v>510.61999999999995</v>
      </c>
      <c r="W178" s="38">
        <f>SUM(BASE_ADM[[#This Row],[jan]:[dez]])/12</f>
        <v>42.551666666666662</v>
      </c>
      <c r="X178" s="38" t="str">
        <f>_xlfn.CONCAT(LEFT(BASE_ADM[[#This Row],[CONTA CONTABIL]],7),LEFT(BASE_ADM[[#This Row],[CENTRO DE CUSTOS]],5))</f>
        <v>430007023200</v>
      </c>
      <c r="Y178" s="36" cm="1">
        <f t="array" ref="Y17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79" spans="1:25" hidden="1">
      <c r="A179" s="6"/>
      <c r="B179" s="5" t="s">
        <v>1</v>
      </c>
      <c r="C179" s="6" t="s">
        <v>719</v>
      </c>
      <c r="D179" s="6" t="s">
        <v>719</v>
      </c>
      <c r="E179" s="5" t="s">
        <v>4</v>
      </c>
      <c r="F179" s="6" t="s">
        <v>720</v>
      </c>
      <c r="G179" s="12" t="s">
        <v>90</v>
      </c>
      <c r="H179" s="6"/>
      <c r="I179" s="13">
        <v>2018</v>
      </c>
      <c r="J179" s="39">
        <v>1863.0299999999993</v>
      </c>
      <c r="K179" s="36">
        <v>4813.75</v>
      </c>
      <c r="L179" s="36">
        <v>1595.66</v>
      </c>
      <c r="M179" s="36">
        <v>2151.1600000000003</v>
      </c>
      <c r="N179" s="36">
        <v>6030.7199999999993</v>
      </c>
      <c r="O179" s="36">
        <v>2119.62</v>
      </c>
      <c r="P179" s="36">
        <v>8999.8699999999972</v>
      </c>
      <c r="Q179" s="36">
        <v>0</v>
      </c>
      <c r="R179" s="36">
        <v>1743.6699999999996</v>
      </c>
      <c r="S179" s="36">
        <v>2135.7400000000007</v>
      </c>
      <c r="T179" s="36">
        <v>5668.0800000000017</v>
      </c>
      <c r="U179" s="36">
        <v>1054.53</v>
      </c>
      <c r="V179" s="37">
        <f>SUM(BASE_ADM[[#This Row],[jan]:[dez]])</f>
        <v>38175.83</v>
      </c>
      <c r="W179" s="38">
        <f>SUM(BASE_ADM[[#This Row],[jan]:[dez]])/12</f>
        <v>3181.3191666666667</v>
      </c>
      <c r="X179" s="38" t="str">
        <f>_xlfn.CONCAT(LEFT(BASE_ADM[[#This Row],[CONTA CONTABIL]],7),LEFT(BASE_ADM[[#This Row],[CENTRO DE CUSTOS]],5))</f>
        <v>430007023210</v>
      </c>
      <c r="Y179" s="36" cm="1">
        <f t="array" ref="Y17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0" spans="1:25" hidden="1">
      <c r="A180" s="6"/>
      <c r="B180" s="5" t="s">
        <v>1</v>
      </c>
      <c r="C180" s="6" t="s">
        <v>719</v>
      </c>
      <c r="D180" s="6" t="s">
        <v>719</v>
      </c>
      <c r="E180" s="5" t="s">
        <v>4</v>
      </c>
      <c r="F180" s="6" t="s">
        <v>720</v>
      </c>
      <c r="G180" s="12" t="s">
        <v>90</v>
      </c>
      <c r="H180" s="6"/>
      <c r="I180" s="13">
        <v>2019</v>
      </c>
      <c r="J180" s="39">
        <v>3139.0599999999995</v>
      </c>
      <c r="K180" s="36">
        <v>751.77</v>
      </c>
      <c r="L180" s="36">
        <v>1765.16</v>
      </c>
      <c r="M180" s="36">
        <v>858.12</v>
      </c>
      <c r="N180" s="36">
        <v>971.37999999999965</v>
      </c>
      <c r="O180" s="36">
        <v>2577.08</v>
      </c>
      <c r="P180" s="36">
        <v>3649.1399999999935</v>
      </c>
      <c r="Q180" s="36">
        <v>28169.390000000014</v>
      </c>
      <c r="R180" s="36">
        <v>3440.3800000000006</v>
      </c>
      <c r="S180" s="36">
        <v>2641.1099999999988</v>
      </c>
      <c r="T180" s="36">
        <v>3247.6000000000004</v>
      </c>
      <c r="U180" s="36">
        <v>3866.75</v>
      </c>
      <c r="V180" s="37">
        <f>SUM(BASE_ADM[[#This Row],[jan]:[dez]])</f>
        <v>55076.94</v>
      </c>
      <c r="W180" s="38">
        <f>SUM(BASE_ADM[[#This Row],[jan]:[dez]])/12</f>
        <v>4589.7449999999999</v>
      </c>
      <c r="X180" s="38" t="str">
        <f>_xlfn.CONCAT(LEFT(BASE_ADM[[#This Row],[CONTA CONTABIL]],7),LEFT(BASE_ADM[[#This Row],[CENTRO DE CUSTOS]],5))</f>
        <v>430007023210</v>
      </c>
      <c r="Y180" s="36" cm="1">
        <f t="array" ref="Y18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1" spans="1:25" hidden="1">
      <c r="A181" s="6"/>
      <c r="B181" s="5" t="s">
        <v>1</v>
      </c>
      <c r="C181" s="6" t="s">
        <v>719</v>
      </c>
      <c r="D181" s="6" t="s">
        <v>719</v>
      </c>
      <c r="E181" s="5" t="s">
        <v>4</v>
      </c>
      <c r="F181" s="6" t="s">
        <v>720</v>
      </c>
      <c r="G181" s="12" t="s">
        <v>90</v>
      </c>
      <c r="H181" s="6"/>
      <c r="I181" s="13">
        <v>2020</v>
      </c>
      <c r="J181" s="39">
        <v>3617.69</v>
      </c>
      <c r="K181" s="36">
        <v>3129.130000000001</v>
      </c>
      <c r="L181" s="36">
        <v>3578.0899999999988</v>
      </c>
      <c r="M181" s="36">
        <v>7884.5999999999985</v>
      </c>
      <c r="N181" s="36">
        <v>20704.360000000015</v>
      </c>
      <c r="O181" s="36">
        <v>-11772.220000000007</v>
      </c>
      <c r="P181" s="36">
        <v>2930.349999999999</v>
      </c>
      <c r="Q181" s="36">
        <v>3738.2099999999996</v>
      </c>
      <c r="R181" s="36">
        <v>4589.55</v>
      </c>
      <c r="S181" s="36">
        <v>4157.0999999999995</v>
      </c>
      <c r="T181" s="36">
        <v>12265.099999999995</v>
      </c>
      <c r="U181" s="36">
        <v>-781.95999999999992</v>
      </c>
      <c r="V181" s="37">
        <f>SUM(BASE_ADM[[#This Row],[jan]:[dez]])</f>
        <v>54039.999999999993</v>
      </c>
      <c r="W181" s="38">
        <f>SUM(BASE_ADM[[#This Row],[jan]:[dez]])/12</f>
        <v>4503.333333333333</v>
      </c>
      <c r="X181" s="38" t="str">
        <f>_xlfn.CONCAT(LEFT(BASE_ADM[[#This Row],[CONTA CONTABIL]],7),LEFT(BASE_ADM[[#This Row],[CENTRO DE CUSTOS]],5))</f>
        <v>430007023210</v>
      </c>
      <c r="Y181" s="36" cm="1">
        <f t="array" ref="Y18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2" spans="1:25" hidden="1">
      <c r="A182" s="6"/>
      <c r="B182" s="5" t="s">
        <v>1</v>
      </c>
      <c r="C182" s="6" t="s">
        <v>719</v>
      </c>
      <c r="D182" s="6" t="s">
        <v>719</v>
      </c>
      <c r="E182" s="5" t="s">
        <v>4</v>
      </c>
      <c r="F182" s="6" t="s">
        <v>720</v>
      </c>
      <c r="G182" s="12" t="s">
        <v>90</v>
      </c>
      <c r="H182" s="6"/>
      <c r="I182" s="13">
        <v>2021</v>
      </c>
      <c r="J182" s="39">
        <v>8810.1299999999992</v>
      </c>
      <c r="K182" s="36">
        <v>3169.9500000000007</v>
      </c>
      <c r="L182" s="36">
        <v>6726.6599999999944</v>
      </c>
      <c r="M182" s="36">
        <v>4822.4399999999987</v>
      </c>
      <c r="N182" s="36">
        <v>5845.6599999999962</v>
      </c>
      <c r="O182" s="36">
        <v>3618.59</v>
      </c>
      <c r="P182" s="36">
        <v>8764.8299999999945</v>
      </c>
      <c r="Q182" s="36">
        <v>6327.6700000000028</v>
      </c>
      <c r="R182" s="36">
        <v>15879.020000000006</v>
      </c>
      <c r="S182" s="36">
        <v>18036.979999999992</v>
      </c>
      <c r="T182" s="36">
        <v>16284.180000000002</v>
      </c>
      <c r="U182" s="36">
        <v>10644.51</v>
      </c>
      <c r="V182" s="37">
        <f>SUM(BASE_ADM[[#This Row],[jan]:[dez]])</f>
        <v>108930.62</v>
      </c>
      <c r="W182" s="38">
        <f>SUM(BASE_ADM[[#This Row],[jan]:[dez]])/12</f>
        <v>9077.5516666666663</v>
      </c>
      <c r="X182" s="38" t="str">
        <f>_xlfn.CONCAT(LEFT(BASE_ADM[[#This Row],[CONTA CONTABIL]],7),LEFT(BASE_ADM[[#This Row],[CENTRO DE CUSTOS]],5))</f>
        <v>430007023210</v>
      </c>
      <c r="Y182" s="36" cm="1">
        <f t="array" ref="Y18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3" spans="1:25" hidden="1">
      <c r="A183" s="6"/>
      <c r="B183" s="5" t="s">
        <v>1</v>
      </c>
      <c r="C183" s="6" t="s">
        <v>719</v>
      </c>
      <c r="D183" s="6" t="s">
        <v>719</v>
      </c>
      <c r="E183" s="5" t="s">
        <v>4</v>
      </c>
      <c r="F183" s="6" t="s">
        <v>720</v>
      </c>
      <c r="G183" s="12" t="s">
        <v>90</v>
      </c>
      <c r="H183" s="6"/>
      <c r="I183" s="13">
        <v>2022</v>
      </c>
      <c r="J183" s="39">
        <v>11431.05</v>
      </c>
      <c r="K183" s="36">
        <v>6008.12</v>
      </c>
      <c r="L183" s="36">
        <v>9613.2699999999986</v>
      </c>
      <c r="M183" s="36">
        <v>1947.4200000000005</v>
      </c>
      <c r="N183" s="36">
        <v>19817.670000000006</v>
      </c>
      <c r="O183" s="36">
        <v>15110.490000000002</v>
      </c>
      <c r="P183" s="36">
        <v>9125.4399999999987</v>
      </c>
      <c r="Q183" s="36">
        <v>4951</v>
      </c>
      <c r="R183" s="36">
        <v>12639.330000000005</v>
      </c>
      <c r="S183" s="36">
        <v>6621.05</v>
      </c>
      <c r="T183" s="36">
        <v>6988.9600000000019</v>
      </c>
      <c r="U183" s="36">
        <v>8651294.3900000025</v>
      </c>
      <c r="V183" s="37">
        <f>SUM(BASE_ADM[[#This Row],[jan]:[dez]])</f>
        <v>8755548.1900000032</v>
      </c>
      <c r="W183" s="38">
        <f>SUM(BASE_ADM[[#This Row],[jan]:[dez]])/12</f>
        <v>729629.0158333336</v>
      </c>
      <c r="X183" s="38" t="str">
        <f>_xlfn.CONCAT(LEFT(BASE_ADM[[#This Row],[CONTA CONTABIL]],7),LEFT(BASE_ADM[[#This Row],[CENTRO DE CUSTOS]],5))</f>
        <v>430007023210</v>
      </c>
      <c r="Y183" s="36" cm="1">
        <f t="array" ref="Y18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4" spans="1:25" hidden="1">
      <c r="A184" s="6"/>
      <c r="B184" s="5" t="s">
        <v>1</v>
      </c>
      <c r="C184" s="6" t="s">
        <v>719</v>
      </c>
      <c r="D184" s="6" t="s">
        <v>719</v>
      </c>
      <c r="E184" s="5" t="s">
        <v>4</v>
      </c>
      <c r="F184" s="6" t="s">
        <v>720</v>
      </c>
      <c r="G184" s="12" t="s">
        <v>90</v>
      </c>
      <c r="H184" s="6"/>
      <c r="I184" s="13">
        <v>2022</v>
      </c>
      <c r="J184" s="39">
        <v>0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-8651294.3899999987</v>
      </c>
      <c r="V184" s="37">
        <f>SUM(BASE_ADM[[#This Row],[jan]:[dez]])</f>
        <v>-8651294.3899999987</v>
      </c>
      <c r="W184" s="38">
        <f>SUM(BASE_ADM[[#This Row],[jan]:[dez]])/12</f>
        <v>-720941.1991666666</v>
      </c>
      <c r="X184" s="38" t="str">
        <f>_xlfn.CONCAT(LEFT(BASE_ADM[[#This Row],[CONTA CONTABIL]],7),LEFT(BASE_ADM[[#This Row],[CENTRO DE CUSTOS]],5))</f>
        <v>430007023210</v>
      </c>
      <c r="Y184" s="36" cm="1">
        <f t="array" ref="Y18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5" spans="1:25" hidden="1">
      <c r="A185" s="6"/>
      <c r="B185" s="5" t="s">
        <v>1</v>
      </c>
      <c r="C185" s="6" t="s">
        <v>719</v>
      </c>
      <c r="D185" s="6" t="s">
        <v>719</v>
      </c>
      <c r="E185" s="5" t="s">
        <v>4</v>
      </c>
      <c r="F185" s="6" t="s">
        <v>720</v>
      </c>
      <c r="G185" s="12" t="s">
        <v>90</v>
      </c>
      <c r="H185" s="6"/>
      <c r="I185" s="13">
        <v>2023</v>
      </c>
      <c r="J185" s="39">
        <v>0</v>
      </c>
      <c r="K185" s="36">
        <v>0</v>
      </c>
      <c r="L185" s="36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7">
        <f>SUM(BASE_ADM[[#This Row],[jan]:[dez]])</f>
        <v>0</v>
      </c>
      <c r="W185" s="38">
        <f>SUM(BASE_ADM[[#This Row],[jan]:[dez]])/12</f>
        <v>0</v>
      </c>
      <c r="X185" s="38" t="str">
        <f>_xlfn.CONCAT(LEFT(BASE_ADM[[#This Row],[CONTA CONTABIL]],7),LEFT(BASE_ADM[[#This Row],[CENTRO DE CUSTOS]],5))</f>
        <v>430007023210</v>
      </c>
      <c r="Y185" s="36" cm="1">
        <f t="array" ref="Y18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6" spans="1:25" hidden="1">
      <c r="A186" s="6"/>
      <c r="B186" s="5" t="s">
        <v>1</v>
      </c>
      <c r="C186" s="6" t="s">
        <v>719</v>
      </c>
      <c r="D186" s="6" t="s">
        <v>719</v>
      </c>
      <c r="E186" s="5" t="s">
        <v>4</v>
      </c>
      <c r="F186" s="6" t="s">
        <v>720</v>
      </c>
      <c r="G186" s="12" t="s">
        <v>90</v>
      </c>
      <c r="H186" s="6"/>
      <c r="I186" s="13">
        <v>2023</v>
      </c>
      <c r="J186" s="39">
        <v>-1362529.97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7">
        <f>SUM(BASE_ADM[[#This Row],[jan]:[dez]])</f>
        <v>-1362529.97</v>
      </c>
      <c r="W186" s="38">
        <f>SUM(BASE_ADM[[#This Row],[jan]:[dez]])/12</f>
        <v>-113544.16416666667</v>
      </c>
      <c r="X186" s="38" t="str">
        <f>_xlfn.CONCAT(LEFT(BASE_ADM[[#This Row],[CONTA CONTABIL]],7),LEFT(BASE_ADM[[#This Row],[CENTRO DE CUSTOS]],5))</f>
        <v>430007023210</v>
      </c>
      <c r="Y186" s="36" cm="1">
        <f t="array" ref="Y18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7" spans="1:25" hidden="1">
      <c r="A187" s="6"/>
      <c r="B187" s="5" t="s">
        <v>1</v>
      </c>
      <c r="C187" s="6" t="s">
        <v>719</v>
      </c>
      <c r="D187" s="6" t="s">
        <v>719</v>
      </c>
      <c r="E187" s="5" t="s">
        <v>4</v>
      </c>
      <c r="F187" s="6" t="s">
        <v>720</v>
      </c>
      <c r="G187" s="12" t="s">
        <v>90</v>
      </c>
      <c r="H187" s="6"/>
      <c r="I187" s="13">
        <v>2023</v>
      </c>
      <c r="J187" s="39">
        <v>1369480.2799999996</v>
      </c>
      <c r="K187" s="36">
        <v>2448</v>
      </c>
      <c r="L187" s="36">
        <v>5161.95</v>
      </c>
      <c r="M187" s="36">
        <v>0</v>
      </c>
      <c r="N187" s="36">
        <v>51.45</v>
      </c>
      <c r="O187" s="36">
        <v>3918.9900000000002</v>
      </c>
      <c r="P187" s="36">
        <v>14247.93</v>
      </c>
      <c r="Q187" s="36">
        <v>1889.1599999999999</v>
      </c>
      <c r="R187" s="36">
        <v>1921.6799999999998</v>
      </c>
      <c r="S187" s="36">
        <v>561.83999999999992</v>
      </c>
      <c r="T187" s="36">
        <v>4301.46</v>
      </c>
      <c r="U187" s="36">
        <v>6244.9199999999992</v>
      </c>
      <c r="V187" s="37">
        <f>SUM(BASE_ADM[[#This Row],[jan]:[dez]])</f>
        <v>1410227.6599999992</v>
      </c>
      <c r="W187" s="38">
        <f>SUM(BASE_ADM[[#This Row],[jan]:[dez]])/12</f>
        <v>117518.97166666661</v>
      </c>
      <c r="X187" s="38" t="str">
        <f>_xlfn.CONCAT(LEFT(BASE_ADM[[#This Row],[CONTA CONTABIL]],7),LEFT(BASE_ADM[[#This Row],[CENTRO DE CUSTOS]],5))</f>
        <v>430007023210</v>
      </c>
      <c r="Y187" s="36" cm="1">
        <f t="array" ref="Y18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8" spans="1:25" hidden="1">
      <c r="A188" s="6"/>
      <c r="B188" s="5" t="s">
        <v>1</v>
      </c>
      <c r="C188" s="6" t="s">
        <v>719</v>
      </c>
      <c r="D188" s="6" t="s">
        <v>719</v>
      </c>
      <c r="E188" s="5" t="s">
        <v>4</v>
      </c>
      <c r="F188" s="6" t="s">
        <v>720</v>
      </c>
      <c r="G188" s="12" t="s">
        <v>90</v>
      </c>
      <c r="H188" s="6"/>
      <c r="I188" s="13">
        <v>2024</v>
      </c>
      <c r="J188" s="39">
        <v>67.64</v>
      </c>
      <c r="K188" s="36">
        <v>2246.7599999999998</v>
      </c>
      <c r="L188" s="36">
        <v>8462.3699999999972</v>
      </c>
      <c r="M188" s="36">
        <v>11178.300000000003</v>
      </c>
      <c r="N188" s="36">
        <v>5148.71</v>
      </c>
      <c r="O188" s="36">
        <v>4646.8500000000004</v>
      </c>
      <c r="P188" s="36">
        <v>2693.2099999999996</v>
      </c>
      <c r="Q188" s="36">
        <v>9272729.1999999695</v>
      </c>
      <c r="R188" s="36">
        <v>11936495.770000011</v>
      </c>
      <c r="S188" s="36">
        <v>3604478</v>
      </c>
      <c r="T188" s="36">
        <v>2493326.2399999946</v>
      </c>
      <c r="U188" s="36">
        <v>1690193.3799999973</v>
      </c>
      <c r="V188" s="37">
        <f>SUM(BASE_ADM[[#This Row],[jan]:[dez]])</f>
        <v>29031666.429999974</v>
      </c>
      <c r="W188" s="38">
        <f>SUM(BASE_ADM[[#This Row],[jan]:[dez]])/12</f>
        <v>2419305.5358333313</v>
      </c>
      <c r="X188" s="38" t="str">
        <f>_xlfn.CONCAT(LEFT(BASE_ADM[[#This Row],[CONTA CONTABIL]],7),LEFT(BASE_ADM[[#This Row],[CENTRO DE CUSTOS]],5))</f>
        <v>430007023210</v>
      </c>
      <c r="Y188" s="36" cm="1">
        <f t="array" ref="Y18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9" spans="1:25" hidden="1">
      <c r="A189" s="6"/>
      <c r="B189" s="5" t="s">
        <v>1</v>
      </c>
      <c r="C189" s="6" t="s">
        <v>719</v>
      </c>
      <c r="D189" s="6" t="s">
        <v>719</v>
      </c>
      <c r="E189" s="5" t="s">
        <v>4</v>
      </c>
      <c r="F189" s="6" t="s">
        <v>720</v>
      </c>
      <c r="G189" s="12" t="s">
        <v>90</v>
      </c>
      <c r="H189" s="6"/>
      <c r="I189" s="13">
        <v>2025</v>
      </c>
      <c r="J189" s="39">
        <v>20871.800000003095</v>
      </c>
      <c r="K189" s="36">
        <v>21709.69999999999</v>
      </c>
      <c r="L189" s="36">
        <v>7730.5499999999993</v>
      </c>
      <c r="M189" s="36">
        <v>13725.949999999999</v>
      </c>
      <c r="N189" s="36">
        <v>16583.28</v>
      </c>
      <c r="O189" s="36">
        <v>11135.690000000002</v>
      </c>
      <c r="P189" s="36">
        <v>7515.010000000002</v>
      </c>
      <c r="Q189" s="36">
        <v>7020.1099999999942</v>
      </c>
      <c r="R189" s="36">
        <v>0</v>
      </c>
      <c r="S189" s="36">
        <v>0</v>
      </c>
      <c r="T189" s="36">
        <v>0</v>
      </c>
      <c r="U189" s="36">
        <v>0</v>
      </c>
      <c r="V189" s="37">
        <f>SUM(BASE_ADM[[#This Row],[jan]:[dez]])</f>
        <v>106292.0900000031</v>
      </c>
      <c r="W189" s="38">
        <f>SUM(BASE_ADM[[#This Row],[jan]:[dez]])/12</f>
        <v>8857.6741666669241</v>
      </c>
      <c r="X189" s="38" t="str">
        <f>_xlfn.CONCAT(LEFT(BASE_ADM[[#This Row],[CONTA CONTABIL]],7),LEFT(BASE_ADM[[#This Row],[CENTRO DE CUSTOS]],5))</f>
        <v>430007023210</v>
      </c>
      <c r="Y189" s="36" cm="1">
        <f t="array" ref="Y18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90" spans="1:25" hidden="1">
      <c r="A190" s="6"/>
      <c r="B190" s="241" t="s">
        <v>1</v>
      </c>
      <c r="C190" s="242" t="s">
        <v>719</v>
      </c>
      <c r="D190" s="242" t="s">
        <v>719</v>
      </c>
      <c r="E190" s="241" t="s">
        <v>4</v>
      </c>
      <c r="F190" s="242" t="s">
        <v>720</v>
      </c>
      <c r="G190" s="243" t="s">
        <v>90</v>
      </c>
      <c r="H190" s="242" t="s">
        <v>730</v>
      </c>
      <c r="I190" s="244" t="s">
        <v>103</v>
      </c>
      <c r="J190" s="245">
        <v>8500</v>
      </c>
      <c r="K190" s="245">
        <v>8500</v>
      </c>
      <c r="L190" s="245">
        <v>8500</v>
      </c>
      <c r="M190" s="245">
        <v>8500</v>
      </c>
      <c r="N190" s="245">
        <v>8500</v>
      </c>
      <c r="O190" s="245">
        <v>8500</v>
      </c>
      <c r="P190" s="245">
        <v>8500</v>
      </c>
      <c r="Q190" s="245">
        <v>8500</v>
      </c>
      <c r="R190" s="245">
        <v>8500</v>
      </c>
      <c r="S190" s="245">
        <v>8500</v>
      </c>
      <c r="T190" s="245">
        <v>8500</v>
      </c>
      <c r="U190" s="245">
        <v>8500</v>
      </c>
      <c r="V190" s="247">
        <f>SUM(BASE_ADM[[#This Row],[jan]:[dez]])</f>
        <v>102000</v>
      </c>
      <c r="W190" s="247">
        <f>SUM(BASE_ADM[[#This Row],[jan]:[dez]])/12</f>
        <v>8500</v>
      </c>
      <c r="X190" s="247" t="str">
        <f>_xlfn.CONCAT(LEFT(BASE_ADM[[#This Row],[CONTA CONTABIL]],7),LEFT(BASE_ADM[[#This Row],[CENTRO DE CUSTOS]],5))</f>
        <v>430007023210</v>
      </c>
      <c r="Y190" s="246" cm="1">
        <f t="array" ref="Y19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91" spans="1:25" hidden="1">
      <c r="A191" s="6"/>
      <c r="B191" s="5" t="s">
        <v>1</v>
      </c>
      <c r="C191" s="6" t="s">
        <v>719</v>
      </c>
      <c r="D191" s="6" t="s">
        <v>719</v>
      </c>
      <c r="E191" s="5" t="s">
        <v>0</v>
      </c>
      <c r="F191" s="6" t="s">
        <v>721</v>
      </c>
      <c r="G191" s="12" t="s">
        <v>2</v>
      </c>
      <c r="H191" s="6"/>
      <c r="I191" s="13">
        <v>2019</v>
      </c>
      <c r="J191" s="39">
        <v>0</v>
      </c>
      <c r="K191" s="36">
        <v>0</v>
      </c>
      <c r="L191" s="36">
        <v>800</v>
      </c>
      <c r="M191" s="36">
        <v>0</v>
      </c>
      <c r="N191" s="36">
        <v>141.59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7">
        <f>SUM(BASE_ADM[[#This Row],[jan]:[dez]])</f>
        <v>941.59</v>
      </c>
      <c r="W191" s="38">
        <f>SUM(BASE_ADM[[#This Row],[jan]:[dez]])/12</f>
        <v>78.465833333333336</v>
      </c>
      <c r="X191" s="38" t="str">
        <f>_xlfn.CONCAT(LEFT(BASE_ADM[[#This Row],[CONTA CONTABIL]],7),LEFT(BASE_ADM[[#This Row],[CENTRO DE CUSTOS]],5))</f>
        <v>430001623200</v>
      </c>
      <c r="Y191" s="36" cm="1">
        <f t="array" ref="Y19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92" spans="1:25" hidden="1">
      <c r="A192" s="6"/>
      <c r="B192" s="5" t="s">
        <v>1</v>
      </c>
      <c r="C192" s="6" t="s">
        <v>719</v>
      </c>
      <c r="D192" s="6" t="s">
        <v>719</v>
      </c>
      <c r="E192" s="5" t="s">
        <v>0</v>
      </c>
      <c r="F192" s="6" t="s">
        <v>720</v>
      </c>
      <c r="G192" s="12" t="s">
        <v>2</v>
      </c>
      <c r="H192" s="6"/>
      <c r="I192" s="13">
        <v>2018</v>
      </c>
      <c r="J192" s="39">
        <v>1979.83</v>
      </c>
      <c r="K192" s="36">
        <v>294.5</v>
      </c>
      <c r="L192" s="36">
        <v>227.64</v>
      </c>
      <c r="M192" s="36">
        <v>857.58999999999992</v>
      </c>
      <c r="N192" s="36">
        <v>694.17000000000007</v>
      </c>
      <c r="O192" s="36">
        <v>693.1</v>
      </c>
      <c r="P192" s="36">
        <v>2483.75</v>
      </c>
      <c r="Q192" s="36">
        <v>250.53000000000003</v>
      </c>
      <c r="R192" s="36">
        <v>383.28</v>
      </c>
      <c r="S192" s="36">
        <v>335.43</v>
      </c>
      <c r="T192" s="36">
        <v>328.72</v>
      </c>
      <c r="U192" s="36">
        <v>329.81</v>
      </c>
      <c r="V192" s="37">
        <f>SUM(BASE_ADM[[#This Row],[jan]:[dez]])</f>
        <v>8858.3499999999985</v>
      </c>
      <c r="W192" s="38">
        <f>SUM(BASE_ADM[[#This Row],[jan]:[dez]])/12</f>
        <v>738.19583333333321</v>
      </c>
      <c r="X192" s="38" t="str">
        <f>_xlfn.CONCAT(LEFT(BASE_ADM[[#This Row],[CONTA CONTABIL]],7),LEFT(BASE_ADM[[#This Row],[CENTRO DE CUSTOS]],5))</f>
        <v>430001623210</v>
      </c>
      <c r="Y192" s="36" cm="1">
        <f t="array" ref="Y19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3" spans="1:25" hidden="1">
      <c r="A193" s="6"/>
      <c r="B193" s="5" t="s">
        <v>1</v>
      </c>
      <c r="C193" s="6" t="s">
        <v>719</v>
      </c>
      <c r="D193" s="6" t="s">
        <v>719</v>
      </c>
      <c r="E193" s="5" t="s">
        <v>0</v>
      </c>
      <c r="F193" s="6" t="s">
        <v>720</v>
      </c>
      <c r="G193" s="12" t="s">
        <v>2</v>
      </c>
      <c r="H193" s="6"/>
      <c r="I193" s="13">
        <v>2019</v>
      </c>
      <c r="J193" s="39">
        <v>498.67</v>
      </c>
      <c r="K193" s="36">
        <v>400.34000000000003</v>
      </c>
      <c r="L193" s="36">
        <v>611.26</v>
      </c>
      <c r="M193" s="36">
        <v>485.27000000000004</v>
      </c>
      <c r="N193" s="36">
        <v>414.71000000000004</v>
      </c>
      <c r="O193" s="36">
        <v>493.62</v>
      </c>
      <c r="P193" s="36">
        <v>359.59999999999997</v>
      </c>
      <c r="Q193" s="36">
        <v>877.89</v>
      </c>
      <c r="R193" s="36">
        <v>877.73</v>
      </c>
      <c r="S193" s="36">
        <v>878.78</v>
      </c>
      <c r="T193" s="36">
        <v>1345.56</v>
      </c>
      <c r="U193" s="36">
        <v>878.6</v>
      </c>
      <c r="V193" s="37">
        <f>SUM(BASE_ADM[[#This Row],[jan]:[dez]])</f>
        <v>8122.0300000000007</v>
      </c>
      <c r="W193" s="38">
        <f>SUM(BASE_ADM[[#This Row],[jan]:[dez]])/12</f>
        <v>676.83583333333343</v>
      </c>
      <c r="X193" s="38" t="str">
        <f>_xlfn.CONCAT(LEFT(BASE_ADM[[#This Row],[CONTA CONTABIL]],7),LEFT(BASE_ADM[[#This Row],[CENTRO DE CUSTOS]],5))</f>
        <v>430001623210</v>
      </c>
      <c r="Y193" s="36" cm="1">
        <f t="array" ref="Y19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4" spans="1:25" hidden="1">
      <c r="A194" s="6"/>
      <c r="B194" s="5" t="s">
        <v>1</v>
      </c>
      <c r="C194" s="6" t="s">
        <v>719</v>
      </c>
      <c r="D194" s="6" t="s">
        <v>719</v>
      </c>
      <c r="E194" s="5" t="s">
        <v>0</v>
      </c>
      <c r="F194" s="6" t="s">
        <v>720</v>
      </c>
      <c r="G194" s="12" t="s">
        <v>2</v>
      </c>
      <c r="H194" s="6"/>
      <c r="I194" s="13">
        <v>2020</v>
      </c>
      <c r="J194" s="39">
        <v>1792.5000000000002</v>
      </c>
      <c r="K194" s="36">
        <v>734.01</v>
      </c>
      <c r="L194" s="36">
        <v>616.59</v>
      </c>
      <c r="M194" s="36">
        <v>716.87</v>
      </c>
      <c r="N194" s="36">
        <v>754.28000000000009</v>
      </c>
      <c r="O194" s="36">
        <v>192.54</v>
      </c>
      <c r="P194" s="36">
        <v>1474.47</v>
      </c>
      <c r="Q194" s="36">
        <v>769.12000000000012</v>
      </c>
      <c r="R194" s="36">
        <v>10032.42</v>
      </c>
      <c r="S194" s="36">
        <v>1077.21</v>
      </c>
      <c r="T194" s="36">
        <v>694.93000000000006</v>
      </c>
      <c r="U194" s="36">
        <v>1203.0299999999997</v>
      </c>
      <c r="V194" s="37">
        <f>SUM(BASE_ADM[[#This Row],[jan]:[dez]])</f>
        <v>20057.969999999998</v>
      </c>
      <c r="W194" s="38">
        <f>SUM(BASE_ADM[[#This Row],[jan]:[dez]])/12</f>
        <v>1671.4974999999997</v>
      </c>
      <c r="X194" s="38" t="str">
        <f>_xlfn.CONCAT(LEFT(BASE_ADM[[#This Row],[CONTA CONTABIL]],7),LEFT(BASE_ADM[[#This Row],[CENTRO DE CUSTOS]],5))</f>
        <v>430001623210</v>
      </c>
      <c r="Y194" s="36" cm="1">
        <f t="array" ref="Y19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5" spans="1:25" hidden="1">
      <c r="A195" s="6"/>
      <c r="B195" s="5" t="s">
        <v>1</v>
      </c>
      <c r="C195" s="6" t="s">
        <v>719</v>
      </c>
      <c r="D195" s="6" t="s">
        <v>719</v>
      </c>
      <c r="E195" s="5" t="s">
        <v>0</v>
      </c>
      <c r="F195" s="6" t="s">
        <v>720</v>
      </c>
      <c r="G195" s="12" t="s">
        <v>2</v>
      </c>
      <c r="H195" s="6"/>
      <c r="I195" s="13">
        <v>2021</v>
      </c>
      <c r="J195" s="39">
        <v>1078.53</v>
      </c>
      <c r="K195" s="36">
        <v>383.31</v>
      </c>
      <c r="L195" s="36">
        <v>520.38</v>
      </c>
      <c r="M195" s="36">
        <v>710.81999999999994</v>
      </c>
      <c r="N195" s="36">
        <v>565.35</v>
      </c>
      <c r="O195" s="36">
        <v>698.3900000000001</v>
      </c>
      <c r="P195" s="36">
        <v>390.18</v>
      </c>
      <c r="Q195" s="36">
        <v>1607.35</v>
      </c>
      <c r="R195" s="36">
        <v>491.9</v>
      </c>
      <c r="S195" s="36">
        <v>337.52000000000004</v>
      </c>
      <c r="T195" s="36">
        <v>160.22999999999999</v>
      </c>
      <c r="U195" s="36">
        <v>2811.1</v>
      </c>
      <c r="V195" s="37">
        <f>SUM(BASE_ADM[[#This Row],[jan]:[dez]])</f>
        <v>9755.06</v>
      </c>
      <c r="W195" s="38">
        <f>SUM(BASE_ADM[[#This Row],[jan]:[dez]])/12</f>
        <v>812.92166666666662</v>
      </c>
      <c r="X195" s="38" t="str">
        <f>_xlfn.CONCAT(LEFT(BASE_ADM[[#This Row],[CONTA CONTABIL]],7),LEFT(BASE_ADM[[#This Row],[CENTRO DE CUSTOS]],5))</f>
        <v>430001623210</v>
      </c>
      <c r="Y195" s="36" cm="1">
        <f t="array" ref="Y19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6" spans="1:25" hidden="1">
      <c r="A196" s="6"/>
      <c r="B196" s="5" t="s">
        <v>1</v>
      </c>
      <c r="C196" s="6" t="s">
        <v>719</v>
      </c>
      <c r="D196" s="6" t="s">
        <v>719</v>
      </c>
      <c r="E196" s="5" t="s">
        <v>0</v>
      </c>
      <c r="F196" s="6" t="s">
        <v>720</v>
      </c>
      <c r="G196" s="12" t="s">
        <v>2</v>
      </c>
      <c r="H196" s="6"/>
      <c r="I196" s="13">
        <v>2022</v>
      </c>
      <c r="J196" s="39">
        <v>27.36</v>
      </c>
      <c r="K196" s="36">
        <v>23.97</v>
      </c>
      <c r="L196" s="36">
        <v>86.72</v>
      </c>
      <c r="M196" s="36">
        <v>24</v>
      </c>
      <c r="N196" s="36">
        <v>23.87</v>
      </c>
      <c r="O196" s="36">
        <v>22.44</v>
      </c>
      <c r="P196" s="36">
        <v>21.9</v>
      </c>
      <c r="Q196" s="36">
        <v>21</v>
      </c>
      <c r="R196" s="36">
        <v>21.12</v>
      </c>
      <c r="S196" s="36">
        <v>2882.55</v>
      </c>
      <c r="T196" s="36">
        <v>0</v>
      </c>
      <c r="U196" s="36">
        <v>44.260000000000005</v>
      </c>
      <c r="V196" s="37">
        <f>SUM(BASE_ADM[[#This Row],[jan]:[dez]])</f>
        <v>3199.1900000000005</v>
      </c>
      <c r="W196" s="38">
        <f>SUM(BASE_ADM[[#This Row],[jan]:[dez]])/12</f>
        <v>266.59916666666669</v>
      </c>
      <c r="X196" s="38" t="str">
        <f>_xlfn.CONCAT(LEFT(BASE_ADM[[#This Row],[CONTA CONTABIL]],7),LEFT(BASE_ADM[[#This Row],[CENTRO DE CUSTOS]],5))</f>
        <v>430001623210</v>
      </c>
      <c r="Y196" s="36" cm="1">
        <f t="array" ref="Y19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7" spans="1:25" hidden="1">
      <c r="A197" s="6"/>
      <c r="B197" s="5" t="s">
        <v>1</v>
      </c>
      <c r="C197" s="6" t="s">
        <v>719</v>
      </c>
      <c r="D197" s="6" t="s">
        <v>719</v>
      </c>
      <c r="E197" s="5" t="s">
        <v>0</v>
      </c>
      <c r="F197" s="6" t="s">
        <v>720</v>
      </c>
      <c r="G197" s="12" t="s">
        <v>2</v>
      </c>
      <c r="H197" s="6"/>
      <c r="I197" s="13">
        <v>2023</v>
      </c>
      <c r="J197" s="39">
        <v>21.16</v>
      </c>
      <c r="K197" s="36">
        <v>4</v>
      </c>
      <c r="L197" s="36">
        <v>128.79</v>
      </c>
      <c r="M197" s="36">
        <v>24.51</v>
      </c>
      <c r="N197" s="36">
        <v>2892.8399999999997</v>
      </c>
      <c r="O197" s="36">
        <v>983.38</v>
      </c>
      <c r="P197" s="36">
        <v>1511.96</v>
      </c>
      <c r="Q197" s="36">
        <v>3417.2</v>
      </c>
      <c r="R197" s="36">
        <v>0</v>
      </c>
      <c r="S197" s="36">
        <v>75.88</v>
      </c>
      <c r="T197" s="36">
        <v>30.52</v>
      </c>
      <c r="U197" s="36">
        <v>37.520000000000003</v>
      </c>
      <c r="V197" s="37">
        <f>SUM(BASE_ADM[[#This Row],[jan]:[dez]])</f>
        <v>9127.76</v>
      </c>
      <c r="W197" s="38">
        <f>SUM(BASE_ADM[[#This Row],[jan]:[dez]])/12</f>
        <v>760.64666666666665</v>
      </c>
      <c r="X197" s="38" t="str">
        <f>_xlfn.CONCAT(LEFT(BASE_ADM[[#This Row],[CONTA CONTABIL]],7),LEFT(BASE_ADM[[#This Row],[CENTRO DE CUSTOS]],5))</f>
        <v>430001623210</v>
      </c>
      <c r="Y197" s="36" cm="1">
        <f t="array" ref="Y19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8" spans="1:25" hidden="1">
      <c r="A198" s="6"/>
      <c r="B198" s="5" t="s">
        <v>1</v>
      </c>
      <c r="C198" s="6" t="s">
        <v>719</v>
      </c>
      <c r="D198" s="6" t="s">
        <v>719</v>
      </c>
      <c r="E198" s="5" t="s">
        <v>0</v>
      </c>
      <c r="F198" s="6" t="s">
        <v>720</v>
      </c>
      <c r="G198" s="12" t="s">
        <v>2</v>
      </c>
      <c r="H198" s="6"/>
      <c r="I198" s="13">
        <v>2024</v>
      </c>
      <c r="J198" s="39">
        <v>5957.64</v>
      </c>
      <c r="K198" s="36">
        <v>36.68</v>
      </c>
      <c r="L198" s="36">
        <v>0</v>
      </c>
      <c r="M198" s="36">
        <v>39.479999999999997</v>
      </c>
      <c r="N198" s="36">
        <v>175.5</v>
      </c>
      <c r="O198" s="36">
        <v>240</v>
      </c>
      <c r="P198" s="36">
        <v>1850</v>
      </c>
      <c r="Q198" s="36">
        <v>1600.01</v>
      </c>
      <c r="R198" s="36">
        <v>230.33</v>
      </c>
      <c r="S198" s="36">
        <v>145</v>
      </c>
      <c r="T198" s="36">
        <v>0</v>
      </c>
      <c r="U198" s="36">
        <v>0</v>
      </c>
      <c r="V198" s="37">
        <f>SUM(BASE_ADM[[#This Row],[jan]:[dez]])</f>
        <v>10274.64</v>
      </c>
      <c r="W198" s="38">
        <f>SUM(BASE_ADM[[#This Row],[jan]:[dez]])/12</f>
        <v>856.21999999999991</v>
      </c>
      <c r="X198" s="38" t="str">
        <f>_xlfn.CONCAT(LEFT(BASE_ADM[[#This Row],[CONTA CONTABIL]],7),LEFT(BASE_ADM[[#This Row],[CENTRO DE CUSTOS]],5))</f>
        <v>430001623210</v>
      </c>
      <c r="Y198" s="36" cm="1">
        <f t="array" ref="Y19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9" spans="1:25" hidden="1">
      <c r="A199" s="6"/>
      <c r="B199" s="5" t="s">
        <v>1</v>
      </c>
      <c r="C199" s="6" t="s">
        <v>719</v>
      </c>
      <c r="D199" s="6" t="s">
        <v>719</v>
      </c>
      <c r="E199" s="5" t="s">
        <v>0</v>
      </c>
      <c r="F199" s="6" t="s">
        <v>720</v>
      </c>
      <c r="G199" s="12" t="s">
        <v>2</v>
      </c>
      <c r="H199" s="6"/>
      <c r="I199" s="13">
        <v>2025</v>
      </c>
      <c r="J199" s="39">
        <v>0</v>
      </c>
      <c r="K199" s="36">
        <v>3000</v>
      </c>
      <c r="L199" s="36">
        <v>4324.63</v>
      </c>
      <c r="M199" s="36">
        <v>20824.599999999999</v>
      </c>
      <c r="N199" s="36">
        <v>3100</v>
      </c>
      <c r="O199" s="36">
        <v>437.14</v>
      </c>
      <c r="P199" s="36">
        <v>2457.5699999999997</v>
      </c>
      <c r="Q199" s="36">
        <v>0</v>
      </c>
      <c r="R199" s="36">
        <v>822.60916666666662</v>
      </c>
      <c r="S199" s="36">
        <v>822.60916666666662</v>
      </c>
      <c r="T199" s="36">
        <v>822.60916666666662</v>
      </c>
      <c r="U199" s="36">
        <v>822.60916666666662</v>
      </c>
      <c r="V199" s="37">
        <f>SUM(BASE_ADM[[#This Row],[jan]:[dez]])</f>
        <v>37434.376666666678</v>
      </c>
      <c r="W199" s="38">
        <f>SUM(BASE_ADM[[#This Row],[jan]:[dez]])/12</f>
        <v>3119.53138888889</v>
      </c>
      <c r="X199" s="38" t="str">
        <f>_xlfn.CONCAT(LEFT(BASE_ADM[[#This Row],[CONTA CONTABIL]],7),LEFT(BASE_ADM[[#This Row],[CENTRO DE CUSTOS]],5))</f>
        <v>430001623210</v>
      </c>
      <c r="Y199" s="36" cm="1">
        <f t="array" ref="Y19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200" spans="1:25" hidden="1">
      <c r="A200" s="6"/>
      <c r="B200" s="241" t="s">
        <v>1</v>
      </c>
      <c r="C200" s="242" t="s">
        <v>719</v>
      </c>
      <c r="D200" s="242" t="s">
        <v>719</v>
      </c>
      <c r="E200" s="241" t="s">
        <v>0</v>
      </c>
      <c r="F200" s="242" t="s">
        <v>720</v>
      </c>
      <c r="G200" s="243" t="s">
        <v>2</v>
      </c>
      <c r="H200" s="242" t="s">
        <v>725</v>
      </c>
      <c r="I200" s="244" t="s">
        <v>103</v>
      </c>
      <c r="J200" s="245">
        <v>0</v>
      </c>
      <c r="K200" s="246">
        <v>17200</v>
      </c>
      <c r="L200" s="246">
        <v>1200</v>
      </c>
      <c r="M200" s="246">
        <v>1200</v>
      </c>
      <c r="N200" s="246">
        <v>8950</v>
      </c>
      <c r="O200" s="246">
        <v>1200</v>
      </c>
      <c r="P200" s="246">
        <v>0</v>
      </c>
      <c r="Q200" s="246">
        <v>0</v>
      </c>
      <c r="R200" s="246">
        <v>250</v>
      </c>
      <c r="S200" s="246">
        <v>0</v>
      </c>
      <c r="T200" s="246">
        <v>0</v>
      </c>
      <c r="U200" s="246">
        <v>0</v>
      </c>
      <c r="V200" s="247">
        <f>SUM(BASE_ADM[[#This Row],[jan]:[dez]])</f>
        <v>30000</v>
      </c>
      <c r="W200" s="247">
        <f>SUM(BASE_ADM[[#This Row],[jan]:[dez]])/12</f>
        <v>2500</v>
      </c>
      <c r="X200" s="247" t="str">
        <f>_xlfn.CONCAT(LEFT(BASE_ADM[[#This Row],[CONTA CONTABIL]],7),LEFT(BASE_ADM[[#This Row],[CENTRO DE CUSTOS]],5))</f>
        <v>430001623210</v>
      </c>
      <c r="Y200" s="246" cm="1">
        <f t="array" ref="Y20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201" spans="1:25" hidden="1">
      <c r="A201" s="6"/>
      <c r="B201" s="241" t="s">
        <v>1</v>
      </c>
      <c r="C201" s="242" t="s">
        <v>719</v>
      </c>
      <c r="D201" s="242" t="s">
        <v>719</v>
      </c>
      <c r="E201" s="241" t="s">
        <v>107</v>
      </c>
      <c r="F201" s="242" t="s">
        <v>720</v>
      </c>
      <c r="G201" s="243" t="s">
        <v>144</v>
      </c>
      <c r="H201" s="242" t="s">
        <v>727</v>
      </c>
      <c r="I201" s="244" t="s">
        <v>103</v>
      </c>
      <c r="J201" s="245">
        <v>481.6</v>
      </c>
      <c r="K201" s="246">
        <v>481.6</v>
      </c>
      <c r="L201" s="246">
        <v>481.6</v>
      </c>
      <c r="M201" s="246">
        <v>481.6</v>
      </c>
      <c r="N201" s="246">
        <v>481.6</v>
      </c>
      <c r="O201" s="246">
        <v>481.6</v>
      </c>
      <c r="P201" s="246">
        <v>481.6</v>
      </c>
      <c r="Q201" s="246">
        <v>481.6</v>
      </c>
      <c r="R201" s="246">
        <v>481.6</v>
      </c>
      <c r="S201" s="246">
        <v>481.6</v>
      </c>
      <c r="T201" s="246">
        <v>481.6</v>
      </c>
      <c r="U201" s="246">
        <v>481.6</v>
      </c>
      <c r="V201" s="247">
        <f>SUM(BASE_ADM[[#This Row],[jan]:[dez]])</f>
        <v>5779.2000000000007</v>
      </c>
      <c r="W201" s="247">
        <f>SUM(BASE_ADM[[#This Row],[jan]:[dez]])/12</f>
        <v>481.60000000000008</v>
      </c>
      <c r="X201" s="247" t="str">
        <f>_xlfn.CONCAT(LEFT(BASE_ADM[[#This Row],[CONTA CONTABIL]],7),LEFT(BASE_ADM[[#This Row],[CENTRO DE CUSTOS]],5))</f>
        <v>430014723210</v>
      </c>
      <c r="Y201" s="246" cm="1">
        <f t="array" ref="Y20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5779.2000000000007</v>
      </c>
    </row>
    <row r="202" spans="1:25" hidden="1">
      <c r="A202" s="6"/>
      <c r="B202" s="241" t="s">
        <v>1</v>
      </c>
      <c r="C202" s="242" t="s">
        <v>719</v>
      </c>
      <c r="D202" s="242" t="s">
        <v>719</v>
      </c>
      <c r="E202" s="241" t="s">
        <v>107</v>
      </c>
      <c r="F202" s="242" t="s">
        <v>720</v>
      </c>
      <c r="G202" s="243" t="s">
        <v>108</v>
      </c>
      <c r="H202" s="242" t="s">
        <v>727</v>
      </c>
      <c r="I202" s="244" t="s">
        <v>103</v>
      </c>
      <c r="J202" s="245">
        <v>218.20486626984129</v>
      </c>
      <c r="K202" s="245">
        <v>218.20486626984129</v>
      </c>
      <c r="L202" s="245">
        <v>218.20486626984129</v>
      </c>
      <c r="M202" s="245">
        <v>218.20486626984129</v>
      </c>
      <c r="N202" s="245">
        <v>218.20486626984129</v>
      </c>
      <c r="O202" s="245">
        <v>218.20486626984129</v>
      </c>
      <c r="P202" s="245">
        <v>218.20486626984129</v>
      </c>
      <c r="Q202" s="245">
        <v>218.20486626984129</v>
      </c>
      <c r="R202" s="245">
        <v>218.20486626984129</v>
      </c>
      <c r="S202" s="245">
        <v>218.20486626984129</v>
      </c>
      <c r="T202" s="245">
        <v>218.20486626984129</v>
      </c>
      <c r="U202" s="245">
        <v>218.20486626984129</v>
      </c>
      <c r="V202" s="247">
        <f>SUM(BASE_ADM[[#This Row],[jan]:[dez]])</f>
        <v>2618.4583952380949</v>
      </c>
      <c r="W202" s="247">
        <f>SUM(BASE_ADM[[#This Row],[jan]:[dez]])/12</f>
        <v>218.20486626984123</v>
      </c>
      <c r="X202" s="247" t="str">
        <f>_xlfn.CONCAT(LEFT(BASE_ADM[[#This Row],[CONTA CONTABIL]],7),LEFT(BASE_ADM[[#This Row],[CENTRO DE CUSTOS]],5))</f>
        <v>430014323210</v>
      </c>
      <c r="Y202" s="246" cm="1">
        <f t="array" ref="Y20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2618.4583952380949</v>
      </c>
    </row>
    <row r="203" spans="1:25" hidden="1">
      <c r="A203" s="6"/>
      <c r="B203" s="241" t="s">
        <v>1</v>
      </c>
      <c r="C203" s="242" t="s">
        <v>719</v>
      </c>
      <c r="D203" s="242" t="s">
        <v>719</v>
      </c>
      <c r="E203" s="241" t="s">
        <v>107</v>
      </c>
      <c r="F203" s="242" t="s">
        <v>720</v>
      </c>
      <c r="G203" s="243" t="s">
        <v>109</v>
      </c>
      <c r="H203" s="242" t="s">
        <v>727</v>
      </c>
      <c r="I203" s="244" t="s">
        <v>103</v>
      </c>
      <c r="J203" s="245">
        <v>0</v>
      </c>
      <c r="K203" s="245">
        <v>0</v>
      </c>
      <c r="L203" s="245">
        <v>0</v>
      </c>
      <c r="M203" s="245">
        <v>0</v>
      </c>
      <c r="N203" s="245">
        <v>0</v>
      </c>
      <c r="O203" s="245">
        <v>0</v>
      </c>
      <c r="P203" s="245">
        <v>0</v>
      </c>
      <c r="Q203" s="245">
        <v>0</v>
      </c>
      <c r="R203" s="245">
        <v>0</v>
      </c>
      <c r="S203" s="245">
        <v>0</v>
      </c>
      <c r="T203" s="245">
        <v>0</v>
      </c>
      <c r="U203" s="245">
        <v>0</v>
      </c>
      <c r="V203" s="247">
        <f>SUM(BASE_ADM[[#This Row],[jan]:[dez]])</f>
        <v>0</v>
      </c>
      <c r="W203" s="247">
        <f>SUM(BASE_ADM[[#This Row],[jan]:[dez]])/12</f>
        <v>0</v>
      </c>
      <c r="X203" s="247" t="str">
        <f>_xlfn.CONCAT(LEFT(BASE_ADM[[#This Row],[CONTA CONTABIL]],7),LEFT(BASE_ADM[[#This Row],[CENTRO DE CUSTOS]],5))</f>
        <v>430004323210</v>
      </c>
      <c r="Y203" s="246" cm="1">
        <f t="array" ref="Y20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04" spans="1:25" hidden="1">
      <c r="A204" s="6"/>
      <c r="B204" s="241" t="s">
        <v>1</v>
      </c>
      <c r="C204" s="242" t="s">
        <v>719</v>
      </c>
      <c r="D204" s="242" t="s">
        <v>719</v>
      </c>
      <c r="E204" s="241" t="s">
        <v>107</v>
      </c>
      <c r="F204" s="242" t="s">
        <v>720</v>
      </c>
      <c r="G204" s="243" t="s">
        <v>268</v>
      </c>
      <c r="H204" s="242" t="s">
        <v>727</v>
      </c>
      <c r="I204" s="244" t="s">
        <v>103</v>
      </c>
      <c r="J204" s="245">
        <v>0</v>
      </c>
      <c r="K204" s="246">
        <v>0</v>
      </c>
      <c r="L204" s="246">
        <v>0</v>
      </c>
      <c r="M204" s="246">
        <v>0</v>
      </c>
      <c r="N204" s="246">
        <v>0</v>
      </c>
      <c r="O204" s="246">
        <v>0</v>
      </c>
      <c r="P204" s="246">
        <v>0</v>
      </c>
      <c r="Q204" s="246">
        <v>0</v>
      </c>
      <c r="R204" s="246">
        <v>0</v>
      </c>
      <c r="S204" s="246">
        <v>0</v>
      </c>
      <c r="T204" s="246">
        <v>0</v>
      </c>
      <c r="U204" s="246">
        <v>0</v>
      </c>
      <c r="V204" s="247">
        <f>SUM(BASE_ADM[[#This Row],[jan]:[dez]])</f>
        <v>0</v>
      </c>
      <c r="W204" s="247">
        <f>SUM(BASE_ADM[[#This Row],[jan]:[dez]])/12</f>
        <v>0</v>
      </c>
      <c r="X204" s="247" t="str">
        <f>_xlfn.CONCAT(LEFT(BASE_ADM[[#This Row],[CONTA CONTABIL]],7),LEFT(BASE_ADM[[#This Row],[CENTRO DE CUSTOS]],5))</f>
        <v>430013623210</v>
      </c>
      <c r="Y204" s="246" cm="1">
        <f t="array" ref="Y20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05" spans="1:25" hidden="1">
      <c r="A205" s="6"/>
      <c r="B205" s="241" t="s">
        <v>1</v>
      </c>
      <c r="C205" s="242" t="s">
        <v>719</v>
      </c>
      <c r="D205" s="242" t="s">
        <v>719</v>
      </c>
      <c r="E205" s="241" t="s">
        <v>107</v>
      </c>
      <c r="F205" s="242" t="s">
        <v>720</v>
      </c>
      <c r="G205" s="243" t="s">
        <v>110</v>
      </c>
      <c r="H205" s="242" t="s">
        <v>727</v>
      </c>
      <c r="I205" s="244" t="s">
        <v>103</v>
      </c>
      <c r="J205" s="245">
        <v>0</v>
      </c>
      <c r="K205" s="246">
        <v>0</v>
      </c>
      <c r="L205" s="246">
        <v>0</v>
      </c>
      <c r="M205" s="246">
        <v>0</v>
      </c>
      <c r="N205" s="246">
        <v>0</v>
      </c>
      <c r="O205" s="246">
        <v>0</v>
      </c>
      <c r="P205" s="246">
        <v>0</v>
      </c>
      <c r="Q205" s="246">
        <v>0</v>
      </c>
      <c r="R205" s="246">
        <v>0</v>
      </c>
      <c r="S205" s="246">
        <v>0</v>
      </c>
      <c r="T205" s="246">
        <v>0</v>
      </c>
      <c r="U205" s="246">
        <v>0</v>
      </c>
      <c r="V205" s="247">
        <f>SUM(BASE_ADM[[#This Row],[jan]:[dez]])</f>
        <v>0</v>
      </c>
      <c r="W205" s="247">
        <f>SUM(BASE_ADM[[#This Row],[jan]:[dez]])/12</f>
        <v>0</v>
      </c>
      <c r="X205" s="247" t="str">
        <f>_xlfn.CONCAT(LEFT(BASE_ADM[[#This Row],[CONTA CONTABIL]],7),LEFT(BASE_ADM[[#This Row],[CENTRO DE CUSTOS]],5))</f>
        <v>430014823210</v>
      </c>
      <c r="Y205" s="246" cm="1">
        <f t="array" ref="Y20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06" spans="1:25" hidden="1">
      <c r="A206" s="6"/>
      <c r="B206" s="241" t="s">
        <v>1</v>
      </c>
      <c r="C206" s="242" t="s">
        <v>719</v>
      </c>
      <c r="D206" s="242" t="s">
        <v>719</v>
      </c>
      <c r="E206" s="241" t="s">
        <v>107</v>
      </c>
      <c r="F206" s="242" t="s">
        <v>720</v>
      </c>
      <c r="G206" s="243" t="s">
        <v>781</v>
      </c>
      <c r="H206" s="242" t="s">
        <v>727</v>
      </c>
      <c r="I206" s="244" t="s">
        <v>103</v>
      </c>
      <c r="J206" s="245">
        <v>200</v>
      </c>
      <c r="K206" s="246">
        <v>200</v>
      </c>
      <c r="L206" s="246">
        <v>200</v>
      </c>
      <c r="M206" s="246">
        <v>200</v>
      </c>
      <c r="N206" s="246">
        <v>200</v>
      </c>
      <c r="O206" s="246">
        <v>200</v>
      </c>
      <c r="P206" s="246">
        <v>200</v>
      </c>
      <c r="Q206" s="246">
        <v>200</v>
      </c>
      <c r="R206" s="246">
        <v>200</v>
      </c>
      <c r="S206" s="246">
        <v>200</v>
      </c>
      <c r="T206" s="246">
        <v>200</v>
      </c>
      <c r="U206" s="246">
        <v>200</v>
      </c>
      <c r="V206" s="247">
        <f>SUM(BASE_ADM[[#This Row],[jan]:[dez]])</f>
        <v>2400</v>
      </c>
      <c r="W206" s="247">
        <f>SUM(BASE_ADM[[#This Row],[jan]:[dez]])/12</f>
        <v>200</v>
      </c>
      <c r="X206" s="247" t="str">
        <f>_xlfn.CONCAT(LEFT(BASE_ADM[[#This Row],[CONTA CONTABIL]],7),LEFT(BASE_ADM[[#This Row],[CENTRO DE CUSTOS]],5))</f>
        <v>430014623210</v>
      </c>
      <c r="Y206" s="246" cm="1">
        <f t="array" ref="Y20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2400</v>
      </c>
    </row>
    <row r="208" spans="1:25">
      <c r="J208"/>
      <c r="K208"/>
      <c r="L208"/>
      <c r="M208"/>
      <c r="N208"/>
      <c r="O208"/>
      <c r="P208"/>
      <c r="Q208"/>
      <c r="R208"/>
      <c r="S208"/>
      <c r="T208"/>
      <c r="U208"/>
    </row>
    <row r="209" spans="10:21">
      <c r="J209" s="277"/>
      <c r="K209" s="277"/>
      <c r="L209" s="277"/>
      <c r="M209" s="278"/>
      <c r="N209" s="278"/>
      <c r="O209" s="278"/>
      <c r="P209" s="278"/>
      <c r="Q209" s="278"/>
      <c r="R209" s="278"/>
      <c r="S209" s="278"/>
      <c r="T209" s="278"/>
      <c r="U209" s="278"/>
    </row>
  </sheetData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804E-0E16-4827-B9E1-909C8D0D7B25}">
  <sheetPr codeName="Planilha3">
    <tabColor theme="7" tint="0.39997558519241921"/>
  </sheetPr>
  <dimension ref="A1:P130"/>
  <sheetViews>
    <sheetView showGridLines="0" topLeftCell="B103" zoomScaleNormal="100" workbookViewId="0">
      <selection activeCell="C107" sqref="C107:C115"/>
    </sheetView>
  </sheetViews>
  <sheetFormatPr defaultColWidth="9.140625" defaultRowHeight="15"/>
  <cols>
    <col min="1" max="1" width="38.5703125" style="23" customWidth="1"/>
    <col min="2" max="2" width="39.140625" style="27" bestFit="1" customWidth="1"/>
    <col min="3" max="3" width="55" style="23" customWidth="1"/>
    <col min="4" max="15" width="11.7109375" style="23" bestFit="1" customWidth="1"/>
    <col min="16" max="16" width="13" style="23" bestFit="1" customWidth="1"/>
    <col min="17" max="16384" width="9.140625" style="23"/>
  </cols>
  <sheetData>
    <row r="1" spans="1:16" ht="18.75" thickBot="1">
      <c r="A1" s="26" t="str">
        <f>"BACKUP DE ORÇAMENTO &gt; 2026 | Contas detalhadas | "&amp;'ORÇAMENTO 2026'!C1</f>
        <v>BACKUP DE ORÇAMENTO &gt; 2026 | Contas detalhadas | ASSIST. TÉCNICA - LOGÍSTICA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8.25" customHeight="1" thickTop="1"/>
    <row r="3" spans="1:16" ht="15.75">
      <c r="A3" s="213" t="s">
        <v>332</v>
      </c>
    </row>
    <row r="4" spans="1:16" ht="15.75">
      <c r="A4" s="213" t="s">
        <v>333</v>
      </c>
      <c r="D4" s="24" t="s">
        <v>75</v>
      </c>
      <c r="E4" s="24" t="s">
        <v>76</v>
      </c>
      <c r="F4" s="24" t="s">
        <v>77</v>
      </c>
      <c r="G4" s="24" t="s">
        <v>78</v>
      </c>
      <c r="H4" s="24" t="s">
        <v>79</v>
      </c>
      <c r="I4" s="24" t="s">
        <v>80</v>
      </c>
      <c r="J4" s="24" t="s">
        <v>81</v>
      </c>
      <c r="K4" s="24" t="s">
        <v>82</v>
      </c>
      <c r="L4" s="24" t="s">
        <v>83</v>
      </c>
      <c r="M4" s="24" t="s">
        <v>84</v>
      </c>
      <c r="N4" s="24" t="s">
        <v>85</v>
      </c>
      <c r="O4" s="24" t="s">
        <v>86</v>
      </c>
      <c r="P4" s="24" t="s">
        <v>87</v>
      </c>
    </row>
    <row r="5" spans="1:16">
      <c r="A5" s="24" t="s">
        <v>99</v>
      </c>
      <c r="B5" s="28" t="s">
        <v>98</v>
      </c>
      <c r="C5" s="24" t="s">
        <v>100</v>
      </c>
      <c r="D5" s="215">
        <f>SUM(D6:D18)</f>
        <v>2865.3</v>
      </c>
      <c r="E5" s="215">
        <f t="shared" ref="E5:O5" si="0">SUM(E6:E18)</f>
        <v>3460.3</v>
      </c>
      <c r="F5" s="215">
        <f t="shared" si="0"/>
        <v>4055.3</v>
      </c>
      <c r="G5" s="215">
        <f t="shared" si="0"/>
        <v>3363.3</v>
      </c>
      <c r="H5" s="215">
        <f t="shared" si="0"/>
        <v>3460.3</v>
      </c>
      <c r="I5" s="215">
        <f t="shared" si="0"/>
        <v>2865.3</v>
      </c>
      <c r="J5" s="215">
        <f t="shared" si="0"/>
        <v>4055.3</v>
      </c>
      <c r="K5" s="215">
        <f t="shared" si="0"/>
        <v>2865.3</v>
      </c>
      <c r="L5" s="215">
        <f t="shared" si="0"/>
        <v>3958.3</v>
      </c>
      <c r="M5" s="215">
        <f t="shared" si="0"/>
        <v>3460.3</v>
      </c>
      <c r="N5" s="215">
        <f t="shared" si="0"/>
        <v>3460.3</v>
      </c>
      <c r="O5" s="215">
        <f t="shared" si="0"/>
        <v>3460.3</v>
      </c>
      <c r="P5" s="35">
        <f t="shared" ref="P5" si="1">SUM(D5:O5)</f>
        <v>41329.600000000006</v>
      </c>
    </row>
    <row r="6" spans="1:16">
      <c r="A6" s="52" t="s">
        <v>28</v>
      </c>
      <c r="B6" s="52" t="s">
        <v>720</v>
      </c>
      <c r="C6" s="250" t="s">
        <v>734</v>
      </c>
      <c r="D6" s="51">
        <v>258</v>
      </c>
      <c r="E6" s="51">
        <v>258</v>
      </c>
      <c r="F6" s="51">
        <v>258</v>
      </c>
      <c r="G6" s="51">
        <v>258</v>
      </c>
      <c r="H6" s="51">
        <v>258</v>
      </c>
      <c r="I6" s="51">
        <v>258</v>
      </c>
      <c r="J6" s="51">
        <v>258</v>
      </c>
      <c r="K6" s="51">
        <v>258</v>
      </c>
      <c r="L6" s="51">
        <v>258</v>
      </c>
      <c r="M6" s="51">
        <v>258</v>
      </c>
      <c r="N6" s="51">
        <v>258</v>
      </c>
      <c r="O6" s="51">
        <v>258</v>
      </c>
      <c r="P6" s="35">
        <f t="shared" ref="P6:P18" si="2">SUM(D6:O6)</f>
        <v>3096</v>
      </c>
    </row>
    <row r="7" spans="1:16">
      <c r="A7" s="52"/>
      <c r="B7" s="52" t="s">
        <v>720</v>
      </c>
      <c r="C7" s="250" t="s">
        <v>735</v>
      </c>
      <c r="D7" s="51"/>
      <c r="E7" s="51"/>
      <c r="F7" s="51"/>
      <c r="G7" s="51">
        <v>498</v>
      </c>
      <c r="H7" s="51"/>
      <c r="I7" s="51"/>
      <c r="J7" s="51"/>
      <c r="K7" s="51"/>
      <c r="L7" s="51">
        <v>498</v>
      </c>
      <c r="M7" s="51"/>
      <c r="N7" s="51"/>
      <c r="O7" s="51"/>
      <c r="P7" s="35">
        <f t="shared" si="2"/>
        <v>996</v>
      </c>
    </row>
    <row r="8" spans="1:16">
      <c r="A8" s="52"/>
      <c r="B8" s="52" t="s">
        <v>720</v>
      </c>
      <c r="C8" s="252" t="s">
        <v>743</v>
      </c>
      <c r="D8" s="51"/>
      <c r="E8" s="51"/>
      <c r="F8" s="51">
        <v>595</v>
      </c>
      <c r="G8" s="51"/>
      <c r="H8" s="51">
        <v>595</v>
      </c>
      <c r="I8" s="51"/>
      <c r="J8" s="51"/>
      <c r="K8" s="51"/>
      <c r="L8" s="51">
        <v>595</v>
      </c>
      <c r="M8" s="51"/>
      <c r="N8" s="51"/>
      <c r="O8" s="51"/>
      <c r="P8" s="35">
        <f t="shared" si="2"/>
        <v>1785</v>
      </c>
    </row>
    <row r="9" spans="1:16">
      <c r="A9" s="52"/>
      <c r="B9" s="52" t="s">
        <v>720</v>
      </c>
      <c r="C9" s="252" t="s">
        <v>744</v>
      </c>
      <c r="D9" s="51"/>
      <c r="E9" s="51">
        <v>595</v>
      </c>
      <c r="F9" s="51"/>
      <c r="G9" s="51"/>
      <c r="H9" s="51"/>
      <c r="I9" s="51"/>
      <c r="J9" s="51">
        <v>595</v>
      </c>
      <c r="K9" s="51"/>
      <c r="L9" s="51"/>
      <c r="M9" s="51">
        <v>595</v>
      </c>
      <c r="N9" s="51"/>
      <c r="O9" s="51">
        <v>595</v>
      </c>
      <c r="P9" s="35">
        <f t="shared" si="2"/>
        <v>2380</v>
      </c>
    </row>
    <row r="10" spans="1:16">
      <c r="A10" s="52"/>
      <c r="B10" s="52" t="s">
        <v>720</v>
      </c>
      <c r="C10" s="252" t="s">
        <v>745</v>
      </c>
      <c r="D10" s="51">
        <v>938</v>
      </c>
      <c r="E10" s="51">
        <v>938</v>
      </c>
      <c r="F10" s="51">
        <v>938</v>
      </c>
      <c r="G10" s="51">
        <v>938</v>
      </c>
      <c r="H10" s="51">
        <v>938</v>
      </c>
      <c r="I10" s="51">
        <v>938</v>
      </c>
      <c r="J10" s="51">
        <v>938</v>
      </c>
      <c r="K10" s="51">
        <v>938</v>
      </c>
      <c r="L10" s="51">
        <v>938</v>
      </c>
      <c r="M10" s="51">
        <v>938</v>
      </c>
      <c r="N10" s="51">
        <v>938</v>
      </c>
      <c r="O10" s="51">
        <v>938</v>
      </c>
      <c r="P10" s="35">
        <f t="shared" si="2"/>
        <v>11256</v>
      </c>
    </row>
    <row r="11" spans="1:16">
      <c r="A11" s="52"/>
      <c r="B11" s="52" t="s">
        <v>720</v>
      </c>
      <c r="C11" s="252" t="s">
        <v>746</v>
      </c>
      <c r="D11" s="51"/>
      <c r="E11" s="51"/>
      <c r="F11" s="51">
        <v>595</v>
      </c>
      <c r="G11" s="51"/>
      <c r="H11" s="51"/>
      <c r="I11" s="51"/>
      <c r="J11" s="51">
        <v>595</v>
      </c>
      <c r="K11" s="51"/>
      <c r="L11" s="51"/>
      <c r="M11" s="51"/>
      <c r="N11" s="51">
        <v>595</v>
      </c>
      <c r="O11" s="51"/>
      <c r="P11" s="35">
        <f t="shared" si="2"/>
        <v>1785</v>
      </c>
    </row>
    <row r="12" spans="1:16">
      <c r="A12" s="52"/>
      <c r="B12" s="52" t="s">
        <v>720</v>
      </c>
      <c r="C12" s="252" t="s">
        <v>736</v>
      </c>
      <c r="D12" s="51">
        <v>1308</v>
      </c>
      <c r="E12" s="51">
        <v>1308</v>
      </c>
      <c r="F12" s="51">
        <v>1308</v>
      </c>
      <c r="G12" s="51">
        <v>1308</v>
      </c>
      <c r="H12" s="51">
        <v>1308</v>
      </c>
      <c r="I12" s="51">
        <v>1308</v>
      </c>
      <c r="J12" s="51">
        <v>1308</v>
      </c>
      <c r="K12" s="51">
        <v>1308</v>
      </c>
      <c r="L12" s="51">
        <v>1308</v>
      </c>
      <c r="M12" s="51">
        <v>1308</v>
      </c>
      <c r="N12" s="51">
        <v>1308</v>
      </c>
      <c r="O12" s="51">
        <v>1308</v>
      </c>
      <c r="P12" s="35">
        <f t="shared" si="2"/>
        <v>15696</v>
      </c>
    </row>
    <row r="13" spans="1:16">
      <c r="A13" s="52"/>
      <c r="B13" s="52" t="s">
        <v>720</v>
      </c>
      <c r="C13" s="252" t="s">
        <v>737</v>
      </c>
      <c r="D13" s="51">
        <v>218</v>
      </c>
      <c r="E13" s="51">
        <v>218</v>
      </c>
      <c r="F13" s="51">
        <v>218</v>
      </c>
      <c r="G13" s="51">
        <v>218</v>
      </c>
      <c r="H13" s="51">
        <v>218</v>
      </c>
      <c r="I13" s="51">
        <v>218</v>
      </c>
      <c r="J13" s="51">
        <v>218</v>
      </c>
      <c r="K13" s="51">
        <v>218</v>
      </c>
      <c r="L13" s="51">
        <v>218</v>
      </c>
      <c r="M13" s="51">
        <v>218</v>
      </c>
      <c r="N13" s="51">
        <v>218</v>
      </c>
      <c r="O13" s="51">
        <v>218</v>
      </c>
      <c r="P13" s="35">
        <f t="shared" si="2"/>
        <v>2616</v>
      </c>
    </row>
    <row r="14" spans="1:16">
      <c r="A14" s="52"/>
      <c r="B14" s="52" t="s">
        <v>720</v>
      </c>
      <c r="C14" s="252" t="s">
        <v>738</v>
      </c>
      <c r="D14" s="51">
        <v>24</v>
      </c>
      <c r="E14" s="51">
        <v>24</v>
      </c>
      <c r="F14" s="51">
        <v>24</v>
      </c>
      <c r="G14" s="51">
        <v>24</v>
      </c>
      <c r="H14" s="51">
        <v>24</v>
      </c>
      <c r="I14" s="51">
        <v>24</v>
      </c>
      <c r="J14" s="51">
        <v>24</v>
      </c>
      <c r="K14" s="51">
        <v>24</v>
      </c>
      <c r="L14" s="51">
        <v>24</v>
      </c>
      <c r="M14" s="51">
        <v>24</v>
      </c>
      <c r="N14" s="51">
        <v>24</v>
      </c>
      <c r="O14" s="51">
        <v>24</v>
      </c>
      <c r="P14" s="35">
        <f t="shared" si="2"/>
        <v>288</v>
      </c>
    </row>
    <row r="15" spans="1:16">
      <c r="A15" s="52"/>
      <c r="B15" s="52" t="s">
        <v>720</v>
      </c>
      <c r="C15" s="252" t="s">
        <v>739</v>
      </c>
      <c r="D15" s="51">
        <v>18.649999999999999</v>
      </c>
      <c r="E15" s="51">
        <v>18.649999999999999</v>
      </c>
      <c r="F15" s="51">
        <v>18.649999999999999</v>
      </c>
      <c r="G15" s="51">
        <v>18.649999999999999</v>
      </c>
      <c r="H15" s="51">
        <v>18.649999999999999</v>
      </c>
      <c r="I15" s="51">
        <v>18.649999999999999</v>
      </c>
      <c r="J15" s="51">
        <v>18.649999999999999</v>
      </c>
      <c r="K15" s="51">
        <v>18.649999999999999</v>
      </c>
      <c r="L15" s="51">
        <v>18.649999999999999</v>
      </c>
      <c r="M15" s="51">
        <v>18.649999999999999</v>
      </c>
      <c r="N15" s="51">
        <v>18.649999999999999</v>
      </c>
      <c r="O15" s="51">
        <v>18.649999999999999</v>
      </c>
      <c r="P15" s="35">
        <f t="shared" si="2"/>
        <v>223.80000000000004</v>
      </c>
    </row>
    <row r="16" spans="1:16">
      <c r="A16" s="52"/>
      <c r="B16" s="52" t="s">
        <v>720</v>
      </c>
      <c r="C16" s="252" t="s">
        <v>740</v>
      </c>
      <c r="D16" s="51">
        <v>21.15</v>
      </c>
      <c r="E16" s="51">
        <v>21.15</v>
      </c>
      <c r="F16" s="51">
        <v>21.15</v>
      </c>
      <c r="G16" s="51">
        <v>21.15</v>
      </c>
      <c r="H16" s="51">
        <v>21.15</v>
      </c>
      <c r="I16" s="51">
        <v>21.15</v>
      </c>
      <c r="J16" s="51">
        <v>21.15</v>
      </c>
      <c r="K16" s="51">
        <v>21.15</v>
      </c>
      <c r="L16" s="51">
        <v>21.15</v>
      </c>
      <c r="M16" s="51">
        <v>21.15</v>
      </c>
      <c r="N16" s="51">
        <v>21.15</v>
      </c>
      <c r="O16" s="51">
        <v>21.15</v>
      </c>
      <c r="P16" s="35">
        <f t="shared" si="2"/>
        <v>253.80000000000004</v>
      </c>
    </row>
    <row r="17" spans="1:16">
      <c r="A17" s="53"/>
      <c r="B17" s="52" t="s">
        <v>720</v>
      </c>
      <c r="C17" s="252" t="s">
        <v>741</v>
      </c>
      <c r="D17" s="51">
        <v>29.5</v>
      </c>
      <c r="E17" s="51">
        <v>29.5</v>
      </c>
      <c r="F17" s="51">
        <v>29.5</v>
      </c>
      <c r="G17" s="51">
        <v>29.5</v>
      </c>
      <c r="H17" s="51">
        <v>29.5</v>
      </c>
      <c r="I17" s="51">
        <v>29.5</v>
      </c>
      <c r="J17" s="51">
        <v>29.5</v>
      </c>
      <c r="K17" s="51">
        <v>29.5</v>
      </c>
      <c r="L17" s="51">
        <v>29.5</v>
      </c>
      <c r="M17" s="51">
        <v>29.5</v>
      </c>
      <c r="N17" s="51">
        <v>29.5</v>
      </c>
      <c r="O17" s="51">
        <v>29.5</v>
      </c>
      <c r="P17" s="35">
        <f t="shared" si="2"/>
        <v>354</v>
      </c>
    </row>
    <row r="18" spans="1:16">
      <c r="A18" s="53"/>
      <c r="B18" s="52" t="s">
        <v>720</v>
      </c>
      <c r="C18" s="251" t="s">
        <v>742</v>
      </c>
      <c r="D18" s="51">
        <v>50</v>
      </c>
      <c r="E18" s="51">
        <v>50</v>
      </c>
      <c r="F18" s="51">
        <v>50</v>
      </c>
      <c r="G18" s="51">
        <v>50</v>
      </c>
      <c r="H18" s="51">
        <v>50</v>
      </c>
      <c r="I18" s="51">
        <v>50</v>
      </c>
      <c r="J18" s="51">
        <v>50</v>
      </c>
      <c r="K18" s="51">
        <v>50</v>
      </c>
      <c r="L18" s="51">
        <v>50</v>
      </c>
      <c r="M18" s="51">
        <v>50</v>
      </c>
      <c r="N18" s="51">
        <v>50</v>
      </c>
      <c r="O18" s="51">
        <v>50</v>
      </c>
      <c r="P18" s="35">
        <f t="shared" si="2"/>
        <v>600</v>
      </c>
    </row>
    <row r="20" spans="1:16" ht="15.75">
      <c r="A20" s="213"/>
      <c r="D20" s="24" t="s">
        <v>75</v>
      </c>
      <c r="E20" s="24" t="s">
        <v>76</v>
      </c>
      <c r="F20" s="24" t="s">
        <v>77</v>
      </c>
      <c r="G20" s="24" t="s">
        <v>78</v>
      </c>
      <c r="H20" s="24" t="s">
        <v>79</v>
      </c>
      <c r="I20" s="24" t="s">
        <v>80</v>
      </c>
      <c r="J20" s="24" t="s">
        <v>81</v>
      </c>
      <c r="K20" s="24" t="s">
        <v>82</v>
      </c>
      <c r="L20" s="24" t="s">
        <v>83</v>
      </c>
      <c r="M20" s="24" t="s">
        <v>84</v>
      </c>
      <c r="N20" s="24" t="s">
        <v>85</v>
      </c>
      <c r="O20" s="24" t="s">
        <v>86</v>
      </c>
      <c r="P20" s="24" t="s">
        <v>87</v>
      </c>
    </row>
    <row r="21" spans="1:16">
      <c r="A21" s="24" t="s">
        <v>99</v>
      </c>
      <c r="B21" s="28" t="s">
        <v>98</v>
      </c>
      <c r="C21" s="24" t="s">
        <v>100</v>
      </c>
      <c r="D21" s="215">
        <f t="shared" ref="D21:O21" si="3">SUM(D22:D23)</f>
        <v>0</v>
      </c>
      <c r="E21" s="215">
        <f t="shared" si="3"/>
        <v>0</v>
      </c>
      <c r="F21" s="215">
        <f t="shared" si="3"/>
        <v>0</v>
      </c>
      <c r="G21" s="215">
        <f t="shared" si="3"/>
        <v>0</v>
      </c>
      <c r="H21" s="215">
        <f t="shared" si="3"/>
        <v>0</v>
      </c>
      <c r="I21" s="215">
        <f t="shared" si="3"/>
        <v>0</v>
      </c>
      <c r="J21" s="215">
        <f t="shared" si="3"/>
        <v>0</v>
      </c>
      <c r="K21" s="215">
        <f t="shared" si="3"/>
        <v>0</v>
      </c>
      <c r="L21" s="215">
        <f t="shared" si="3"/>
        <v>0</v>
      </c>
      <c r="M21" s="215">
        <f t="shared" si="3"/>
        <v>0</v>
      </c>
      <c r="N21" s="215">
        <f t="shared" si="3"/>
        <v>0</v>
      </c>
      <c r="O21" s="215">
        <f t="shared" si="3"/>
        <v>0</v>
      </c>
      <c r="P21" s="35">
        <f t="shared" ref="P21:P23" si="4">SUM(D21:O21)</f>
        <v>0</v>
      </c>
    </row>
    <row r="22" spans="1:16" ht="25.5">
      <c r="A22" s="253" t="s">
        <v>26</v>
      </c>
      <c r="B22" s="52" t="s">
        <v>720</v>
      </c>
      <c r="C22" s="53" t="s">
        <v>747</v>
      </c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35">
        <f t="shared" si="4"/>
        <v>0</v>
      </c>
    </row>
    <row r="23" spans="1:16">
      <c r="A23" s="52"/>
      <c r="B23" s="52"/>
      <c r="C23" s="53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35">
        <f t="shared" si="4"/>
        <v>0</v>
      </c>
    </row>
    <row r="25" spans="1:16" ht="15.75">
      <c r="A25" s="213"/>
      <c r="D25" s="24" t="s">
        <v>75</v>
      </c>
      <c r="E25" s="24" t="s">
        <v>76</v>
      </c>
      <c r="F25" s="24" t="s">
        <v>77</v>
      </c>
      <c r="G25" s="24" t="s">
        <v>78</v>
      </c>
      <c r="H25" s="24" t="s">
        <v>79</v>
      </c>
      <c r="I25" s="24" t="s">
        <v>80</v>
      </c>
      <c r="J25" s="24" t="s">
        <v>81</v>
      </c>
      <c r="K25" s="24" t="s">
        <v>82</v>
      </c>
      <c r="L25" s="24" t="s">
        <v>83</v>
      </c>
      <c r="M25" s="24" t="s">
        <v>84</v>
      </c>
      <c r="N25" s="24" t="s">
        <v>85</v>
      </c>
      <c r="O25" s="24" t="s">
        <v>86</v>
      </c>
      <c r="P25" s="24" t="s">
        <v>87</v>
      </c>
    </row>
    <row r="26" spans="1:16">
      <c r="A26" s="24" t="s">
        <v>99</v>
      </c>
      <c r="B26" s="28" t="s">
        <v>98</v>
      </c>
      <c r="C26" s="24" t="s">
        <v>100</v>
      </c>
      <c r="D26" s="215">
        <f>SUM(D27:D35)</f>
        <v>560</v>
      </c>
      <c r="E26" s="215">
        <f t="shared" ref="E26" si="5">SUM(E27:E35)</f>
        <v>214.53</v>
      </c>
      <c r="F26" s="215">
        <f t="shared" ref="F26" si="6">SUM(F27:F35)</f>
        <v>0</v>
      </c>
      <c r="G26" s="215">
        <f t="shared" ref="G26" si="7">SUM(G27:G35)</f>
        <v>214.53</v>
      </c>
      <c r="H26" s="215">
        <f t="shared" ref="H26" si="8">SUM(H27:H35)</f>
        <v>0</v>
      </c>
      <c r="I26" s="215">
        <f t="shared" ref="I26" si="9">SUM(I27:I35)</f>
        <v>214.53</v>
      </c>
      <c r="J26" s="215">
        <f t="shared" ref="J26" si="10">SUM(J27:J35)</f>
        <v>0</v>
      </c>
      <c r="K26" s="215">
        <f t="shared" ref="K26" si="11">SUM(K27:K35)</f>
        <v>774.53</v>
      </c>
      <c r="L26" s="215">
        <f t="shared" ref="L26" si="12">SUM(L27:L35)</f>
        <v>0</v>
      </c>
      <c r="M26" s="215">
        <f t="shared" ref="M26" si="13">SUM(M27:M35)</f>
        <v>214.53</v>
      </c>
      <c r="N26" s="215">
        <f t="shared" ref="N26" si="14">SUM(N27:N35)</f>
        <v>0</v>
      </c>
      <c r="O26" s="215">
        <f t="shared" ref="O26" si="15">SUM(O27:O35)</f>
        <v>0</v>
      </c>
      <c r="P26" s="35">
        <f t="shared" ref="P26:P35" si="16">SUM(D26:O26)</f>
        <v>2192.65</v>
      </c>
    </row>
    <row r="27" spans="1:16" ht="25.5">
      <c r="A27" s="52" t="s">
        <v>25</v>
      </c>
      <c r="B27" s="52" t="s">
        <v>720</v>
      </c>
      <c r="C27" s="254" t="s">
        <v>748</v>
      </c>
      <c r="D27" s="51">
        <v>560</v>
      </c>
      <c r="E27" s="51"/>
      <c r="F27" s="51"/>
      <c r="G27" s="51"/>
      <c r="H27" s="51"/>
      <c r="I27" s="51"/>
      <c r="J27" s="51"/>
      <c r="K27" s="51">
        <v>560</v>
      </c>
      <c r="L27" s="51"/>
      <c r="M27" s="51"/>
      <c r="N27" s="51"/>
      <c r="O27" s="51"/>
      <c r="P27" s="35">
        <f t="shared" si="16"/>
        <v>1120</v>
      </c>
    </row>
    <row r="28" spans="1:16">
      <c r="A28" s="52"/>
      <c r="B28" s="52" t="s">
        <v>720</v>
      </c>
      <c r="C28" s="254" t="s">
        <v>749</v>
      </c>
      <c r="D28" s="51"/>
      <c r="E28" s="51">
        <v>40</v>
      </c>
      <c r="F28" s="51"/>
      <c r="G28" s="51">
        <v>40</v>
      </c>
      <c r="H28" s="51"/>
      <c r="I28" s="51">
        <v>40</v>
      </c>
      <c r="J28" s="51"/>
      <c r="K28" s="51">
        <v>40</v>
      </c>
      <c r="L28" s="51"/>
      <c r="M28" s="51">
        <v>40</v>
      </c>
      <c r="N28" s="51"/>
      <c r="O28" s="51"/>
      <c r="P28" s="35">
        <f t="shared" si="16"/>
        <v>200</v>
      </c>
    </row>
    <row r="29" spans="1:16">
      <c r="A29" s="52"/>
      <c r="B29" s="52" t="s">
        <v>720</v>
      </c>
      <c r="C29" s="255" t="s">
        <v>750</v>
      </c>
      <c r="D29" s="51"/>
      <c r="E29" s="256">
        <v>8.5</v>
      </c>
      <c r="F29" s="51"/>
      <c r="G29" s="256">
        <v>8.5</v>
      </c>
      <c r="H29" s="51"/>
      <c r="I29" s="256">
        <v>8.5</v>
      </c>
      <c r="J29" s="256"/>
      <c r="K29" s="256">
        <v>8.5</v>
      </c>
      <c r="L29" s="256"/>
      <c r="M29" s="256">
        <v>8.5</v>
      </c>
      <c r="N29" s="51"/>
      <c r="O29" s="51"/>
      <c r="P29" s="35">
        <f t="shared" si="16"/>
        <v>42.5</v>
      </c>
    </row>
    <row r="30" spans="1:16">
      <c r="A30" s="52"/>
      <c r="B30" s="52" t="s">
        <v>720</v>
      </c>
      <c r="C30" s="255" t="s">
        <v>754</v>
      </c>
      <c r="D30" s="51"/>
      <c r="E30" s="256">
        <v>56.38</v>
      </c>
      <c r="F30" s="51"/>
      <c r="G30" s="256">
        <v>56.38</v>
      </c>
      <c r="H30" s="51"/>
      <c r="I30" s="256">
        <v>56.38</v>
      </c>
      <c r="J30" s="256"/>
      <c r="K30" s="256">
        <v>56.38</v>
      </c>
      <c r="L30" s="256"/>
      <c r="M30" s="256">
        <v>56.38</v>
      </c>
      <c r="N30" s="51"/>
      <c r="O30" s="51"/>
      <c r="P30" s="35">
        <f t="shared" si="16"/>
        <v>281.90000000000003</v>
      </c>
    </row>
    <row r="31" spans="1:16" ht="25.5">
      <c r="A31" s="52"/>
      <c r="B31" s="52" t="s">
        <v>720</v>
      </c>
      <c r="C31" s="255" t="s">
        <v>753</v>
      </c>
      <c r="D31" s="51"/>
      <c r="E31" s="51">
        <v>31</v>
      </c>
      <c r="F31" s="51"/>
      <c r="G31" s="51">
        <v>31</v>
      </c>
      <c r="H31" s="51"/>
      <c r="I31" s="51">
        <v>31</v>
      </c>
      <c r="J31" s="51"/>
      <c r="K31" s="51">
        <v>31</v>
      </c>
      <c r="L31" s="51"/>
      <c r="M31" s="51">
        <v>31</v>
      </c>
      <c r="N31" s="51"/>
      <c r="O31" s="51"/>
      <c r="P31" s="35">
        <f t="shared" si="16"/>
        <v>155</v>
      </c>
    </row>
    <row r="32" spans="1:16">
      <c r="A32" s="52"/>
      <c r="B32" s="52" t="s">
        <v>720</v>
      </c>
      <c r="C32" s="255" t="s">
        <v>751</v>
      </c>
      <c r="D32" s="51"/>
      <c r="E32" s="51">
        <v>24</v>
      </c>
      <c r="F32" s="51"/>
      <c r="G32" s="51">
        <v>24</v>
      </c>
      <c r="H32" s="51"/>
      <c r="I32" s="51">
        <v>24</v>
      </c>
      <c r="J32" s="51"/>
      <c r="K32" s="51">
        <v>24</v>
      </c>
      <c r="L32" s="51"/>
      <c r="M32" s="51">
        <v>24</v>
      </c>
      <c r="N32" s="51"/>
      <c r="O32" s="51"/>
      <c r="P32" s="35">
        <f t="shared" si="16"/>
        <v>120</v>
      </c>
    </row>
    <row r="33" spans="1:16">
      <c r="A33" s="52"/>
      <c r="B33" s="52" t="s">
        <v>720</v>
      </c>
      <c r="C33" s="255" t="s">
        <v>755</v>
      </c>
      <c r="D33" s="51"/>
      <c r="E33" s="256">
        <v>35.65</v>
      </c>
      <c r="F33" s="51"/>
      <c r="G33" s="256">
        <v>35.65</v>
      </c>
      <c r="H33" s="51"/>
      <c r="I33" s="256">
        <v>35.65</v>
      </c>
      <c r="J33" s="51"/>
      <c r="K33" s="256">
        <v>35.65</v>
      </c>
      <c r="L33" s="51"/>
      <c r="M33" s="256">
        <v>35.65</v>
      </c>
      <c r="N33" s="51"/>
      <c r="O33" s="51"/>
      <c r="P33" s="35">
        <f t="shared" si="16"/>
        <v>178.25</v>
      </c>
    </row>
    <row r="34" spans="1:16">
      <c r="A34" s="53"/>
      <c r="B34" s="52" t="s">
        <v>720</v>
      </c>
      <c r="C34" s="255" t="s">
        <v>752</v>
      </c>
      <c r="D34" s="51"/>
      <c r="E34" s="51">
        <v>19</v>
      </c>
      <c r="F34" s="51"/>
      <c r="G34" s="51">
        <v>19</v>
      </c>
      <c r="H34" s="51"/>
      <c r="I34" s="51">
        <v>19</v>
      </c>
      <c r="J34" s="51"/>
      <c r="K34" s="51">
        <v>19</v>
      </c>
      <c r="L34" s="51"/>
      <c r="M34" s="51">
        <v>19</v>
      </c>
      <c r="N34" s="51"/>
      <c r="O34" s="51"/>
      <c r="P34" s="35">
        <f t="shared" si="16"/>
        <v>95</v>
      </c>
    </row>
    <row r="35" spans="1:16">
      <c r="A35" s="53"/>
      <c r="B35" s="52"/>
      <c r="C35" s="53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35">
        <f t="shared" si="16"/>
        <v>0</v>
      </c>
    </row>
    <row r="37" spans="1:16" ht="15.75">
      <c r="A37" s="213"/>
      <c r="D37" s="24" t="s">
        <v>75</v>
      </c>
      <c r="E37" s="24" t="s">
        <v>76</v>
      </c>
      <c r="F37" s="24" t="s">
        <v>77</v>
      </c>
      <c r="G37" s="24" t="s">
        <v>78</v>
      </c>
      <c r="H37" s="24" t="s">
        <v>79</v>
      </c>
      <c r="I37" s="24" t="s">
        <v>80</v>
      </c>
      <c r="J37" s="24" t="s">
        <v>81</v>
      </c>
      <c r="K37" s="24" t="s">
        <v>82</v>
      </c>
      <c r="L37" s="24" t="s">
        <v>83</v>
      </c>
      <c r="M37" s="24" t="s">
        <v>84</v>
      </c>
      <c r="N37" s="24" t="s">
        <v>85</v>
      </c>
      <c r="O37" s="24" t="s">
        <v>86</v>
      </c>
      <c r="P37" s="24" t="s">
        <v>87</v>
      </c>
    </row>
    <row r="38" spans="1:16">
      <c r="A38" s="24" t="s">
        <v>99</v>
      </c>
      <c r="B38" s="28" t="s">
        <v>98</v>
      </c>
      <c r="C38" s="24" t="s">
        <v>100</v>
      </c>
      <c r="D38" s="215">
        <f t="shared" ref="D38:O38" si="17">SUM(D39:D40)</f>
        <v>0</v>
      </c>
      <c r="E38" s="215">
        <f t="shared" si="17"/>
        <v>3308</v>
      </c>
      <c r="F38" s="215">
        <f t="shared" si="17"/>
        <v>0</v>
      </c>
      <c r="G38" s="215">
        <f t="shared" si="17"/>
        <v>0</v>
      </c>
      <c r="H38" s="215">
        <f t="shared" si="17"/>
        <v>0</v>
      </c>
      <c r="I38" s="215">
        <f t="shared" si="17"/>
        <v>0</v>
      </c>
      <c r="J38" s="215">
        <f t="shared" si="17"/>
        <v>0</v>
      </c>
      <c r="K38" s="215">
        <f t="shared" si="17"/>
        <v>0</v>
      </c>
      <c r="L38" s="215">
        <f t="shared" si="17"/>
        <v>0</v>
      </c>
      <c r="M38" s="215">
        <f t="shared" si="17"/>
        <v>0</v>
      </c>
      <c r="N38" s="215">
        <f t="shared" si="17"/>
        <v>0</v>
      </c>
      <c r="O38" s="215">
        <f t="shared" si="17"/>
        <v>0</v>
      </c>
      <c r="P38" s="35">
        <f t="shared" ref="P38:P40" si="18">SUM(D38:O38)</f>
        <v>3308</v>
      </c>
    </row>
    <row r="39" spans="1:16" ht="25.5">
      <c r="A39" s="52" t="s">
        <v>24</v>
      </c>
      <c r="B39" s="52" t="s">
        <v>720</v>
      </c>
      <c r="C39" s="254" t="s">
        <v>756</v>
      </c>
      <c r="D39" s="51"/>
      <c r="E39" s="51">
        <v>3308</v>
      </c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35">
        <f t="shared" si="18"/>
        <v>3308</v>
      </c>
    </row>
    <row r="40" spans="1:16">
      <c r="A40" s="52"/>
      <c r="B40" s="52"/>
      <c r="C40" s="53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35">
        <f t="shared" si="18"/>
        <v>0</v>
      </c>
    </row>
    <row r="42" spans="1:16" ht="15.75">
      <c r="A42" s="213"/>
      <c r="D42" s="24" t="s">
        <v>75</v>
      </c>
      <c r="E42" s="24" t="s">
        <v>76</v>
      </c>
      <c r="F42" s="24" t="s">
        <v>77</v>
      </c>
      <c r="G42" s="24" t="s">
        <v>78</v>
      </c>
      <c r="H42" s="24" t="s">
        <v>79</v>
      </c>
      <c r="I42" s="24" t="s">
        <v>80</v>
      </c>
      <c r="J42" s="24" t="s">
        <v>81</v>
      </c>
      <c r="K42" s="24" t="s">
        <v>82</v>
      </c>
      <c r="L42" s="24" t="s">
        <v>83</v>
      </c>
      <c r="M42" s="24" t="s">
        <v>84</v>
      </c>
      <c r="N42" s="24" t="s">
        <v>85</v>
      </c>
      <c r="O42" s="24" t="s">
        <v>86</v>
      </c>
      <c r="P42" s="24" t="s">
        <v>87</v>
      </c>
    </row>
    <row r="43" spans="1:16">
      <c r="A43" s="24" t="s">
        <v>99</v>
      </c>
      <c r="B43" s="28" t="s">
        <v>98</v>
      </c>
      <c r="C43" s="24" t="s">
        <v>100</v>
      </c>
      <c r="D43" s="215">
        <f>SUM(D44:D48)</f>
        <v>572.9</v>
      </c>
      <c r="E43" s="215">
        <f t="shared" ref="E43" si="19">SUM(E44:E48)</f>
        <v>572.9</v>
      </c>
      <c r="F43" s="215">
        <f t="shared" ref="F43" si="20">SUM(F44:F48)</f>
        <v>572.9</v>
      </c>
      <c r="G43" s="215">
        <f t="shared" ref="G43" si="21">SUM(G44:G48)</f>
        <v>572.9</v>
      </c>
      <c r="H43" s="215">
        <f t="shared" ref="H43" si="22">SUM(H44:H48)</f>
        <v>572.9</v>
      </c>
      <c r="I43" s="215">
        <f t="shared" ref="I43" si="23">SUM(I44:I48)</f>
        <v>572.9</v>
      </c>
      <c r="J43" s="215">
        <f t="shared" ref="J43" si="24">SUM(J44:J48)</f>
        <v>572.9</v>
      </c>
      <c r="K43" s="215">
        <f t="shared" ref="K43" si="25">SUM(K44:K48)</f>
        <v>572.9</v>
      </c>
      <c r="L43" s="215">
        <f t="shared" ref="L43" si="26">SUM(L44:L48)</f>
        <v>572.9</v>
      </c>
      <c r="M43" s="215">
        <f t="shared" ref="M43" si="27">SUM(M44:M48)</f>
        <v>572.9</v>
      </c>
      <c r="N43" s="215">
        <f t="shared" ref="N43" si="28">SUM(N44:N48)</f>
        <v>572.9</v>
      </c>
      <c r="O43" s="215">
        <f t="shared" ref="O43" si="29">SUM(O44:O48)</f>
        <v>572.9</v>
      </c>
      <c r="P43" s="35">
        <f t="shared" ref="P43:P48" si="30">SUM(D43:O43)</f>
        <v>6874.7999999999984</v>
      </c>
    </row>
    <row r="44" spans="1:16" ht="25.5">
      <c r="A44" s="52" t="s">
        <v>23</v>
      </c>
      <c r="B44" s="52" t="s">
        <v>720</v>
      </c>
      <c r="C44" s="255" t="s">
        <v>757</v>
      </c>
      <c r="D44" s="51">
        <v>210</v>
      </c>
      <c r="E44" s="51">
        <v>210</v>
      </c>
      <c r="F44" s="51">
        <v>210</v>
      </c>
      <c r="G44" s="51">
        <v>210</v>
      </c>
      <c r="H44" s="51">
        <v>210</v>
      </c>
      <c r="I44" s="51">
        <v>210</v>
      </c>
      <c r="J44" s="51">
        <v>210</v>
      </c>
      <c r="K44" s="51">
        <v>210</v>
      </c>
      <c r="L44" s="51">
        <v>210</v>
      </c>
      <c r="M44" s="51">
        <v>210</v>
      </c>
      <c r="N44" s="51">
        <v>210</v>
      </c>
      <c r="O44" s="51">
        <v>210</v>
      </c>
      <c r="P44" s="35">
        <f t="shared" si="30"/>
        <v>2520</v>
      </c>
    </row>
    <row r="45" spans="1:16">
      <c r="A45" s="52"/>
      <c r="B45" s="52" t="s">
        <v>720</v>
      </c>
      <c r="C45" s="255" t="s">
        <v>758</v>
      </c>
      <c r="D45" s="51">
        <v>31.7</v>
      </c>
      <c r="E45" s="51">
        <v>31.7</v>
      </c>
      <c r="F45" s="51">
        <v>31.7</v>
      </c>
      <c r="G45" s="51">
        <v>31.7</v>
      </c>
      <c r="H45" s="51">
        <v>31.7</v>
      </c>
      <c r="I45" s="51">
        <v>31.7</v>
      </c>
      <c r="J45" s="51">
        <v>31.7</v>
      </c>
      <c r="K45" s="51">
        <v>31.7</v>
      </c>
      <c r="L45" s="51">
        <v>31.7</v>
      </c>
      <c r="M45" s="51">
        <v>31.7</v>
      </c>
      <c r="N45" s="51">
        <v>31.7</v>
      </c>
      <c r="O45" s="51">
        <v>31.7</v>
      </c>
      <c r="P45" s="35">
        <f t="shared" si="30"/>
        <v>380.39999999999992</v>
      </c>
    </row>
    <row r="46" spans="1:16">
      <c r="A46" s="53"/>
      <c r="B46" s="52" t="s">
        <v>720</v>
      </c>
      <c r="C46" s="255" t="s">
        <v>759</v>
      </c>
      <c r="D46" s="51">
        <v>20.9</v>
      </c>
      <c r="E46" s="51">
        <v>20.9</v>
      </c>
      <c r="F46" s="51">
        <v>20.9</v>
      </c>
      <c r="G46" s="51">
        <v>20.9</v>
      </c>
      <c r="H46" s="51">
        <v>20.9</v>
      </c>
      <c r="I46" s="51">
        <v>20.9</v>
      </c>
      <c r="J46" s="51">
        <v>20.9</v>
      </c>
      <c r="K46" s="51">
        <v>20.9</v>
      </c>
      <c r="L46" s="51">
        <v>20.9</v>
      </c>
      <c r="M46" s="51">
        <v>20.9</v>
      </c>
      <c r="N46" s="51">
        <v>20.9</v>
      </c>
      <c r="O46" s="51">
        <v>20.9</v>
      </c>
      <c r="P46" s="35">
        <f t="shared" si="30"/>
        <v>250.80000000000004</v>
      </c>
    </row>
    <row r="47" spans="1:16">
      <c r="A47" s="53"/>
      <c r="B47" s="52" t="s">
        <v>720</v>
      </c>
      <c r="C47" s="53" t="s">
        <v>782</v>
      </c>
      <c r="D47" s="51">
        <v>10.3</v>
      </c>
      <c r="E47" s="51">
        <v>10.3</v>
      </c>
      <c r="F47" s="51">
        <v>10.3</v>
      </c>
      <c r="G47" s="51">
        <v>10.3</v>
      </c>
      <c r="H47" s="51">
        <v>10.3</v>
      </c>
      <c r="I47" s="51">
        <v>10.3</v>
      </c>
      <c r="J47" s="51">
        <v>10.3</v>
      </c>
      <c r="K47" s="51">
        <v>10.3</v>
      </c>
      <c r="L47" s="51">
        <v>10.3</v>
      </c>
      <c r="M47" s="51">
        <v>10.3</v>
      </c>
      <c r="N47" s="51">
        <v>10.3</v>
      </c>
      <c r="O47" s="51">
        <v>10.3</v>
      </c>
      <c r="P47" s="35">
        <f t="shared" si="30"/>
        <v>123.59999999999998</v>
      </c>
    </row>
    <row r="48" spans="1:16">
      <c r="A48" s="53"/>
      <c r="B48" s="52" t="s">
        <v>720</v>
      </c>
      <c r="C48" s="53" t="s">
        <v>794</v>
      </c>
      <c r="D48" s="51">
        <v>300</v>
      </c>
      <c r="E48" s="51">
        <v>300</v>
      </c>
      <c r="F48" s="51">
        <v>300</v>
      </c>
      <c r="G48" s="51">
        <v>300</v>
      </c>
      <c r="H48" s="51">
        <v>300</v>
      </c>
      <c r="I48" s="51">
        <v>300</v>
      </c>
      <c r="J48" s="51">
        <v>300</v>
      </c>
      <c r="K48" s="51">
        <v>300</v>
      </c>
      <c r="L48" s="51">
        <v>300</v>
      </c>
      <c r="M48" s="51">
        <v>300</v>
      </c>
      <c r="N48" s="51">
        <v>300</v>
      </c>
      <c r="O48" s="51">
        <v>300</v>
      </c>
      <c r="P48" s="35">
        <f t="shared" si="30"/>
        <v>3600</v>
      </c>
    </row>
    <row r="50" spans="1:16" ht="15.75">
      <c r="A50" s="213"/>
      <c r="D50" s="24" t="s">
        <v>75</v>
      </c>
      <c r="E50" s="24" t="s">
        <v>76</v>
      </c>
      <c r="F50" s="24" t="s">
        <v>77</v>
      </c>
      <c r="G50" s="24" t="s">
        <v>78</v>
      </c>
      <c r="H50" s="24" t="s">
        <v>79</v>
      </c>
      <c r="I50" s="24" t="s">
        <v>80</v>
      </c>
      <c r="J50" s="24" t="s">
        <v>81</v>
      </c>
      <c r="K50" s="24" t="s">
        <v>82</v>
      </c>
      <c r="L50" s="24" t="s">
        <v>83</v>
      </c>
      <c r="M50" s="24" t="s">
        <v>84</v>
      </c>
      <c r="N50" s="24" t="s">
        <v>85</v>
      </c>
      <c r="O50" s="24" t="s">
        <v>86</v>
      </c>
      <c r="P50" s="24" t="s">
        <v>87</v>
      </c>
    </row>
    <row r="51" spans="1:16">
      <c r="A51" s="24" t="s">
        <v>99</v>
      </c>
      <c r="B51" s="28" t="s">
        <v>98</v>
      </c>
      <c r="C51" s="24" t="s">
        <v>100</v>
      </c>
      <c r="D51" s="215">
        <f t="shared" ref="D51:O51" si="31">SUM(D52:D53)</f>
        <v>0</v>
      </c>
      <c r="E51" s="215">
        <f t="shared" si="31"/>
        <v>0</v>
      </c>
      <c r="F51" s="215">
        <f t="shared" si="31"/>
        <v>0</v>
      </c>
      <c r="G51" s="215">
        <f t="shared" si="31"/>
        <v>0</v>
      </c>
      <c r="H51" s="215">
        <f t="shared" si="31"/>
        <v>0</v>
      </c>
      <c r="I51" s="215">
        <f t="shared" si="31"/>
        <v>0</v>
      </c>
      <c r="J51" s="215">
        <f t="shared" si="31"/>
        <v>0</v>
      </c>
      <c r="K51" s="215">
        <f t="shared" si="31"/>
        <v>0</v>
      </c>
      <c r="L51" s="215">
        <f t="shared" si="31"/>
        <v>0</v>
      </c>
      <c r="M51" s="215">
        <f t="shared" si="31"/>
        <v>0</v>
      </c>
      <c r="N51" s="215">
        <f t="shared" si="31"/>
        <v>0</v>
      </c>
      <c r="O51" s="215">
        <f t="shared" si="31"/>
        <v>0</v>
      </c>
      <c r="P51" s="35">
        <f t="shared" ref="P51:P53" si="32">SUM(D51:O51)</f>
        <v>0</v>
      </c>
    </row>
    <row r="52" spans="1:16" ht="25.5">
      <c r="A52" s="52" t="s">
        <v>21</v>
      </c>
      <c r="B52" s="52"/>
      <c r="C52" s="255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35">
        <f t="shared" si="32"/>
        <v>0</v>
      </c>
    </row>
    <row r="53" spans="1:16">
      <c r="A53" s="52"/>
      <c r="B53" s="52"/>
      <c r="C53" s="53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35">
        <f t="shared" si="32"/>
        <v>0</v>
      </c>
    </row>
    <row r="55" spans="1:16" ht="15.75">
      <c r="A55" s="213"/>
      <c r="D55" s="24" t="s">
        <v>75</v>
      </c>
      <c r="E55" s="24" t="s">
        <v>76</v>
      </c>
      <c r="F55" s="24" t="s">
        <v>77</v>
      </c>
      <c r="G55" s="24" t="s">
        <v>78</v>
      </c>
      <c r="H55" s="24" t="s">
        <v>79</v>
      </c>
      <c r="I55" s="24" t="s">
        <v>80</v>
      </c>
      <c r="J55" s="24" t="s">
        <v>81</v>
      </c>
      <c r="K55" s="24" t="s">
        <v>82</v>
      </c>
      <c r="L55" s="24" t="s">
        <v>83</v>
      </c>
      <c r="M55" s="24" t="s">
        <v>84</v>
      </c>
      <c r="N55" s="24" t="s">
        <v>85</v>
      </c>
      <c r="O55" s="24" t="s">
        <v>86</v>
      </c>
      <c r="P55" s="24" t="s">
        <v>87</v>
      </c>
    </row>
    <row r="56" spans="1:16">
      <c r="A56" s="24" t="s">
        <v>99</v>
      </c>
      <c r="B56" s="28" t="s">
        <v>98</v>
      </c>
      <c r="C56" s="24" t="s">
        <v>100</v>
      </c>
      <c r="D56" s="215">
        <f t="shared" ref="D56:O56" si="33">SUM(D57:D58)</f>
        <v>100</v>
      </c>
      <c r="E56" s="215">
        <f t="shared" si="33"/>
        <v>100</v>
      </c>
      <c r="F56" s="215">
        <f t="shared" si="33"/>
        <v>100</v>
      </c>
      <c r="G56" s="215">
        <f t="shared" si="33"/>
        <v>100</v>
      </c>
      <c r="H56" s="215">
        <f t="shared" si="33"/>
        <v>100</v>
      </c>
      <c r="I56" s="215">
        <f t="shared" si="33"/>
        <v>100</v>
      </c>
      <c r="J56" s="215">
        <f t="shared" si="33"/>
        <v>100</v>
      </c>
      <c r="K56" s="215">
        <f t="shared" si="33"/>
        <v>100</v>
      </c>
      <c r="L56" s="215">
        <f t="shared" si="33"/>
        <v>100</v>
      </c>
      <c r="M56" s="215">
        <f t="shared" si="33"/>
        <v>100</v>
      </c>
      <c r="N56" s="215">
        <f t="shared" si="33"/>
        <v>100</v>
      </c>
      <c r="O56" s="215">
        <f t="shared" si="33"/>
        <v>100</v>
      </c>
      <c r="P56" s="35">
        <f t="shared" ref="P56:P58" si="34">SUM(D56:O56)</f>
        <v>1200</v>
      </c>
    </row>
    <row r="57" spans="1:16" ht="25.5">
      <c r="A57" s="52" t="s">
        <v>113</v>
      </c>
      <c r="B57" s="52"/>
      <c r="C57" s="53" t="s">
        <v>813</v>
      </c>
      <c r="D57" s="270">
        <v>100</v>
      </c>
      <c r="E57" s="270">
        <v>100</v>
      </c>
      <c r="F57" s="270">
        <v>100</v>
      </c>
      <c r="G57" s="270">
        <v>100</v>
      </c>
      <c r="H57" s="270">
        <v>100</v>
      </c>
      <c r="I57" s="270">
        <v>100</v>
      </c>
      <c r="J57" s="270">
        <v>100</v>
      </c>
      <c r="K57" s="270">
        <v>100</v>
      </c>
      <c r="L57" s="270">
        <v>100</v>
      </c>
      <c r="M57" s="270">
        <v>100</v>
      </c>
      <c r="N57" s="270">
        <v>100</v>
      </c>
      <c r="O57" s="270">
        <v>100</v>
      </c>
      <c r="P57" s="35">
        <f t="shared" si="34"/>
        <v>1200</v>
      </c>
    </row>
    <row r="58" spans="1:16">
      <c r="A58" s="52"/>
      <c r="B58" s="52"/>
      <c r="C58" s="53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35">
        <f t="shared" si="34"/>
        <v>0</v>
      </c>
    </row>
    <row r="60" spans="1:16" ht="15.75">
      <c r="A60" s="213"/>
      <c r="D60" s="24" t="s">
        <v>75</v>
      </c>
      <c r="E60" s="24" t="s">
        <v>76</v>
      </c>
      <c r="F60" s="24" t="s">
        <v>77</v>
      </c>
      <c r="G60" s="24" t="s">
        <v>78</v>
      </c>
      <c r="H60" s="24" t="s">
        <v>79</v>
      </c>
      <c r="I60" s="24" t="s">
        <v>80</v>
      </c>
      <c r="J60" s="24" t="s">
        <v>81</v>
      </c>
      <c r="K60" s="24" t="s">
        <v>82</v>
      </c>
      <c r="L60" s="24" t="s">
        <v>83</v>
      </c>
      <c r="M60" s="24" t="s">
        <v>84</v>
      </c>
      <c r="N60" s="24" t="s">
        <v>85</v>
      </c>
      <c r="O60" s="24" t="s">
        <v>86</v>
      </c>
      <c r="P60" s="24" t="s">
        <v>87</v>
      </c>
    </row>
    <row r="61" spans="1:16">
      <c r="A61" s="24" t="s">
        <v>99</v>
      </c>
      <c r="B61" s="28" t="s">
        <v>98</v>
      </c>
      <c r="C61" s="24" t="s">
        <v>100</v>
      </c>
      <c r="D61" s="215">
        <f t="shared" ref="D61:O61" si="35">SUM(D62:D63)</f>
        <v>300</v>
      </c>
      <c r="E61" s="215">
        <f t="shared" si="35"/>
        <v>300</v>
      </c>
      <c r="F61" s="215">
        <f t="shared" si="35"/>
        <v>300</v>
      </c>
      <c r="G61" s="215">
        <f t="shared" si="35"/>
        <v>300</v>
      </c>
      <c r="H61" s="215">
        <f t="shared" si="35"/>
        <v>300</v>
      </c>
      <c r="I61" s="215">
        <f t="shared" si="35"/>
        <v>300</v>
      </c>
      <c r="J61" s="215">
        <f t="shared" si="35"/>
        <v>300</v>
      </c>
      <c r="K61" s="215">
        <f t="shared" si="35"/>
        <v>300</v>
      </c>
      <c r="L61" s="215">
        <f t="shared" si="35"/>
        <v>300</v>
      </c>
      <c r="M61" s="215">
        <f t="shared" si="35"/>
        <v>300</v>
      </c>
      <c r="N61" s="215">
        <f t="shared" si="35"/>
        <v>300</v>
      </c>
      <c r="O61" s="215">
        <f t="shared" si="35"/>
        <v>300</v>
      </c>
      <c r="P61" s="35">
        <f t="shared" ref="P61:P63" si="36">SUM(D61:O61)</f>
        <v>3600</v>
      </c>
    </row>
    <row r="62" spans="1:16" ht="25.5">
      <c r="A62" s="52" t="s">
        <v>15</v>
      </c>
      <c r="B62" s="52" t="s">
        <v>720</v>
      </c>
      <c r="C62" s="254" t="s">
        <v>760</v>
      </c>
      <c r="D62" s="51"/>
      <c r="E62" s="51"/>
      <c r="F62" s="51"/>
      <c r="G62" s="51"/>
      <c r="H62" s="51">
        <v>300</v>
      </c>
      <c r="I62" s="51"/>
      <c r="J62" s="51"/>
      <c r="K62" s="51"/>
      <c r="L62" s="51">
        <v>300</v>
      </c>
      <c r="M62" s="51"/>
      <c r="N62" s="51"/>
      <c r="O62" s="51"/>
      <c r="P62" s="35">
        <f t="shared" si="36"/>
        <v>600</v>
      </c>
    </row>
    <row r="63" spans="1:16" ht="12.75" customHeight="1">
      <c r="A63" s="52"/>
      <c r="B63" s="52"/>
      <c r="C63" s="53" t="s">
        <v>796</v>
      </c>
      <c r="D63" s="51">
        <v>300</v>
      </c>
      <c r="E63" s="51">
        <v>300</v>
      </c>
      <c r="F63" s="51">
        <v>300</v>
      </c>
      <c r="G63" s="51">
        <v>300</v>
      </c>
      <c r="H63" s="51"/>
      <c r="I63" s="51">
        <v>300</v>
      </c>
      <c r="J63" s="51">
        <v>300</v>
      </c>
      <c r="K63" s="51">
        <v>300</v>
      </c>
      <c r="L63" s="51"/>
      <c r="M63" s="51">
        <v>300</v>
      </c>
      <c r="N63" s="51">
        <v>300</v>
      </c>
      <c r="O63" s="51">
        <v>300</v>
      </c>
      <c r="P63" s="35">
        <f t="shared" si="36"/>
        <v>3000</v>
      </c>
    </row>
    <row r="65" spans="1:16" ht="15.75">
      <c r="A65" s="213"/>
      <c r="D65" s="24" t="s">
        <v>75</v>
      </c>
      <c r="E65" s="24" t="s">
        <v>76</v>
      </c>
      <c r="F65" s="24" t="s">
        <v>77</v>
      </c>
      <c r="G65" s="24" t="s">
        <v>78</v>
      </c>
      <c r="H65" s="24" t="s">
        <v>79</v>
      </c>
      <c r="I65" s="24" t="s">
        <v>80</v>
      </c>
      <c r="J65" s="24" t="s">
        <v>81</v>
      </c>
      <c r="K65" s="24" t="s">
        <v>82</v>
      </c>
      <c r="L65" s="24" t="s">
        <v>83</v>
      </c>
      <c r="M65" s="24" t="s">
        <v>84</v>
      </c>
      <c r="N65" s="24" t="s">
        <v>85</v>
      </c>
      <c r="O65" s="24" t="s">
        <v>86</v>
      </c>
      <c r="P65" s="24" t="s">
        <v>87</v>
      </c>
    </row>
    <row r="66" spans="1:16">
      <c r="A66" s="24" t="s">
        <v>99</v>
      </c>
      <c r="B66" s="28" t="s">
        <v>98</v>
      </c>
      <c r="C66" s="24" t="s">
        <v>100</v>
      </c>
      <c r="D66" s="215">
        <f t="shared" ref="D66:O66" si="37">SUM(D67:D69)</f>
        <v>1000</v>
      </c>
      <c r="E66" s="215">
        <f t="shared" si="37"/>
        <v>1000</v>
      </c>
      <c r="F66" s="215">
        <f t="shared" si="37"/>
        <v>1000</v>
      </c>
      <c r="G66" s="215">
        <f t="shared" si="37"/>
        <v>1000</v>
      </c>
      <c r="H66" s="215">
        <f t="shared" si="37"/>
        <v>1000</v>
      </c>
      <c r="I66" s="215">
        <f t="shared" si="37"/>
        <v>1000</v>
      </c>
      <c r="J66" s="215">
        <f t="shared" si="37"/>
        <v>1000</v>
      </c>
      <c r="K66" s="215">
        <f t="shared" si="37"/>
        <v>1000</v>
      </c>
      <c r="L66" s="215">
        <f t="shared" si="37"/>
        <v>1000</v>
      </c>
      <c r="M66" s="215">
        <f t="shared" si="37"/>
        <v>1000</v>
      </c>
      <c r="N66" s="215">
        <f t="shared" si="37"/>
        <v>1000</v>
      </c>
      <c r="O66" s="215">
        <f t="shared" si="37"/>
        <v>1000</v>
      </c>
      <c r="P66" s="35">
        <f t="shared" ref="P66:P69" si="38">SUM(D66:O66)</f>
        <v>12000</v>
      </c>
    </row>
    <row r="67" spans="1:16" ht="25.5">
      <c r="A67" s="52" t="s">
        <v>14</v>
      </c>
      <c r="B67" s="52" t="s">
        <v>720</v>
      </c>
      <c r="C67" s="254" t="s">
        <v>761</v>
      </c>
      <c r="D67" s="51"/>
      <c r="E67" s="51">
        <v>400</v>
      </c>
      <c r="F67" s="51"/>
      <c r="G67" s="51"/>
      <c r="H67" s="51">
        <v>400</v>
      </c>
      <c r="I67" s="51"/>
      <c r="J67" s="51"/>
      <c r="K67" s="51"/>
      <c r="L67" s="51">
        <v>400</v>
      </c>
      <c r="M67" s="51"/>
      <c r="N67" s="51"/>
      <c r="O67" s="51"/>
      <c r="P67" s="35">
        <f t="shared" si="38"/>
        <v>1200</v>
      </c>
    </row>
    <row r="68" spans="1:16">
      <c r="A68" s="52"/>
      <c r="B68" s="52" t="s">
        <v>720</v>
      </c>
      <c r="C68" s="254" t="s">
        <v>762</v>
      </c>
      <c r="D68" s="51">
        <v>1000</v>
      </c>
      <c r="E68" s="51">
        <v>600</v>
      </c>
      <c r="F68" s="51">
        <v>1000</v>
      </c>
      <c r="G68" s="51">
        <v>1000</v>
      </c>
      <c r="H68" s="51">
        <v>600</v>
      </c>
      <c r="I68" s="51">
        <v>1000</v>
      </c>
      <c r="J68" s="51">
        <v>1000</v>
      </c>
      <c r="K68" s="51">
        <v>1000</v>
      </c>
      <c r="L68" s="51">
        <v>600</v>
      </c>
      <c r="M68" s="51">
        <v>1000</v>
      </c>
      <c r="N68" s="51">
        <v>1000</v>
      </c>
      <c r="O68" s="51">
        <v>1000</v>
      </c>
      <c r="P68" s="35">
        <f t="shared" si="38"/>
        <v>10800</v>
      </c>
    </row>
    <row r="69" spans="1:16">
      <c r="A69" s="53"/>
      <c r="B69" s="52"/>
      <c r="C69" s="53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35">
        <f t="shared" si="38"/>
        <v>0</v>
      </c>
    </row>
    <row r="71" spans="1:16" ht="15.75">
      <c r="A71" s="213"/>
      <c r="D71" s="24" t="s">
        <v>75</v>
      </c>
      <c r="E71" s="24" t="s">
        <v>76</v>
      </c>
      <c r="F71" s="24" t="s">
        <v>77</v>
      </c>
      <c r="G71" s="24" t="s">
        <v>78</v>
      </c>
      <c r="H71" s="24" t="s">
        <v>79</v>
      </c>
      <c r="I71" s="24" t="s">
        <v>80</v>
      </c>
      <c r="J71" s="24" t="s">
        <v>81</v>
      </c>
      <c r="K71" s="24" t="s">
        <v>82</v>
      </c>
      <c r="L71" s="24" t="s">
        <v>83</v>
      </c>
      <c r="M71" s="24" t="s">
        <v>84</v>
      </c>
      <c r="N71" s="24" t="s">
        <v>85</v>
      </c>
      <c r="O71" s="24" t="s">
        <v>86</v>
      </c>
      <c r="P71" s="24" t="s">
        <v>87</v>
      </c>
    </row>
    <row r="72" spans="1:16">
      <c r="A72" s="24" t="s">
        <v>99</v>
      </c>
      <c r="B72" s="28" t="s">
        <v>98</v>
      </c>
      <c r="C72" s="24" t="s">
        <v>100</v>
      </c>
      <c r="D72" s="215">
        <f>SUM(D73:D82)</f>
        <v>19800</v>
      </c>
      <c r="E72" s="215">
        <f t="shared" ref="E72:O72" si="39">SUM(E73:E82)</f>
        <v>22691</v>
      </c>
      <c r="F72" s="215">
        <f t="shared" si="39"/>
        <v>20900</v>
      </c>
      <c r="G72" s="215">
        <f t="shared" si="39"/>
        <v>0</v>
      </c>
      <c r="H72" s="215">
        <f t="shared" si="39"/>
        <v>0</v>
      </c>
      <c r="I72" s="215">
        <f t="shared" si="39"/>
        <v>0</v>
      </c>
      <c r="J72" s="215">
        <f t="shared" si="39"/>
        <v>270</v>
      </c>
      <c r="K72" s="215">
        <f t="shared" si="39"/>
        <v>0</v>
      </c>
      <c r="L72" s="215">
        <f t="shared" si="39"/>
        <v>0</v>
      </c>
      <c r="M72" s="215">
        <f t="shared" si="39"/>
        <v>0</v>
      </c>
      <c r="N72" s="215">
        <f t="shared" si="39"/>
        <v>0</v>
      </c>
      <c r="O72" s="215">
        <f t="shared" si="39"/>
        <v>0</v>
      </c>
      <c r="P72" s="35">
        <f t="shared" ref="P72:P82" si="40">SUM(D72:O72)</f>
        <v>63661</v>
      </c>
    </row>
    <row r="73" spans="1:16" ht="25.5">
      <c r="A73" s="52" t="s">
        <v>30</v>
      </c>
      <c r="B73" s="52" t="s">
        <v>720</v>
      </c>
      <c r="C73" s="53" t="s">
        <v>784</v>
      </c>
      <c r="D73" s="51"/>
      <c r="E73" s="51"/>
      <c r="F73" s="51"/>
      <c r="G73" s="51"/>
      <c r="H73" s="51"/>
      <c r="I73" s="51"/>
      <c r="J73" s="51">
        <v>270</v>
      </c>
      <c r="K73" s="51"/>
      <c r="L73" s="51"/>
      <c r="M73" s="51"/>
      <c r="N73" s="51"/>
      <c r="O73" s="51"/>
      <c r="P73" s="35">
        <f t="shared" si="40"/>
        <v>270</v>
      </c>
    </row>
    <row r="74" spans="1:16">
      <c r="A74" s="52"/>
      <c r="B74" s="52"/>
      <c r="C74" s="53" t="s">
        <v>797</v>
      </c>
      <c r="D74" s="51"/>
      <c r="E74" s="51">
        <v>1196</v>
      </c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35">
        <f t="shared" si="40"/>
        <v>1196</v>
      </c>
    </row>
    <row r="75" spans="1:16">
      <c r="A75" s="52"/>
      <c r="B75" s="52"/>
      <c r="C75" s="53" t="s">
        <v>798</v>
      </c>
      <c r="D75" s="51">
        <v>19800</v>
      </c>
      <c r="E75" s="51">
        <v>19800</v>
      </c>
      <c r="F75" s="51">
        <v>20900</v>
      </c>
      <c r="G75" s="51"/>
      <c r="H75" s="51"/>
      <c r="I75" s="51"/>
      <c r="J75" s="51"/>
      <c r="K75" s="51"/>
      <c r="L75" s="51"/>
      <c r="M75" s="51"/>
      <c r="N75" s="51"/>
      <c r="O75" s="51"/>
      <c r="P75" s="35">
        <f t="shared" si="40"/>
        <v>60500</v>
      </c>
    </row>
    <row r="76" spans="1:16" ht="25.5">
      <c r="A76" s="52"/>
      <c r="B76" s="52"/>
      <c r="C76" s="53" t="s">
        <v>799</v>
      </c>
      <c r="D76" s="51"/>
      <c r="E76" s="51">
        <v>577</v>
      </c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35">
        <f t="shared" si="40"/>
        <v>577</v>
      </c>
    </row>
    <row r="77" spans="1:16">
      <c r="A77" s="52"/>
      <c r="B77" s="52"/>
      <c r="C77" s="53" t="s">
        <v>800</v>
      </c>
      <c r="D77" s="51"/>
      <c r="E77" s="51">
        <v>540</v>
      </c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35">
        <f t="shared" si="40"/>
        <v>540</v>
      </c>
    </row>
    <row r="78" spans="1:16">
      <c r="A78" s="52"/>
      <c r="B78" s="52"/>
      <c r="C78" s="53" t="s">
        <v>801</v>
      </c>
      <c r="D78" s="51"/>
      <c r="E78" s="51">
        <v>109</v>
      </c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35">
        <f t="shared" si="40"/>
        <v>109</v>
      </c>
    </row>
    <row r="79" spans="1:16">
      <c r="A79" s="52"/>
      <c r="B79" s="52"/>
      <c r="C79" s="52" t="s">
        <v>802</v>
      </c>
      <c r="D79" s="51"/>
      <c r="E79" s="51">
        <v>469</v>
      </c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35">
        <f t="shared" si="40"/>
        <v>469</v>
      </c>
    </row>
    <row r="80" spans="1:16">
      <c r="A80" s="52"/>
      <c r="B80" s="52"/>
      <c r="C80" s="53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35">
        <f t="shared" si="40"/>
        <v>0</v>
      </c>
    </row>
    <row r="81" spans="1:16">
      <c r="A81" s="53"/>
      <c r="B81" s="52"/>
      <c r="C81" s="53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35">
        <f t="shared" si="40"/>
        <v>0</v>
      </c>
    </row>
    <row r="82" spans="1:16">
      <c r="A82" s="53"/>
      <c r="B82" s="52"/>
      <c r="C82" s="53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35">
        <f t="shared" si="40"/>
        <v>0</v>
      </c>
    </row>
    <row r="84" spans="1:16" ht="15.75">
      <c r="A84" s="213"/>
      <c r="D84" s="24" t="s">
        <v>75</v>
      </c>
      <c r="E84" s="24" t="s">
        <v>76</v>
      </c>
      <c r="F84" s="24" t="s">
        <v>77</v>
      </c>
      <c r="G84" s="24" t="s">
        <v>78</v>
      </c>
      <c r="H84" s="24" t="s">
        <v>79</v>
      </c>
      <c r="I84" s="24" t="s">
        <v>80</v>
      </c>
      <c r="J84" s="24" t="s">
        <v>81</v>
      </c>
      <c r="K84" s="24" t="s">
        <v>82</v>
      </c>
      <c r="L84" s="24" t="s">
        <v>83</v>
      </c>
      <c r="M84" s="24" t="s">
        <v>84</v>
      </c>
      <c r="N84" s="24" t="s">
        <v>85</v>
      </c>
      <c r="O84" s="24" t="s">
        <v>86</v>
      </c>
      <c r="P84" s="24" t="s">
        <v>87</v>
      </c>
    </row>
    <row r="85" spans="1:16">
      <c r="A85" s="24" t="s">
        <v>99</v>
      </c>
      <c r="B85" s="28" t="s">
        <v>98</v>
      </c>
      <c r="C85" s="24" t="s">
        <v>100</v>
      </c>
      <c r="D85" s="215">
        <f>SUM(D86:D89)</f>
        <v>11385</v>
      </c>
      <c r="E85" s="215">
        <f t="shared" ref="E85:O85" si="41">SUM(E86:E89)</f>
        <v>9000</v>
      </c>
      <c r="F85" s="215">
        <f t="shared" si="41"/>
        <v>9000</v>
      </c>
      <c r="G85" s="215">
        <f t="shared" si="41"/>
        <v>9000</v>
      </c>
      <c r="H85" s="215">
        <f t="shared" si="41"/>
        <v>9000</v>
      </c>
      <c r="I85" s="215">
        <f t="shared" si="41"/>
        <v>11385</v>
      </c>
      <c r="J85" s="215">
        <f t="shared" si="41"/>
        <v>9000</v>
      </c>
      <c r="K85" s="215">
        <f t="shared" si="41"/>
        <v>9000</v>
      </c>
      <c r="L85" s="215">
        <f t="shared" si="41"/>
        <v>9000</v>
      </c>
      <c r="M85" s="215">
        <f t="shared" si="41"/>
        <v>9000</v>
      </c>
      <c r="N85" s="215">
        <f t="shared" si="41"/>
        <v>11385</v>
      </c>
      <c r="O85" s="215">
        <f t="shared" si="41"/>
        <v>9000</v>
      </c>
      <c r="P85" s="35">
        <f t="shared" ref="P85:P89" si="42">SUM(D85:O85)</f>
        <v>115155</v>
      </c>
    </row>
    <row r="86" spans="1:16" ht="25.5">
      <c r="A86" s="52" t="s">
        <v>29</v>
      </c>
      <c r="B86" s="52" t="s">
        <v>720</v>
      </c>
      <c r="C86" s="53" t="s">
        <v>780</v>
      </c>
      <c r="D86" s="51">
        <v>9000</v>
      </c>
      <c r="E86" s="51">
        <v>9000</v>
      </c>
      <c r="F86" s="51">
        <v>9000</v>
      </c>
      <c r="G86" s="51">
        <v>9000</v>
      </c>
      <c r="H86" s="51">
        <v>9000</v>
      </c>
      <c r="I86" s="51">
        <v>9000</v>
      </c>
      <c r="J86" s="51">
        <v>9000</v>
      </c>
      <c r="K86" s="51">
        <v>9000</v>
      </c>
      <c r="L86" s="51">
        <v>9000</v>
      </c>
      <c r="M86" s="51">
        <v>9000</v>
      </c>
      <c r="N86" s="51">
        <v>9000</v>
      </c>
      <c r="O86" s="51">
        <v>9000</v>
      </c>
      <c r="P86" s="35">
        <f t="shared" si="42"/>
        <v>108000</v>
      </c>
    </row>
    <row r="87" spans="1:16">
      <c r="A87" s="52"/>
      <c r="B87" s="52" t="s">
        <v>720</v>
      </c>
      <c r="C87" s="254" t="s">
        <v>785</v>
      </c>
      <c r="D87" s="51">
        <v>2385</v>
      </c>
      <c r="E87" s="51"/>
      <c r="F87" s="51"/>
      <c r="G87" s="51"/>
      <c r="H87" s="51"/>
      <c r="I87" s="51">
        <v>2385</v>
      </c>
      <c r="J87" s="51"/>
      <c r="K87" s="51"/>
      <c r="L87" s="51"/>
      <c r="M87" s="51"/>
      <c r="N87" s="51">
        <v>2385</v>
      </c>
      <c r="O87" s="51"/>
      <c r="P87" s="35">
        <f t="shared" si="42"/>
        <v>7155</v>
      </c>
    </row>
    <row r="88" spans="1:16">
      <c r="A88" s="53"/>
      <c r="B88" s="52"/>
      <c r="C88" s="258" t="s">
        <v>793</v>
      </c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35">
        <f t="shared" si="42"/>
        <v>0</v>
      </c>
    </row>
    <row r="89" spans="1:16">
      <c r="A89" s="53"/>
      <c r="B89" s="52"/>
      <c r="C89" s="53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35">
        <f t="shared" si="42"/>
        <v>0</v>
      </c>
    </row>
    <row r="91" spans="1:16" ht="15.75">
      <c r="A91" s="213"/>
      <c r="D91" s="24" t="s">
        <v>75</v>
      </c>
      <c r="E91" s="24" t="s">
        <v>76</v>
      </c>
      <c r="F91" s="24" t="s">
        <v>77</v>
      </c>
      <c r="G91" s="24" t="s">
        <v>78</v>
      </c>
      <c r="H91" s="24" t="s">
        <v>79</v>
      </c>
      <c r="I91" s="24" t="s">
        <v>80</v>
      </c>
      <c r="J91" s="24" t="s">
        <v>81</v>
      </c>
      <c r="K91" s="24" t="s">
        <v>82</v>
      </c>
      <c r="L91" s="24" t="s">
        <v>83</v>
      </c>
      <c r="M91" s="24" t="s">
        <v>84</v>
      </c>
      <c r="N91" s="24" t="s">
        <v>85</v>
      </c>
      <c r="O91" s="24" t="s">
        <v>86</v>
      </c>
      <c r="P91" s="24" t="s">
        <v>87</v>
      </c>
    </row>
    <row r="92" spans="1:16">
      <c r="A92" s="24" t="s">
        <v>99</v>
      </c>
      <c r="B92" s="28" t="s">
        <v>98</v>
      </c>
      <c r="C92" s="24" t="s">
        <v>100</v>
      </c>
      <c r="D92" s="215">
        <f>SUM(D93:D96)</f>
        <v>8000</v>
      </c>
      <c r="E92" s="215">
        <f t="shared" ref="E92:O92" si="43">SUM(E93:E96)</f>
        <v>8000</v>
      </c>
      <c r="F92" s="215">
        <f t="shared" si="43"/>
        <v>8000</v>
      </c>
      <c r="G92" s="215">
        <f t="shared" si="43"/>
        <v>8000</v>
      </c>
      <c r="H92" s="215">
        <f t="shared" si="43"/>
        <v>8000</v>
      </c>
      <c r="I92" s="215">
        <f t="shared" si="43"/>
        <v>8000</v>
      </c>
      <c r="J92" s="215">
        <f t="shared" si="43"/>
        <v>8000</v>
      </c>
      <c r="K92" s="215">
        <f t="shared" si="43"/>
        <v>8000</v>
      </c>
      <c r="L92" s="215">
        <f t="shared" si="43"/>
        <v>8000</v>
      </c>
      <c r="M92" s="215">
        <f t="shared" si="43"/>
        <v>8000</v>
      </c>
      <c r="N92" s="215">
        <f t="shared" si="43"/>
        <v>8000</v>
      </c>
      <c r="O92" s="215">
        <f t="shared" si="43"/>
        <v>8000</v>
      </c>
      <c r="P92" s="35">
        <f t="shared" ref="P92:P96" si="44">SUM(D92:O92)</f>
        <v>96000</v>
      </c>
    </row>
    <row r="93" spans="1:16" ht="25.5">
      <c r="A93" s="52" t="s">
        <v>114</v>
      </c>
      <c r="B93" s="52" t="s">
        <v>720</v>
      </c>
      <c r="C93" s="53" t="s">
        <v>766</v>
      </c>
      <c r="D93" s="51">
        <v>8000</v>
      </c>
      <c r="E93" s="51">
        <v>8000</v>
      </c>
      <c r="F93" s="51">
        <v>8000</v>
      </c>
      <c r="G93" s="51">
        <v>8000</v>
      </c>
      <c r="H93" s="51">
        <v>8000</v>
      </c>
      <c r="I93" s="51">
        <v>8000</v>
      </c>
      <c r="J93" s="51">
        <v>8000</v>
      </c>
      <c r="K93" s="51">
        <v>8000</v>
      </c>
      <c r="L93" s="51">
        <v>8000</v>
      </c>
      <c r="M93" s="51">
        <v>8000</v>
      </c>
      <c r="N93" s="51">
        <v>8000</v>
      </c>
      <c r="O93" s="51">
        <v>8000</v>
      </c>
      <c r="P93" s="35">
        <f t="shared" si="44"/>
        <v>96000</v>
      </c>
    </row>
    <row r="94" spans="1:16">
      <c r="A94" s="52"/>
      <c r="B94" s="52"/>
      <c r="C94" s="53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35">
        <f t="shared" si="44"/>
        <v>0</v>
      </c>
    </row>
    <row r="95" spans="1:16">
      <c r="A95" s="53"/>
      <c r="B95" s="52"/>
      <c r="C95" s="53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35">
        <f t="shared" si="44"/>
        <v>0</v>
      </c>
    </row>
    <row r="96" spans="1:16">
      <c r="A96" s="53"/>
      <c r="B96" s="52"/>
      <c r="C96" s="53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35">
        <f t="shared" si="44"/>
        <v>0</v>
      </c>
    </row>
    <row r="98" spans="1:16" ht="15.75">
      <c r="A98" s="213"/>
      <c r="D98" s="24" t="s">
        <v>75</v>
      </c>
      <c r="E98" s="24" t="s">
        <v>76</v>
      </c>
      <c r="F98" s="24" t="s">
        <v>77</v>
      </c>
      <c r="G98" s="24" t="s">
        <v>78</v>
      </c>
      <c r="H98" s="24" t="s">
        <v>79</v>
      </c>
      <c r="I98" s="24" t="s">
        <v>80</v>
      </c>
      <c r="J98" s="24" t="s">
        <v>81</v>
      </c>
      <c r="K98" s="24" t="s">
        <v>82</v>
      </c>
      <c r="L98" s="24" t="s">
        <v>83</v>
      </c>
      <c r="M98" s="24" t="s">
        <v>84</v>
      </c>
      <c r="N98" s="24" t="s">
        <v>85</v>
      </c>
      <c r="O98" s="24" t="s">
        <v>86</v>
      </c>
      <c r="P98" s="24" t="s">
        <v>87</v>
      </c>
    </row>
    <row r="99" spans="1:16">
      <c r="A99" s="24" t="s">
        <v>99</v>
      </c>
      <c r="B99" s="28" t="s">
        <v>98</v>
      </c>
      <c r="C99" s="24" t="s">
        <v>100</v>
      </c>
      <c r="D99" s="215">
        <f>SUM(D100:D103)</f>
        <v>3286</v>
      </c>
      <c r="E99" s="215">
        <f t="shared" ref="E99:O99" si="45">SUM(E100:E103)</f>
        <v>3286</v>
      </c>
      <c r="F99" s="215">
        <f t="shared" si="45"/>
        <v>3286</v>
      </c>
      <c r="G99" s="215">
        <f t="shared" si="45"/>
        <v>3286</v>
      </c>
      <c r="H99" s="215">
        <f t="shared" si="45"/>
        <v>3286</v>
      </c>
      <c r="I99" s="215">
        <f t="shared" si="45"/>
        <v>3286</v>
      </c>
      <c r="J99" s="215">
        <f t="shared" si="45"/>
        <v>3286</v>
      </c>
      <c r="K99" s="215">
        <f t="shared" si="45"/>
        <v>3286</v>
      </c>
      <c r="L99" s="215">
        <f t="shared" si="45"/>
        <v>3781</v>
      </c>
      <c r="M99" s="215">
        <f t="shared" si="45"/>
        <v>3286</v>
      </c>
      <c r="N99" s="215">
        <f t="shared" si="45"/>
        <v>3286</v>
      </c>
      <c r="O99" s="215">
        <f t="shared" si="45"/>
        <v>3286</v>
      </c>
      <c r="P99" s="35">
        <f t="shared" ref="P99:P103" si="46">SUM(D99:O99)</f>
        <v>39927</v>
      </c>
    </row>
    <row r="100" spans="1:16">
      <c r="A100" s="52" t="s">
        <v>5</v>
      </c>
      <c r="B100" s="52" t="s">
        <v>720</v>
      </c>
      <c r="C100" s="254" t="s">
        <v>767</v>
      </c>
      <c r="D100" s="51">
        <v>2646</v>
      </c>
      <c r="E100" s="51">
        <v>2646</v>
      </c>
      <c r="F100" s="51">
        <v>2646</v>
      </c>
      <c r="G100" s="51">
        <v>2646</v>
      </c>
      <c r="H100" s="51">
        <v>2646</v>
      </c>
      <c r="I100" s="51">
        <v>2646</v>
      </c>
      <c r="J100" s="51">
        <v>2646</v>
      </c>
      <c r="K100" s="51">
        <v>2646</v>
      </c>
      <c r="L100" s="51">
        <v>2646</v>
      </c>
      <c r="M100" s="51">
        <v>2646</v>
      </c>
      <c r="N100" s="51">
        <v>2646</v>
      </c>
      <c r="O100" s="51">
        <v>2646</v>
      </c>
      <c r="P100" s="35">
        <f t="shared" si="46"/>
        <v>31752</v>
      </c>
    </row>
    <row r="101" spans="1:16">
      <c r="A101" s="52"/>
      <c r="B101" s="52" t="s">
        <v>720</v>
      </c>
      <c r="C101" s="254" t="s">
        <v>768</v>
      </c>
      <c r="D101" s="51">
        <v>640</v>
      </c>
      <c r="E101" s="51">
        <v>640</v>
      </c>
      <c r="F101" s="51">
        <v>640</v>
      </c>
      <c r="G101" s="51">
        <v>640</v>
      </c>
      <c r="H101" s="51">
        <v>640</v>
      </c>
      <c r="I101" s="51">
        <v>640</v>
      </c>
      <c r="J101" s="51">
        <v>640</v>
      </c>
      <c r="K101" s="51">
        <v>640</v>
      </c>
      <c r="L101" s="51">
        <v>640</v>
      </c>
      <c r="M101" s="51">
        <v>640</v>
      </c>
      <c r="N101" s="51">
        <v>640</v>
      </c>
      <c r="O101" s="51">
        <v>640</v>
      </c>
      <c r="P101" s="35">
        <f t="shared" si="46"/>
        <v>7680</v>
      </c>
    </row>
    <row r="102" spans="1:16" ht="25.5">
      <c r="A102" s="53"/>
      <c r="B102" s="52" t="s">
        <v>720</v>
      </c>
      <c r="C102" s="255" t="s">
        <v>769</v>
      </c>
      <c r="D102" s="51"/>
      <c r="E102" s="51"/>
      <c r="F102" s="51"/>
      <c r="G102" s="51"/>
      <c r="H102" s="51"/>
      <c r="I102" s="51"/>
      <c r="J102" s="51"/>
      <c r="K102" s="51"/>
      <c r="L102" s="51">
        <v>495</v>
      </c>
      <c r="M102" s="51"/>
      <c r="N102" s="51"/>
      <c r="O102" s="51"/>
      <c r="P102" s="35">
        <f t="shared" si="46"/>
        <v>495</v>
      </c>
    </row>
    <row r="103" spans="1:16">
      <c r="A103" s="53"/>
      <c r="B103" s="52"/>
      <c r="C103" s="53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35">
        <f t="shared" si="46"/>
        <v>0</v>
      </c>
    </row>
    <row r="105" spans="1:16" ht="15.75">
      <c r="A105" s="213"/>
      <c r="D105" s="24" t="s">
        <v>75</v>
      </c>
      <c r="E105" s="24" t="s">
        <v>76</v>
      </c>
      <c r="F105" s="24" t="s">
        <v>77</v>
      </c>
      <c r="G105" s="24" t="s">
        <v>78</v>
      </c>
      <c r="H105" s="24" t="s">
        <v>79</v>
      </c>
      <c r="I105" s="24" t="s">
        <v>80</v>
      </c>
      <c r="J105" s="24" t="s">
        <v>81</v>
      </c>
      <c r="K105" s="24" t="s">
        <v>82</v>
      </c>
      <c r="L105" s="24" t="s">
        <v>83</v>
      </c>
      <c r="M105" s="24" t="s">
        <v>84</v>
      </c>
      <c r="N105" s="24" t="s">
        <v>85</v>
      </c>
      <c r="O105" s="24" t="s">
        <v>86</v>
      </c>
      <c r="P105" s="24" t="s">
        <v>87</v>
      </c>
    </row>
    <row r="106" spans="1:16">
      <c r="A106" s="24" t="s">
        <v>99</v>
      </c>
      <c r="B106" s="28" t="s">
        <v>98</v>
      </c>
      <c r="C106" s="24" t="s">
        <v>100</v>
      </c>
      <c r="D106" s="215">
        <f>SUM(D107:D115)</f>
        <v>0</v>
      </c>
      <c r="E106" s="215">
        <f t="shared" ref="E106:O106" si="47">SUM(E107:E115)</f>
        <v>0</v>
      </c>
      <c r="F106" s="215">
        <f t="shared" si="47"/>
        <v>0</v>
      </c>
      <c r="G106" s="215">
        <f t="shared" si="47"/>
        <v>0</v>
      </c>
      <c r="H106" s="215">
        <f t="shared" si="47"/>
        <v>813</v>
      </c>
      <c r="I106" s="215">
        <f t="shared" si="47"/>
        <v>0</v>
      </c>
      <c r="J106" s="215">
        <f t="shared" si="47"/>
        <v>0</v>
      </c>
      <c r="K106" s="215">
        <f t="shared" si="47"/>
        <v>0</v>
      </c>
      <c r="L106" s="215">
        <f t="shared" si="47"/>
        <v>0</v>
      </c>
      <c r="M106" s="215">
        <f t="shared" si="47"/>
        <v>0</v>
      </c>
      <c r="N106" s="215">
        <f t="shared" si="47"/>
        <v>0</v>
      </c>
      <c r="O106" s="215">
        <f t="shared" si="47"/>
        <v>0</v>
      </c>
      <c r="P106" s="35">
        <f t="shared" ref="P106:P115" si="48">SUM(D106:O106)</f>
        <v>813</v>
      </c>
    </row>
    <row r="107" spans="1:16">
      <c r="A107" s="52" t="s">
        <v>33</v>
      </c>
      <c r="B107" s="52" t="s">
        <v>720</v>
      </c>
      <c r="C107" s="53" t="s">
        <v>770</v>
      </c>
      <c r="D107" s="51"/>
      <c r="E107" s="51"/>
      <c r="F107" s="51"/>
      <c r="G107" s="51"/>
      <c r="H107" s="51">
        <v>39</v>
      </c>
      <c r="I107" s="51"/>
      <c r="J107" s="51"/>
      <c r="K107" s="51"/>
      <c r="L107" s="51"/>
      <c r="M107" s="51"/>
      <c r="N107" s="51"/>
      <c r="O107" s="51"/>
      <c r="P107" s="35">
        <f t="shared" si="48"/>
        <v>39</v>
      </c>
    </row>
    <row r="108" spans="1:16">
      <c r="A108" s="52"/>
      <c r="B108" s="52" t="s">
        <v>720</v>
      </c>
      <c r="C108" s="53" t="s">
        <v>771</v>
      </c>
      <c r="D108" s="51"/>
      <c r="E108" s="51"/>
      <c r="F108" s="51"/>
      <c r="G108" s="51"/>
      <c r="H108" s="51">
        <v>61</v>
      </c>
      <c r="I108" s="51"/>
      <c r="J108" s="51"/>
      <c r="K108" s="51"/>
      <c r="L108" s="51"/>
      <c r="M108" s="51"/>
      <c r="N108" s="51"/>
      <c r="O108" s="51"/>
      <c r="P108" s="35"/>
    </row>
    <row r="109" spans="1:16">
      <c r="A109" s="52"/>
      <c r="B109" s="52" t="s">
        <v>720</v>
      </c>
      <c r="C109" s="257" t="s">
        <v>772</v>
      </c>
      <c r="D109" s="51"/>
      <c r="E109" s="51"/>
      <c r="F109" s="51"/>
      <c r="G109" s="51"/>
      <c r="H109" s="51">
        <v>127</v>
      </c>
      <c r="I109" s="51"/>
      <c r="J109" s="51"/>
      <c r="K109" s="51"/>
      <c r="L109" s="51"/>
      <c r="M109" s="51"/>
      <c r="N109" s="51"/>
      <c r="O109" s="51"/>
      <c r="P109" s="35"/>
    </row>
    <row r="110" spans="1:16">
      <c r="A110" s="52"/>
      <c r="B110" s="52" t="s">
        <v>720</v>
      </c>
      <c r="C110" s="53" t="s">
        <v>773</v>
      </c>
      <c r="D110" s="51"/>
      <c r="E110" s="51"/>
      <c r="F110" s="51"/>
      <c r="G110" s="51"/>
      <c r="H110" s="51">
        <v>55</v>
      </c>
      <c r="I110" s="51"/>
      <c r="J110" s="51"/>
      <c r="K110" s="51"/>
      <c r="L110" s="51"/>
      <c r="M110" s="51"/>
      <c r="N110" s="51"/>
      <c r="O110" s="51"/>
      <c r="P110" s="35"/>
    </row>
    <row r="111" spans="1:16">
      <c r="A111" s="52"/>
      <c r="B111" s="52" t="s">
        <v>720</v>
      </c>
      <c r="C111" s="53" t="s">
        <v>774</v>
      </c>
      <c r="D111" s="51"/>
      <c r="E111" s="51"/>
      <c r="F111" s="51"/>
      <c r="G111" s="51"/>
      <c r="H111" s="51">
        <v>197</v>
      </c>
      <c r="I111" s="51"/>
      <c r="J111" s="51"/>
      <c r="K111" s="51"/>
      <c r="L111" s="51"/>
      <c r="M111" s="51"/>
      <c r="N111" s="51"/>
      <c r="O111" s="51"/>
      <c r="P111" s="35">
        <f t="shared" si="48"/>
        <v>197</v>
      </c>
    </row>
    <row r="112" spans="1:16">
      <c r="A112" s="52"/>
      <c r="B112" s="52" t="s">
        <v>720</v>
      </c>
      <c r="C112" s="53" t="s">
        <v>775</v>
      </c>
      <c r="D112" s="51"/>
      <c r="E112" s="51"/>
      <c r="F112" s="51"/>
      <c r="G112" s="51"/>
      <c r="H112" s="51">
        <v>196</v>
      </c>
      <c r="I112" s="51"/>
      <c r="J112" s="51"/>
      <c r="K112" s="51"/>
      <c r="L112" s="51"/>
      <c r="M112" s="51"/>
      <c r="N112" s="51"/>
      <c r="O112" s="51"/>
      <c r="P112" s="35"/>
    </row>
    <row r="113" spans="1:16">
      <c r="A113" s="53"/>
      <c r="B113" s="52" t="s">
        <v>720</v>
      </c>
      <c r="C113" s="53" t="s">
        <v>776</v>
      </c>
      <c r="D113" s="51"/>
      <c r="E113" s="51"/>
      <c r="F113" s="51"/>
      <c r="G113" s="51"/>
      <c r="H113" s="51">
        <v>55</v>
      </c>
      <c r="I113" s="51"/>
      <c r="J113" s="51"/>
      <c r="K113" s="51"/>
      <c r="L113" s="51"/>
      <c r="M113" s="51"/>
      <c r="N113" s="51"/>
      <c r="O113" s="51"/>
      <c r="P113" s="35">
        <f t="shared" si="48"/>
        <v>55</v>
      </c>
    </row>
    <row r="114" spans="1:16">
      <c r="A114" s="53"/>
      <c r="B114" s="52" t="s">
        <v>720</v>
      </c>
      <c r="C114" s="53" t="s">
        <v>777</v>
      </c>
      <c r="D114" s="51"/>
      <c r="E114" s="51"/>
      <c r="F114" s="51"/>
      <c r="G114" s="51"/>
      <c r="H114" s="51">
        <v>44</v>
      </c>
      <c r="I114" s="51"/>
      <c r="J114" s="51"/>
      <c r="K114" s="51"/>
      <c r="L114" s="51"/>
      <c r="M114" s="51"/>
      <c r="N114" s="51"/>
      <c r="O114" s="51"/>
      <c r="P114" s="35"/>
    </row>
    <row r="115" spans="1:16">
      <c r="A115" s="53"/>
      <c r="B115" s="52" t="s">
        <v>720</v>
      </c>
      <c r="C115" s="53" t="s">
        <v>778</v>
      </c>
      <c r="D115" s="51"/>
      <c r="E115" s="51"/>
      <c r="F115" s="51"/>
      <c r="G115" s="51"/>
      <c r="H115" s="51">
        <v>39</v>
      </c>
      <c r="I115" s="51"/>
      <c r="J115" s="51"/>
      <c r="K115" s="51"/>
      <c r="L115" s="51"/>
      <c r="M115" s="51"/>
      <c r="N115" s="51"/>
      <c r="O115" s="51"/>
      <c r="P115" s="35">
        <f t="shared" si="48"/>
        <v>39</v>
      </c>
    </row>
    <row r="117" spans="1:16" ht="15.75">
      <c r="A117" s="213"/>
      <c r="D117" s="24" t="s">
        <v>75</v>
      </c>
      <c r="E117" s="24" t="s">
        <v>76</v>
      </c>
      <c r="F117" s="24" t="s">
        <v>77</v>
      </c>
      <c r="G117" s="24" t="s">
        <v>78</v>
      </c>
      <c r="H117" s="24" t="s">
        <v>79</v>
      </c>
      <c r="I117" s="24" t="s">
        <v>80</v>
      </c>
      <c r="J117" s="24" t="s">
        <v>81</v>
      </c>
      <c r="K117" s="24" t="s">
        <v>82</v>
      </c>
      <c r="L117" s="24" t="s">
        <v>83</v>
      </c>
      <c r="M117" s="24" t="s">
        <v>84</v>
      </c>
      <c r="N117" s="24" t="s">
        <v>85</v>
      </c>
      <c r="O117" s="24" t="s">
        <v>86</v>
      </c>
      <c r="P117" s="24" t="s">
        <v>87</v>
      </c>
    </row>
    <row r="118" spans="1:16">
      <c r="A118" s="24" t="s">
        <v>99</v>
      </c>
      <c r="B118" s="28" t="s">
        <v>98</v>
      </c>
      <c r="C118" s="24" t="s">
        <v>100</v>
      </c>
      <c r="D118" s="215">
        <f t="shared" ref="D118:O118" si="49">SUM(D119:D124)</f>
        <v>0</v>
      </c>
      <c r="E118" s="215">
        <f t="shared" si="49"/>
        <v>17200</v>
      </c>
      <c r="F118" s="215">
        <f t="shared" si="49"/>
        <v>1200</v>
      </c>
      <c r="G118" s="215">
        <f t="shared" si="49"/>
        <v>1200</v>
      </c>
      <c r="H118" s="215">
        <f t="shared" si="49"/>
        <v>8950</v>
      </c>
      <c r="I118" s="215">
        <f t="shared" si="49"/>
        <v>1200</v>
      </c>
      <c r="J118" s="215">
        <f t="shared" si="49"/>
        <v>0</v>
      </c>
      <c r="K118" s="215">
        <f t="shared" si="49"/>
        <v>0</v>
      </c>
      <c r="L118" s="215">
        <f t="shared" si="49"/>
        <v>250</v>
      </c>
      <c r="M118" s="215">
        <f t="shared" si="49"/>
        <v>0</v>
      </c>
      <c r="N118" s="215">
        <f t="shared" si="49"/>
        <v>0</v>
      </c>
      <c r="O118" s="215">
        <f t="shared" si="49"/>
        <v>0</v>
      </c>
      <c r="P118" s="35">
        <f t="shared" ref="P118:P124" si="50">SUM(D118:O118)</f>
        <v>30000</v>
      </c>
    </row>
    <row r="119" spans="1:16">
      <c r="A119" s="52" t="s">
        <v>2</v>
      </c>
      <c r="B119" s="52" t="s">
        <v>720</v>
      </c>
      <c r="C119" s="255" t="s">
        <v>779</v>
      </c>
      <c r="D119" s="51"/>
      <c r="E119" s="51"/>
      <c r="F119" s="51"/>
      <c r="G119" s="51"/>
      <c r="H119" s="51"/>
      <c r="I119" s="51"/>
      <c r="J119" s="51"/>
      <c r="K119" s="51"/>
      <c r="L119" s="51">
        <v>250</v>
      </c>
      <c r="M119" s="51"/>
      <c r="N119" s="51"/>
      <c r="O119" s="51"/>
      <c r="P119" s="35">
        <f t="shared" si="50"/>
        <v>250</v>
      </c>
    </row>
    <row r="120" spans="1:16">
      <c r="A120" s="52"/>
      <c r="B120" s="52" t="s">
        <v>720</v>
      </c>
      <c r="C120" s="53" t="s">
        <v>805</v>
      </c>
      <c r="D120" s="51"/>
      <c r="E120" s="51">
        <v>10000</v>
      </c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35">
        <f t="shared" si="50"/>
        <v>10000</v>
      </c>
    </row>
    <row r="121" spans="1:16">
      <c r="A121" s="53"/>
      <c r="B121" s="52"/>
      <c r="C121" s="53" t="s">
        <v>806</v>
      </c>
      <c r="D121" s="51"/>
      <c r="E121" s="51"/>
      <c r="F121" s="51"/>
      <c r="G121" s="51"/>
      <c r="H121" s="51">
        <v>4000</v>
      </c>
      <c r="I121" s="51"/>
      <c r="J121" s="51"/>
      <c r="K121" s="51"/>
      <c r="L121" s="51"/>
      <c r="M121" s="51"/>
      <c r="N121" s="51"/>
      <c r="O121" s="51"/>
      <c r="P121" s="35"/>
    </row>
    <row r="122" spans="1:16">
      <c r="A122" s="53"/>
      <c r="B122" s="52"/>
      <c r="C122" s="53" t="s">
        <v>807</v>
      </c>
      <c r="D122" s="51"/>
      <c r="E122" s="51">
        <v>1200</v>
      </c>
      <c r="F122" s="51">
        <v>1200</v>
      </c>
      <c r="G122" s="51">
        <v>1200</v>
      </c>
      <c r="H122" s="51">
        <v>1200</v>
      </c>
      <c r="I122" s="51">
        <v>1200</v>
      </c>
      <c r="J122" s="51"/>
      <c r="K122" s="51"/>
      <c r="L122" s="51"/>
      <c r="M122" s="51"/>
      <c r="N122" s="51"/>
      <c r="O122" s="51"/>
      <c r="P122" s="35"/>
    </row>
    <row r="123" spans="1:16">
      <c r="A123" s="53"/>
      <c r="B123" s="52"/>
      <c r="C123" s="53" t="s">
        <v>808</v>
      </c>
      <c r="D123" s="51"/>
      <c r="E123" s="51"/>
      <c r="F123" s="51"/>
      <c r="G123" s="51"/>
      <c r="H123" s="51">
        <v>3750</v>
      </c>
      <c r="I123" s="51"/>
      <c r="J123" s="51"/>
      <c r="K123" s="51"/>
      <c r="L123" s="51"/>
      <c r="M123" s="51"/>
      <c r="N123" s="51"/>
      <c r="O123" s="51"/>
      <c r="P123" s="35"/>
    </row>
    <row r="124" spans="1:16">
      <c r="A124" s="53"/>
      <c r="B124" s="52"/>
      <c r="C124" s="53" t="s">
        <v>804</v>
      </c>
      <c r="D124" s="51"/>
      <c r="E124" s="51">
        <v>6000</v>
      </c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35">
        <f t="shared" si="50"/>
        <v>6000</v>
      </c>
    </row>
    <row r="128" spans="1:16" ht="15.75">
      <c r="A128" s="213"/>
      <c r="D128" s="24" t="s">
        <v>75</v>
      </c>
      <c r="E128" s="24" t="s">
        <v>76</v>
      </c>
      <c r="F128" s="24" t="s">
        <v>77</v>
      </c>
      <c r="G128" s="24" t="s">
        <v>78</v>
      </c>
      <c r="H128" s="24" t="s">
        <v>79</v>
      </c>
      <c r="I128" s="24" t="s">
        <v>80</v>
      </c>
      <c r="J128" s="24" t="s">
        <v>81</v>
      </c>
      <c r="K128" s="24" t="s">
        <v>82</v>
      </c>
      <c r="L128" s="24" t="s">
        <v>83</v>
      </c>
      <c r="M128" s="24" t="s">
        <v>84</v>
      </c>
      <c r="N128" s="24" t="s">
        <v>85</v>
      </c>
      <c r="O128" s="24" t="s">
        <v>86</v>
      </c>
      <c r="P128" s="24" t="s">
        <v>87</v>
      </c>
    </row>
    <row r="129" spans="1:16">
      <c r="A129" s="24" t="s">
        <v>99</v>
      </c>
      <c r="B129" s="28" t="s">
        <v>98</v>
      </c>
      <c r="C129" s="24" t="s">
        <v>100</v>
      </c>
      <c r="D129" s="215">
        <f>SUM(D130:D133)</f>
        <v>200</v>
      </c>
      <c r="E129" s="215">
        <f t="shared" ref="E129:O129" si="51">SUM(E130:E133)</f>
        <v>200</v>
      </c>
      <c r="F129" s="215">
        <f t="shared" si="51"/>
        <v>200</v>
      </c>
      <c r="G129" s="215">
        <f t="shared" si="51"/>
        <v>200</v>
      </c>
      <c r="H129" s="215">
        <f t="shared" si="51"/>
        <v>200</v>
      </c>
      <c r="I129" s="215">
        <f t="shared" si="51"/>
        <v>200</v>
      </c>
      <c r="J129" s="215">
        <f t="shared" si="51"/>
        <v>200</v>
      </c>
      <c r="K129" s="215">
        <f t="shared" si="51"/>
        <v>200</v>
      </c>
      <c r="L129" s="215">
        <f t="shared" si="51"/>
        <v>200</v>
      </c>
      <c r="M129" s="215">
        <f t="shared" si="51"/>
        <v>200</v>
      </c>
      <c r="N129" s="215">
        <f t="shared" si="51"/>
        <v>200</v>
      </c>
      <c r="O129" s="215">
        <f t="shared" si="51"/>
        <v>200</v>
      </c>
      <c r="P129" s="35">
        <f t="shared" ref="P129:P130" si="52">SUM(D129:O129)</f>
        <v>2400</v>
      </c>
    </row>
    <row r="130" spans="1:16" ht="25.5">
      <c r="A130" s="52" t="s">
        <v>781</v>
      </c>
      <c r="B130" s="52" t="s">
        <v>720</v>
      </c>
      <c r="C130" s="255" t="s">
        <v>783</v>
      </c>
      <c r="D130" s="51">
        <v>200</v>
      </c>
      <c r="E130" s="51">
        <v>200</v>
      </c>
      <c r="F130" s="51">
        <v>200</v>
      </c>
      <c r="G130" s="51">
        <v>200</v>
      </c>
      <c r="H130" s="51">
        <v>200</v>
      </c>
      <c r="I130" s="51">
        <v>200</v>
      </c>
      <c r="J130" s="51">
        <v>200</v>
      </c>
      <c r="K130" s="51">
        <v>200</v>
      </c>
      <c r="L130" s="51">
        <v>200</v>
      </c>
      <c r="M130" s="51">
        <v>200</v>
      </c>
      <c r="N130" s="51">
        <v>200</v>
      </c>
      <c r="O130" s="51">
        <v>200</v>
      </c>
      <c r="P130" s="35">
        <f t="shared" si="52"/>
        <v>2400</v>
      </c>
    </row>
  </sheetData>
  <dataValidations count="1">
    <dataValidation type="list" allowBlank="1" showInputMessage="1" showErrorMessage="1" sqref="B1:B5 B19:B21 B24:B26 B36:B38 B41:B43 B49:B51 B54:B56 B59:B61 B64:B66 B70:B72 B83:B85 B90:B92 B97:B99 B104:B106 B116:B118 B125:B129 B131:B1048576" xr:uid="{B7B1260F-824D-493E-8502-BCD519C287DA}">
      <formula1>#REF!</formula1>
    </dataValidation>
  </dataValidation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EC72D6-6AA8-4050-AD01-DC2A30F32A8C}">
          <x14:formula1>
            <xm:f>'ORÇAMENTO 2026'!$F:$F</xm:f>
          </x14:formula1>
          <xm:sqref>B107:B115 B27:B35 B130 B93:B96 B100:B103 B73:B82 B67:B69 B62:B63 B57:B58 B86:B89 B52:B53 B39:B40 B6:B18 B22:B23 B44:B48 B119:B124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FE5-C7F8-4478-84FC-538E80871704}">
  <sheetPr codeName="Planilha5">
    <tabColor theme="7" tint="0.39997558519241921"/>
  </sheetPr>
  <dimension ref="A1:R15"/>
  <sheetViews>
    <sheetView showGridLines="0" workbookViewId="0">
      <selection activeCell="C8" sqref="C8"/>
    </sheetView>
  </sheetViews>
  <sheetFormatPr defaultRowHeight="15"/>
  <cols>
    <col min="1" max="1" width="36.5703125" customWidth="1"/>
    <col min="2" max="2" width="32.7109375" customWidth="1"/>
    <col min="3" max="3" width="42.140625" customWidth="1"/>
    <col min="4" max="4" width="18.140625" bestFit="1" customWidth="1"/>
    <col min="5" max="5" width="24.85546875" customWidth="1"/>
    <col min="6" max="7" width="5" bestFit="1" customWidth="1"/>
    <col min="8" max="8" width="5.28515625" bestFit="1" customWidth="1"/>
    <col min="9" max="9" width="5" bestFit="1" customWidth="1"/>
    <col min="10" max="10" width="4.7109375" bestFit="1" customWidth="1"/>
    <col min="11" max="12" width="5" bestFit="1" customWidth="1"/>
    <col min="13" max="13" width="5.140625" bestFit="1" customWidth="1"/>
    <col min="14" max="14" width="5" bestFit="1" customWidth="1"/>
    <col min="15" max="15" width="4.85546875" bestFit="1" customWidth="1"/>
    <col min="16" max="16" width="5.140625" bestFit="1" customWidth="1"/>
    <col min="17" max="17" width="5" bestFit="1" customWidth="1"/>
    <col min="18" max="18" width="6.5703125" bestFit="1" customWidth="1"/>
  </cols>
  <sheetData>
    <row r="1" spans="1:18" s="23" customFormat="1" ht="18.75" thickBot="1">
      <c r="A1" s="26" t="str">
        <f>"BACKUP DE ORÇAMENTO &gt; 2026 | Contas detalhadas | "&amp;'ORÇAMENTO 2026'!C1</f>
        <v>BACKUP DE ORÇAMENTO &gt; 2026 | Contas detalhadas | ASSIST. TÉCNICA - LOGÍSTICA</v>
      </c>
      <c r="B1" s="26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18" s="23" customFormat="1" ht="18.75" thickTop="1">
      <c r="A2" s="48"/>
      <c r="B2" s="48"/>
      <c r="D2" s="48"/>
    </row>
    <row r="3" spans="1:18" s="23" customFormat="1" ht="18">
      <c r="A3" s="213" t="s">
        <v>332</v>
      </c>
      <c r="B3" s="48"/>
      <c r="D3" s="48"/>
    </row>
    <row r="4" spans="1:18" ht="15.75">
      <c r="A4" s="213" t="s">
        <v>333</v>
      </c>
      <c r="B4" s="30"/>
      <c r="C4" s="50"/>
      <c r="D4" s="50"/>
      <c r="E4" s="50"/>
      <c r="F4" s="49" t="s">
        <v>75</v>
      </c>
      <c r="G4" s="49" t="s">
        <v>76</v>
      </c>
      <c r="H4" s="49" t="s">
        <v>77</v>
      </c>
      <c r="I4" s="49" t="s">
        <v>78</v>
      </c>
      <c r="J4" s="49" t="s">
        <v>79</v>
      </c>
      <c r="K4" s="49" t="s">
        <v>80</v>
      </c>
      <c r="L4" s="49" t="s">
        <v>81</v>
      </c>
      <c r="M4" s="49" t="s">
        <v>82</v>
      </c>
      <c r="N4" s="49" t="s">
        <v>83</v>
      </c>
      <c r="O4" s="49" t="s">
        <v>84</v>
      </c>
      <c r="P4" s="49" t="s">
        <v>85</v>
      </c>
      <c r="Q4" s="49" t="s">
        <v>86</v>
      </c>
      <c r="R4" s="49" t="s">
        <v>92</v>
      </c>
    </row>
    <row r="5" spans="1:18">
      <c r="A5" s="49" t="s">
        <v>101</v>
      </c>
      <c r="B5" s="49" t="s">
        <v>102</v>
      </c>
      <c r="C5" s="49" t="s">
        <v>95</v>
      </c>
      <c r="D5" s="49" t="s">
        <v>93</v>
      </c>
      <c r="E5" s="49" t="s">
        <v>94</v>
      </c>
      <c r="F5" s="214">
        <f>SUM(F6:F15)</f>
        <v>1180</v>
      </c>
      <c r="G5" s="214">
        <f t="shared" ref="G5:Q5" si="0">SUM(G6:G15)</f>
        <v>1180</v>
      </c>
      <c r="H5" s="214">
        <f t="shared" si="0"/>
        <v>1180</v>
      </c>
      <c r="I5" s="214">
        <f t="shared" si="0"/>
        <v>1180</v>
      </c>
      <c r="J5" s="214">
        <f t="shared" si="0"/>
        <v>1180</v>
      </c>
      <c r="K5" s="214">
        <f t="shared" si="0"/>
        <v>1180</v>
      </c>
      <c r="L5" s="214">
        <f t="shared" si="0"/>
        <v>1180</v>
      </c>
      <c r="M5" s="214">
        <f t="shared" si="0"/>
        <v>1180</v>
      </c>
      <c r="N5" s="214">
        <f t="shared" si="0"/>
        <v>4740</v>
      </c>
      <c r="O5" s="214">
        <f t="shared" si="0"/>
        <v>1180</v>
      </c>
      <c r="P5" s="214">
        <f t="shared" si="0"/>
        <v>1180</v>
      </c>
      <c r="Q5" s="214">
        <f t="shared" si="0"/>
        <v>1180</v>
      </c>
      <c r="R5" s="49">
        <f>SUM(R6:R15)</f>
        <v>17720</v>
      </c>
    </row>
    <row r="6" spans="1:18" s="54" customFormat="1" ht="12">
      <c r="A6" s="188" t="s">
        <v>12</v>
      </c>
      <c r="B6" s="188" t="s">
        <v>720</v>
      </c>
      <c r="C6" s="188" t="s">
        <v>795</v>
      </c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>
        <v>3560</v>
      </c>
      <c r="O6" s="188"/>
      <c r="P6" s="188"/>
      <c r="Q6" s="188"/>
      <c r="R6" s="188">
        <f>SUM(F6:Q6)</f>
        <v>3560</v>
      </c>
    </row>
    <row r="7" spans="1:18" s="54" customFormat="1" ht="12">
      <c r="A7" s="188"/>
      <c r="B7" s="188" t="s">
        <v>720</v>
      </c>
      <c r="C7" s="188" t="s">
        <v>764</v>
      </c>
      <c r="D7" s="188">
        <v>7648566</v>
      </c>
      <c r="E7" s="188" t="s">
        <v>765</v>
      </c>
      <c r="F7" s="188">
        <v>590</v>
      </c>
      <c r="G7" s="188">
        <v>590</v>
      </c>
      <c r="H7" s="188">
        <v>590</v>
      </c>
      <c r="I7" s="188">
        <v>590</v>
      </c>
      <c r="J7" s="188">
        <v>590</v>
      </c>
      <c r="K7" s="188">
        <v>590</v>
      </c>
      <c r="L7" s="188">
        <v>590</v>
      </c>
      <c r="M7" s="188">
        <v>590</v>
      </c>
      <c r="N7" s="188">
        <v>590</v>
      </c>
      <c r="O7" s="188">
        <v>590</v>
      </c>
      <c r="P7" s="188">
        <v>590</v>
      </c>
      <c r="Q7" s="188">
        <v>590</v>
      </c>
      <c r="R7" s="188">
        <f t="shared" ref="R7:R15" si="1">SUM(F7:Q7)</f>
        <v>7080</v>
      </c>
    </row>
    <row r="8" spans="1:18" s="54" customFormat="1" ht="12">
      <c r="A8" s="188"/>
      <c r="B8" s="188" t="s">
        <v>720</v>
      </c>
      <c r="C8" s="188" t="s">
        <v>763</v>
      </c>
      <c r="D8" s="188">
        <v>7648566</v>
      </c>
      <c r="E8" s="188" t="s">
        <v>765</v>
      </c>
      <c r="F8" s="188">
        <v>590</v>
      </c>
      <c r="G8" s="188">
        <v>590</v>
      </c>
      <c r="H8" s="188">
        <v>590</v>
      </c>
      <c r="I8" s="188">
        <v>590</v>
      </c>
      <c r="J8" s="188">
        <v>590</v>
      </c>
      <c r="K8" s="188">
        <v>590</v>
      </c>
      <c r="L8" s="188">
        <v>590</v>
      </c>
      <c r="M8" s="188">
        <v>590</v>
      </c>
      <c r="N8" s="188">
        <v>590</v>
      </c>
      <c r="O8" s="188">
        <v>590</v>
      </c>
      <c r="P8" s="188">
        <v>590</v>
      </c>
      <c r="Q8" s="188">
        <v>590</v>
      </c>
      <c r="R8" s="188">
        <f t="shared" si="1"/>
        <v>7080</v>
      </c>
    </row>
    <row r="9" spans="1:18" s="54" customFormat="1" ht="12">
      <c r="A9" s="188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>
        <f t="shared" si="1"/>
        <v>0</v>
      </c>
    </row>
    <row r="10" spans="1:18" s="54" customFormat="1" ht="12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>
        <f t="shared" si="1"/>
        <v>0</v>
      </c>
    </row>
    <row r="11" spans="1:18" s="54" customFormat="1" ht="12">
      <c r="A11" s="188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>
        <f t="shared" si="1"/>
        <v>0</v>
      </c>
    </row>
    <row r="12" spans="1:18" s="54" customFormat="1" ht="12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>
        <f t="shared" si="1"/>
        <v>0</v>
      </c>
    </row>
    <row r="13" spans="1:18" s="54" customFormat="1" ht="12">
      <c r="A13" s="188"/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>
        <f t="shared" si="1"/>
        <v>0</v>
      </c>
    </row>
    <row r="14" spans="1:18" s="54" customFormat="1" ht="12">
      <c r="A14" s="188"/>
      <c r="B14" s="188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8">
        <f t="shared" si="1"/>
        <v>0</v>
      </c>
    </row>
    <row r="15" spans="1:18" s="54" customFormat="1" ht="12">
      <c r="A15" s="188"/>
      <c r="B15" s="188"/>
      <c r="C15" s="188"/>
      <c r="D15" s="188"/>
      <c r="E15" s="188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>
        <f t="shared" si="1"/>
        <v>0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E559B-F5EB-4C75-9611-BB5FBB38811F}">
          <x14:formula1>
            <xm:f>'ORÇAMENTO 2026'!$F$3:$F$200</xm:f>
          </x14:formula1>
          <xm:sqref>B6:B15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01E2A-A7BB-4271-8533-12142C83AED0}">
  <sheetPr codeName="Planilha6">
    <tabColor theme="7" tint="0.39997558519241921"/>
  </sheetPr>
  <dimension ref="A1:AO175"/>
  <sheetViews>
    <sheetView showGridLines="0" topLeftCell="A64" zoomScale="80" zoomScaleNormal="80" workbookViewId="0">
      <selection activeCell="D76" sqref="D76"/>
    </sheetView>
  </sheetViews>
  <sheetFormatPr defaultRowHeight="15"/>
  <cols>
    <col min="1" max="1" width="27.42578125" customWidth="1"/>
    <col min="2" max="2" width="46.85546875" customWidth="1"/>
    <col min="3" max="3" width="24.85546875" customWidth="1"/>
    <col min="4" max="4" width="30.5703125" bestFit="1" customWidth="1"/>
    <col min="5" max="5" width="19.42578125" customWidth="1"/>
    <col min="6" max="6" width="22.140625" style="30" customWidth="1"/>
    <col min="7" max="7" width="16" style="30" bestFit="1" customWidth="1"/>
    <col min="8" max="8" width="25.140625" style="30" bestFit="1" customWidth="1"/>
    <col min="9" max="9" width="19.140625" style="30" bestFit="1" customWidth="1"/>
    <col min="10" max="10" width="15.28515625" style="30" bestFit="1" customWidth="1"/>
    <col min="11" max="11" width="16.42578125" style="30" bestFit="1" customWidth="1"/>
    <col min="12" max="12" width="18.140625" bestFit="1" customWidth="1"/>
    <col min="13" max="13" width="13" bestFit="1" customWidth="1"/>
    <col min="14" max="14" width="16.42578125" style="30" bestFit="1" customWidth="1"/>
    <col min="15" max="15" width="30.85546875" style="30" bestFit="1" customWidth="1"/>
    <col min="16" max="16" width="26.28515625" style="30" bestFit="1" customWidth="1"/>
    <col min="17" max="17" width="15.7109375" style="30" bestFit="1" customWidth="1"/>
    <col min="18" max="18" width="21.7109375" bestFit="1" customWidth="1"/>
    <col min="19" max="19" width="18" bestFit="1" customWidth="1"/>
    <col min="20" max="20" width="24.7109375" customWidth="1"/>
    <col min="21" max="21" width="13.7109375" bestFit="1" customWidth="1"/>
    <col min="22" max="22" width="20.85546875" bestFit="1" customWidth="1"/>
    <col min="23" max="23" width="16.7109375" bestFit="1" customWidth="1"/>
    <col min="24" max="24" width="16.5703125" bestFit="1" customWidth="1"/>
    <col min="25" max="25" width="17" bestFit="1" customWidth="1"/>
    <col min="26" max="26" width="19.42578125" bestFit="1" customWidth="1"/>
    <col min="27" max="27" width="20.140625" bestFit="1" customWidth="1"/>
    <col min="28" max="28" width="14.5703125" bestFit="1" customWidth="1"/>
    <col min="29" max="29" width="28" bestFit="1" customWidth="1"/>
    <col min="30" max="39" width="5.5703125" bestFit="1" customWidth="1"/>
    <col min="40" max="40" width="8.7109375" bestFit="1" customWidth="1"/>
    <col min="41" max="41" width="11.140625" bestFit="1" customWidth="1"/>
  </cols>
  <sheetData>
    <row r="1" spans="1:40" s="141" customFormat="1" ht="21.75" thickBot="1">
      <c r="A1" s="137" t="str">
        <f>"BACKUP DE ORÇAMENTO &gt; 2026 | Contas detalhadas | "&amp;'ORÇAMENTO 2026'!C1</f>
        <v>BACKUP DE ORÇAMENTO &gt; 2026 | Contas detalhadas | ASSIST. TÉCNICA - LOGÍSTICA</v>
      </c>
      <c r="B1" s="137"/>
      <c r="C1" s="137"/>
      <c r="D1" s="137"/>
      <c r="E1" s="137"/>
      <c r="F1" s="138"/>
      <c r="G1" s="138"/>
      <c r="H1" s="138"/>
      <c r="I1" s="139"/>
      <c r="J1" s="139"/>
      <c r="K1" s="139"/>
      <c r="L1" s="140"/>
      <c r="M1" s="140"/>
      <c r="N1" s="139"/>
      <c r="O1" s="139"/>
      <c r="P1" s="139"/>
      <c r="Q1" s="139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</row>
    <row r="2" spans="1:40" s="23" customFormat="1" ht="18.75" thickTop="1">
      <c r="B2" s="48"/>
      <c r="C2" s="48"/>
      <c r="D2" s="48"/>
      <c r="E2" s="48"/>
      <c r="F2" s="59"/>
      <c r="G2" s="59"/>
      <c r="H2" s="59"/>
      <c r="I2" s="60"/>
      <c r="J2" s="60"/>
      <c r="K2" s="60"/>
      <c r="L2" s="48"/>
      <c r="M2" s="48"/>
      <c r="N2" s="60"/>
      <c r="O2" s="60"/>
      <c r="P2" s="60"/>
      <c r="Q2" s="60"/>
      <c r="R2" s="48"/>
      <c r="S2" s="48"/>
      <c r="T2" s="48"/>
      <c r="U2" s="48"/>
      <c r="V2" s="48"/>
      <c r="W2" s="48"/>
      <c r="X2" s="48"/>
    </row>
    <row r="3" spans="1:40" s="23" customFormat="1" ht="19.5" thickBot="1">
      <c r="A3" s="156" t="s">
        <v>324</v>
      </c>
      <c r="B3" s="156"/>
      <c r="C3" s="48"/>
      <c r="D3" s="48"/>
      <c r="E3" s="48"/>
      <c r="F3" s="59"/>
      <c r="G3" s="59"/>
      <c r="H3" s="59"/>
      <c r="I3" s="60"/>
      <c r="J3" s="60"/>
      <c r="K3" s="60"/>
      <c r="L3" s="48"/>
      <c r="M3" s="48"/>
      <c r="N3" s="60"/>
      <c r="O3" s="60"/>
      <c r="P3" s="60"/>
      <c r="Q3" s="60"/>
      <c r="R3" s="48"/>
      <c r="S3" s="48"/>
      <c r="T3" s="48"/>
      <c r="U3" s="48"/>
      <c r="V3" s="48"/>
      <c r="W3" s="48"/>
      <c r="X3" s="48"/>
    </row>
    <row r="4" spans="1:40" s="23" customFormat="1" ht="19.5" thickTop="1">
      <c r="A4" s="163"/>
      <c r="B4" s="163"/>
      <c r="C4" s="48"/>
      <c r="D4" s="48"/>
      <c r="E4" s="48"/>
      <c r="F4" s="59"/>
      <c r="G4" s="59"/>
      <c r="H4" s="59"/>
      <c r="I4" s="60"/>
      <c r="J4" s="60"/>
      <c r="K4" s="60"/>
      <c r="L4" s="48"/>
      <c r="M4" s="48"/>
      <c r="N4" s="60"/>
      <c r="O4" s="60"/>
      <c r="P4" s="60"/>
      <c r="Q4" s="60"/>
      <c r="R4" s="48"/>
      <c r="S4" s="48"/>
      <c r="T4" s="48"/>
      <c r="U4" s="48"/>
      <c r="V4" s="48"/>
      <c r="W4" s="48"/>
      <c r="X4" s="48"/>
    </row>
    <row r="5" spans="1:40" s="23" customFormat="1" ht="18.75">
      <c r="A5" s="163" t="s">
        <v>326</v>
      </c>
      <c r="B5" s="163"/>
      <c r="C5" s="48"/>
      <c r="D5" s="48"/>
      <c r="E5" s="48"/>
      <c r="F5" s="59"/>
      <c r="G5" s="59"/>
      <c r="H5" s="59"/>
      <c r="I5" s="60"/>
      <c r="J5" s="60"/>
      <c r="K5" s="60"/>
      <c r="L5" s="48"/>
      <c r="M5" s="48"/>
      <c r="N5" s="60"/>
      <c r="O5" s="60"/>
      <c r="P5" s="60"/>
      <c r="Q5" s="60"/>
      <c r="R5" s="48"/>
      <c r="S5" s="48"/>
      <c r="T5" s="48"/>
      <c r="U5" s="48"/>
      <c r="V5" s="48"/>
      <c r="W5" s="48"/>
      <c r="X5" s="48"/>
    </row>
    <row r="6" spans="1:40" s="23" customFormat="1" ht="18.75">
      <c r="A6" s="163" t="s">
        <v>327</v>
      </c>
      <c r="B6" s="163"/>
      <c r="C6" s="48"/>
      <c r="D6" s="48"/>
      <c r="E6" s="48"/>
      <c r="F6" s="59"/>
      <c r="G6" s="59"/>
      <c r="H6" s="59"/>
      <c r="I6" s="60"/>
      <c r="J6" s="60"/>
      <c r="K6" s="60"/>
      <c r="L6" s="48"/>
      <c r="M6" s="48"/>
      <c r="N6" s="60"/>
      <c r="O6" s="60"/>
      <c r="P6" s="60"/>
      <c r="Q6" s="60"/>
      <c r="R6" s="48"/>
      <c r="S6" s="48"/>
      <c r="T6" s="48"/>
      <c r="U6" s="48"/>
      <c r="V6" s="48"/>
      <c r="W6" s="48"/>
      <c r="X6" s="48"/>
    </row>
    <row r="7" spans="1:40" s="23" customFormat="1" ht="18.75">
      <c r="A7" s="163" t="s">
        <v>328</v>
      </c>
      <c r="B7" s="163"/>
      <c r="C7" s="48"/>
      <c r="D7" s="48"/>
      <c r="E7" s="48"/>
      <c r="F7" s="59"/>
      <c r="G7" s="59"/>
      <c r="H7" s="59"/>
      <c r="I7" s="60"/>
      <c r="J7" s="60"/>
      <c r="K7" s="60"/>
      <c r="L7" s="48"/>
      <c r="M7" s="48"/>
      <c r="N7" s="60"/>
      <c r="O7" s="60"/>
      <c r="P7" s="60"/>
      <c r="Q7" s="60"/>
      <c r="R7" s="48"/>
      <c r="S7" s="48"/>
      <c r="T7" s="48"/>
      <c r="U7" s="48"/>
      <c r="V7" s="48"/>
      <c r="W7" s="48"/>
      <c r="X7" s="48"/>
    </row>
    <row r="8" spans="1:40" s="23" customFormat="1" ht="18.75">
      <c r="A8" s="163" t="s">
        <v>329</v>
      </c>
      <c r="B8" s="163"/>
      <c r="C8" s="48"/>
      <c r="D8" s="48"/>
      <c r="E8" s="48"/>
      <c r="F8" s="59"/>
      <c r="G8" s="59"/>
      <c r="H8" s="59"/>
      <c r="I8" s="60"/>
      <c r="J8" s="60"/>
      <c r="K8" s="60"/>
      <c r="L8" s="48"/>
      <c r="M8" s="48"/>
      <c r="N8" s="60"/>
      <c r="O8" s="60"/>
      <c r="P8" s="60"/>
      <c r="Q8" s="60"/>
      <c r="R8" s="48"/>
      <c r="S8" s="48"/>
      <c r="T8" s="48"/>
      <c r="U8" s="48"/>
      <c r="V8" s="48"/>
      <c r="W8" s="48"/>
      <c r="X8" s="48"/>
    </row>
    <row r="9" spans="1:40" s="23" customFormat="1" ht="18.75">
      <c r="A9" s="163" t="s">
        <v>325</v>
      </c>
      <c r="B9" s="163"/>
      <c r="C9" s="48"/>
      <c r="D9" s="48"/>
      <c r="E9" s="48"/>
      <c r="F9" s="59"/>
      <c r="G9" s="59"/>
      <c r="H9" s="59"/>
      <c r="I9" s="60"/>
      <c r="J9" s="60"/>
      <c r="K9" s="60"/>
      <c r="L9" s="48"/>
      <c r="M9" s="48"/>
      <c r="N9" s="60"/>
      <c r="O9" s="60"/>
      <c r="P9" s="60"/>
      <c r="Q9" s="60"/>
      <c r="R9" s="48"/>
      <c r="S9" s="48"/>
      <c r="T9" s="48"/>
      <c r="U9" s="48"/>
      <c r="V9" s="48"/>
      <c r="W9" s="48"/>
      <c r="X9" s="48"/>
    </row>
    <row r="10" spans="1:40" s="23" customFormat="1" ht="18.75">
      <c r="A10" s="163" t="s">
        <v>330</v>
      </c>
      <c r="B10" s="163"/>
      <c r="C10" s="48"/>
      <c r="D10" s="48"/>
      <c r="E10" s="48"/>
      <c r="F10" s="59"/>
      <c r="G10" s="59"/>
      <c r="H10" s="59"/>
      <c r="I10" s="60"/>
      <c r="J10" s="60"/>
      <c r="K10" s="60"/>
      <c r="L10" s="48"/>
      <c r="M10" s="48"/>
      <c r="N10" s="60"/>
      <c r="O10" s="60"/>
      <c r="P10" s="60"/>
      <c r="Q10" s="60"/>
      <c r="R10" s="48"/>
      <c r="S10" s="48"/>
      <c r="T10" s="48"/>
      <c r="U10" s="48"/>
      <c r="V10" s="48"/>
      <c r="W10" s="48"/>
      <c r="X10" s="48"/>
    </row>
    <row r="11" spans="1:40" s="23" customFormat="1" ht="18.75">
      <c r="A11" s="163" t="s">
        <v>331</v>
      </c>
      <c r="B11" s="163"/>
      <c r="C11" s="48"/>
      <c r="D11" s="48"/>
      <c r="E11" s="48"/>
      <c r="F11" s="59"/>
      <c r="G11" s="59"/>
      <c r="H11" s="59"/>
      <c r="I11" s="60"/>
      <c r="J11" s="60"/>
      <c r="K11" s="60"/>
      <c r="L11" s="48"/>
      <c r="M11" s="48"/>
      <c r="N11" s="60"/>
      <c r="O11" s="60"/>
      <c r="P11" s="60"/>
      <c r="Q11" s="60"/>
      <c r="R11" s="48"/>
      <c r="S11" s="48"/>
      <c r="T11" s="48"/>
      <c r="U11" s="48"/>
      <c r="V11" s="48"/>
      <c r="W11" s="48"/>
      <c r="X11" s="48"/>
    </row>
    <row r="12" spans="1:40" s="23" customFormat="1" ht="18.75">
      <c r="A12" s="163" t="s">
        <v>733</v>
      </c>
      <c r="B12" s="163"/>
      <c r="C12" s="48"/>
      <c r="D12" s="48"/>
      <c r="E12" s="48"/>
      <c r="F12" s="59"/>
      <c r="G12" s="59"/>
      <c r="H12" s="59"/>
      <c r="I12" s="60"/>
      <c r="J12" s="60"/>
      <c r="K12" s="60"/>
      <c r="L12" s="48"/>
      <c r="M12" s="48"/>
      <c r="N12" s="60"/>
      <c r="O12" s="60"/>
      <c r="P12" s="60"/>
      <c r="Q12" s="60"/>
      <c r="R12" s="48"/>
      <c r="S12" s="48"/>
      <c r="T12" s="48"/>
      <c r="U12" s="48"/>
      <c r="V12" s="48"/>
      <c r="W12" s="48"/>
      <c r="X12" s="48"/>
    </row>
    <row r="13" spans="1:40" s="23" customFormat="1" ht="18">
      <c r="B13" s="80"/>
      <c r="C13" s="48"/>
      <c r="D13" s="48"/>
      <c r="E13" s="48"/>
      <c r="F13" s="59"/>
      <c r="G13" s="59"/>
      <c r="H13" s="59"/>
      <c r="I13" s="60"/>
      <c r="J13" s="60"/>
      <c r="K13" s="60"/>
      <c r="L13" s="48"/>
      <c r="M13" s="48"/>
      <c r="N13" s="60"/>
      <c r="O13" s="60"/>
      <c r="P13" s="60"/>
      <c r="Q13" s="60"/>
      <c r="R13" s="48"/>
      <c r="S13" s="48"/>
      <c r="T13" s="48"/>
      <c r="U13" s="48"/>
      <c r="V13" s="48"/>
      <c r="W13" s="48"/>
      <c r="X13" s="48"/>
    </row>
    <row r="14" spans="1:40" s="23" customFormat="1" ht="22.5">
      <c r="A14" s="135" t="s">
        <v>283</v>
      </c>
      <c r="B14" s="135"/>
      <c r="C14" s="132"/>
      <c r="D14" s="132"/>
      <c r="E14" s="132"/>
      <c r="F14" s="133"/>
      <c r="G14" s="133"/>
      <c r="H14" s="133"/>
      <c r="I14" s="60"/>
      <c r="J14" s="60"/>
      <c r="K14" s="60"/>
      <c r="L14" s="132"/>
      <c r="M14" s="132"/>
      <c r="N14" s="60"/>
      <c r="O14" s="60"/>
      <c r="P14" s="60"/>
      <c r="Q14" s="60"/>
      <c r="R14" s="132"/>
      <c r="S14" s="132"/>
      <c r="T14" s="132"/>
      <c r="U14" s="132"/>
      <c r="V14" s="132"/>
      <c r="W14" s="132"/>
      <c r="X14" s="132"/>
    </row>
    <row r="15" spans="1:40">
      <c r="F15"/>
      <c r="G15"/>
      <c r="H15"/>
      <c r="I15"/>
      <c r="J15"/>
      <c r="K15"/>
      <c r="N15"/>
      <c r="O15"/>
      <c r="P15"/>
      <c r="Q15"/>
    </row>
    <row r="16" spans="1:40" ht="19.5">
      <c r="A16" s="201" t="s">
        <v>318</v>
      </c>
      <c r="B16" s="65" t="s">
        <v>240</v>
      </c>
      <c r="C16" s="65"/>
      <c r="D16" s="66" t="s">
        <v>260</v>
      </c>
      <c r="E16" s="67"/>
      <c r="F16" s="67"/>
      <c r="G16" s="67"/>
      <c r="H16" s="68"/>
      <c r="I16" s="81" t="s">
        <v>270</v>
      </c>
      <c r="J16" s="81"/>
      <c r="K16" s="81"/>
      <c r="L16" s="81"/>
      <c r="M16" s="84" t="s">
        <v>263</v>
      </c>
      <c r="N16" s="84"/>
      <c r="O16" s="84"/>
      <c r="P16" s="84"/>
      <c r="Q16" s="88" t="s">
        <v>146</v>
      </c>
      <c r="R16" s="88"/>
      <c r="S16" s="88"/>
      <c r="T16" s="88"/>
      <c r="U16" s="106" t="s">
        <v>145</v>
      </c>
      <c r="V16" s="106"/>
      <c r="W16" s="106"/>
      <c r="X16" s="69" t="s">
        <v>262</v>
      </c>
      <c r="Y16" s="69"/>
      <c r="Z16" s="108" t="s">
        <v>265</v>
      </c>
      <c r="AA16" s="108"/>
      <c r="AB16" s="134"/>
      <c r="AC16" s="50"/>
    </row>
    <row r="17" spans="1:29" s="55" customFormat="1" ht="60">
      <c r="A17" s="70" t="s">
        <v>275</v>
      </c>
      <c r="B17" s="70" t="s">
        <v>102</v>
      </c>
      <c r="C17" s="70" t="s">
        <v>134</v>
      </c>
      <c r="D17" s="71" t="s">
        <v>139</v>
      </c>
      <c r="E17" s="71" t="s">
        <v>104</v>
      </c>
      <c r="F17" s="71" t="s">
        <v>302</v>
      </c>
      <c r="G17" s="71" t="s">
        <v>105</v>
      </c>
      <c r="H17" s="71" t="s">
        <v>106</v>
      </c>
      <c r="I17" s="83" t="s">
        <v>147</v>
      </c>
      <c r="J17" s="83" t="s">
        <v>241</v>
      </c>
      <c r="K17" s="92" t="s">
        <v>141</v>
      </c>
      <c r="L17" s="92" t="s">
        <v>239</v>
      </c>
      <c r="M17" s="85" t="s">
        <v>237</v>
      </c>
      <c r="N17" s="87" t="s">
        <v>249</v>
      </c>
      <c r="O17" s="87" t="s">
        <v>238</v>
      </c>
      <c r="P17" s="87" t="s">
        <v>261</v>
      </c>
      <c r="Q17" s="90" t="s">
        <v>140</v>
      </c>
      <c r="R17" s="91" t="s">
        <v>242</v>
      </c>
      <c r="S17" s="91" t="s">
        <v>272</v>
      </c>
      <c r="T17" s="91" t="s">
        <v>274</v>
      </c>
      <c r="U17" s="103" t="s">
        <v>255</v>
      </c>
      <c r="V17" s="103" t="s">
        <v>128</v>
      </c>
      <c r="W17" s="103" t="s">
        <v>256</v>
      </c>
      <c r="X17" s="93" t="s">
        <v>127</v>
      </c>
      <c r="Y17" s="93" t="s">
        <v>258</v>
      </c>
      <c r="Z17" s="94" t="s">
        <v>259</v>
      </c>
      <c r="AA17" s="94" t="s">
        <v>839</v>
      </c>
      <c r="AB17" s="122" t="s">
        <v>266</v>
      </c>
      <c r="AC17" s="72" t="s">
        <v>137</v>
      </c>
    </row>
    <row r="18" spans="1:29" s="56" customFormat="1" ht="24">
      <c r="A18" s="131" t="str">
        <f>_xlfn.CONCAT(_xlfn.SEQUENCE(1,1,ROW()-7)," - ",E18," X ",F18)</f>
        <v>11 - JOINVILLE - SC X CURITIBA - PR</v>
      </c>
      <c r="B18" s="189" t="s">
        <v>720</v>
      </c>
      <c r="C18" s="190" t="s">
        <v>116</v>
      </c>
      <c r="D18" s="259" t="s">
        <v>838</v>
      </c>
      <c r="E18" s="191" t="s">
        <v>192</v>
      </c>
      <c r="F18" s="191" t="s">
        <v>175</v>
      </c>
      <c r="G18" s="192">
        <v>2</v>
      </c>
      <c r="H18" s="192">
        <v>1</v>
      </c>
      <c r="I18" s="192" t="s">
        <v>143</v>
      </c>
      <c r="J18" s="192">
        <v>0</v>
      </c>
      <c r="K18" s="115">
        <f>IF(OR(I18="NÃO",I18=""),0,IF(I18="Carro",1.56,0.71))</f>
        <v>0</v>
      </c>
      <c r="L18" s="115">
        <f>J18*K18</f>
        <v>0</v>
      </c>
      <c r="M18" s="192" t="s">
        <v>132</v>
      </c>
      <c r="N18" s="116">
        <f>IF(B18="","",IF(M18="SIM",_xlfn.XLOOKUP(F18,'ABA SUPORTE VIAGENS'!$AI:$AI,'ABA SUPORTE VIAGENS'!$AJ:$AJ),""))</f>
        <v>109.10243313492064</v>
      </c>
      <c r="O18" s="116">
        <f>IF(B18="","",IF(M18="SIM",N18*H18,0))</f>
        <v>109.10243313492064</v>
      </c>
      <c r="P18" s="196">
        <v>110</v>
      </c>
      <c r="Q18" s="192" t="s">
        <v>133</v>
      </c>
      <c r="R18" s="117">
        <f>IF(OR(Q18="NÃO",Q18=""),0,IFERROR(_xlfn.XLOOKUP(_xlfn.CONCAT(RIGHT(E18,2)," x ",RIGHT(F18,2)),'ABA SUPORTE VIAGENS'!$X:$X,'ABA SUPORTE VIAGENS'!$Y:$Y),0))</f>
        <v>0</v>
      </c>
      <c r="S18" s="117" t="str">
        <f>IF(OR(Q18="",Q18="NÃO"),"0",R18*G18*2)</f>
        <v>0</v>
      </c>
      <c r="T18" s="197"/>
      <c r="U18" s="197" t="s">
        <v>133</v>
      </c>
      <c r="V18" s="120" t="str">
        <f>IF(AND(U18="sim",H18&gt;1),_xlfn.XLOOKUP(F18,'ABA SUPORTE VIAGENS'!$AF:$AF,'ABA SUPORTE VIAGENS'!$AG:$AG),"0")</f>
        <v>0</v>
      </c>
      <c r="W18" s="120" t="str">
        <f>IF(AND(U18="sim",H18&gt;1),V18*H18*G18,"0")</f>
        <v>0</v>
      </c>
      <c r="X18" s="121">
        <f>IF(C18="","",INDEX('ABA SUPORTE VIAGENS'!$C$2:$I$91,MATCH(F18,'ABA SUPORTE VIAGENS'!$B$2:$B$91,0),MATCH(C18,'ABA SUPORTE VIAGENS'!$C$1:$I$1,0)))</f>
        <v>55</v>
      </c>
      <c r="Y18" s="121">
        <f>IF(X18="","",X18*G18*H18)</f>
        <v>110</v>
      </c>
      <c r="Z18" s="197">
        <v>20.8</v>
      </c>
      <c r="AA18" s="197"/>
      <c r="AB18" s="123">
        <f t="shared" ref="AB18:AB20" si="0">IF(B18="","",L18+O18+P18+S18+W18+Y18+Z18+T18)</f>
        <v>349.90243313492067</v>
      </c>
      <c r="AC18" s="130" t="str">
        <f t="shared" ref="AC18:AC29" si="1">IF(AB18="","",IF(SUM(T47,P76,P105,R130)=AB18,"VALORES OK","AVALIAR DISTRIBUIÇÃO VALORES"))</f>
        <v>VALORES OK</v>
      </c>
    </row>
    <row r="19" spans="1:29" s="54" customFormat="1" ht="24">
      <c r="A19" s="131" t="str">
        <f t="shared" ref="A19" si="2">_xlfn.CONCAT(_xlfn.SEQUENCE(1,1,ROW()-7)," - ",E19," X ",F19)</f>
        <v>12 - JOINVILLE - SC X CURITIBA - PR</v>
      </c>
      <c r="B19" s="193" t="s">
        <v>720</v>
      </c>
      <c r="C19" s="188" t="s">
        <v>116</v>
      </c>
      <c r="D19" s="259" t="s">
        <v>838</v>
      </c>
      <c r="E19" s="191" t="s">
        <v>192</v>
      </c>
      <c r="F19" s="194" t="s">
        <v>175</v>
      </c>
      <c r="G19" s="195">
        <v>2</v>
      </c>
      <c r="H19" s="195">
        <v>1</v>
      </c>
      <c r="I19" s="195" t="s">
        <v>143</v>
      </c>
      <c r="J19" s="192"/>
      <c r="K19" s="115">
        <f t="shared" ref="K19" si="3">IF(OR(I19="NÃO",I19=""),0,IF(I19="Carro",1.56,0.71))</f>
        <v>0</v>
      </c>
      <c r="L19" s="115">
        <f t="shared" ref="L19" si="4">J19*K19</f>
        <v>0</v>
      </c>
      <c r="M19" s="195" t="s">
        <v>132</v>
      </c>
      <c r="N19" s="116">
        <f>IF(B19="","",IF(M19="SIM",_xlfn.XLOOKUP(F19,'ABA SUPORTE VIAGENS'!$AI:$AI,'ABA SUPORTE VIAGENS'!$AJ:$AJ),""))</f>
        <v>109.10243313492064</v>
      </c>
      <c r="O19" s="116">
        <f t="shared" ref="O19:O20" si="5">IF(B19="","",IF(M19="SIM",N19*H19,0))</f>
        <v>109.10243313492064</v>
      </c>
      <c r="P19" s="196">
        <v>110</v>
      </c>
      <c r="Q19" s="195" t="s">
        <v>133</v>
      </c>
      <c r="R19" s="117">
        <f>IF(OR(Q19="NÃO",Q19=""),0,IFERROR(_xlfn.XLOOKUP(_xlfn.CONCAT(RIGHT(E19,2)," x ",RIGHT(F19,2)),'ABA SUPORTE VIAGENS'!$X:$X,'ABA SUPORTE VIAGENS'!$Y:$Y),0))</f>
        <v>0</v>
      </c>
      <c r="S19" s="117" t="str">
        <f t="shared" ref="S19" si="6">IF(OR(Q19="",Q19="NÃO"),"0",R19*G19*2)</f>
        <v>0</v>
      </c>
      <c r="T19" s="197"/>
      <c r="U19" s="198" t="s">
        <v>133</v>
      </c>
      <c r="V19" s="120" t="str">
        <f>IF(AND(U19="sim",H19&gt;1),_xlfn.XLOOKUP(F19,'ABA SUPORTE VIAGENS'!$AF:$AF,'ABA SUPORTE VIAGENS'!$AG:$AG),"0")</f>
        <v>0</v>
      </c>
      <c r="W19" s="120" t="str">
        <f t="shared" ref="W19" si="7">IF(AND(U19="sim",H19&gt;1),V19*H19*G19,"0")</f>
        <v>0</v>
      </c>
      <c r="X19" s="121">
        <f>IF(C19="","",INDEX('ABA SUPORTE VIAGENS'!$C$2:$I$91,MATCH(F19,'ABA SUPORTE VIAGENS'!$B$2:$B$91,0),MATCH(C19,'ABA SUPORTE VIAGENS'!$C$1:$I$1,0)))</f>
        <v>55</v>
      </c>
      <c r="Y19" s="121">
        <f t="shared" ref="Y19" si="8">IF(X19="","",X19*G19*H19)</f>
        <v>110</v>
      </c>
      <c r="Z19" s="197">
        <v>20.8</v>
      </c>
      <c r="AA19" s="197"/>
      <c r="AB19" s="123">
        <f t="shared" si="0"/>
        <v>349.90243313492067</v>
      </c>
      <c r="AC19" s="130" t="str">
        <f t="shared" si="1"/>
        <v>VALORES OK</v>
      </c>
    </row>
    <row r="20" spans="1:29" s="54" customFormat="1" ht="24">
      <c r="A20" s="131" t="str">
        <f t="shared" ref="A20" si="9">_xlfn.CONCAT(_xlfn.SEQUENCE(1,1,ROW()-7)," - ",E20," X ",F20)</f>
        <v>13 - JOINVILLE - SC X CURITIBA - PR</v>
      </c>
      <c r="B20" s="193" t="s">
        <v>720</v>
      </c>
      <c r="C20" s="188" t="s">
        <v>116</v>
      </c>
      <c r="D20" s="259" t="s">
        <v>838</v>
      </c>
      <c r="E20" s="191" t="s">
        <v>192</v>
      </c>
      <c r="F20" s="194" t="s">
        <v>175</v>
      </c>
      <c r="G20" s="195">
        <v>2</v>
      </c>
      <c r="H20" s="195">
        <v>1</v>
      </c>
      <c r="I20" s="195" t="s">
        <v>143</v>
      </c>
      <c r="J20" s="192"/>
      <c r="K20" s="115">
        <f t="shared" ref="K20" si="10">IF(OR(I20="NÃO",I20=""),0,IF(I20="Carro",1.56,0.71))</f>
        <v>0</v>
      </c>
      <c r="L20" s="115">
        <f t="shared" ref="L20" si="11">J20*K20</f>
        <v>0</v>
      </c>
      <c r="M20" s="195" t="s">
        <v>132</v>
      </c>
      <c r="N20" s="116">
        <f>IF(B20="","",IF(M20="SIM",_xlfn.XLOOKUP(F20,'ABA SUPORTE VIAGENS'!$AI:$AI,'ABA SUPORTE VIAGENS'!$AJ:$AJ),""))</f>
        <v>109.10243313492064</v>
      </c>
      <c r="O20" s="116">
        <f t="shared" si="5"/>
        <v>109.10243313492064</v>
      </c>
      <c r="P20" s="196">
        <v>110</v>
      </c>
      <c r="Q20" s="195" t="s">
        <v>133</v>
      </c>
      <c r="R20" s="117">
        <f>IF(OR(Q20="NÃO",Q20=""),0,IFERROR(_xlfn.XLOOKUP(_xlfn.CONCAT(RIGHT(E20,2)," x ",RIGHT(F20,2)),'ABA SUPORTE VIAGENS'!$X:$X,'ABA SUPORTE VIAGENS'!$Y:$Y),0))</f>
        <v>0</v>
      </c>
      <c r="S20" s="117" t="str">
        <f t="shared" ref="S20" si="12">IF(OR(Q20="",Q20="NÃO"),"0",R20*G20*2)</f>
        <v>0</v>
      </c>
      <c r="T20" s="197"/>
      <c r="U20" s="198" t="s">
        <v>133</v>
      </c>
      <c r="V20" s="120" t="str">
        <f>IF(AND(U20="sim",H20&gt;1),_xlfn.XLOOKUP(F20,'ABA SUPORTE VIAGENS'!$AF:$AF,'ABA SUPORTE VIAGENS'!$AG:$AG),"0")</f>
        <v>0</v>
      </c>
      <c r="W20" s="120" t="str">
        <f t="shared" ref="W20" si="13">IF(AND(U20="sim",H20&gt;1),V20*H20*G20,"0")</f>
        <v>0</v>
      </c>
      <c r="X20" s="121">
        <f>IF(C20="","",INDEX('ABA SUPORTE VIAGENS'!$C$2:$I$91,MATCH(F20,'ABA SUPORTE VIAGENS'!$B$2:$B$91,0),MATCH(C20,'ABA SUPORTE VIAGENS'!$C$1:$I$1,0)))</f>
        <v>55</v>
      </c>
      <c r="Y20" s="121">
        <f t="shared" ref="Y20" si="14">IF(X20="","",X20*G20*H20)</f>
        <v>110</v>
      </c>
      <c r="Z20" s="197">
        <v>20.8</v>
      </c>
      <c r="AA20" s="197"/>
      <c r="AB20" s="123">
        <f t="shared" si="0"/>
        <v>349.90243313492067</v>
      </c>
      <c r="AC20" s="130" t="str">
        <f t="shared" si="1"/>
        <v>VALORES OK</v>
      </c>
    </row>
    <row r="21" spans="1:29" s="54" customFormat="1" ht="24">
      <c r="A21" s="131" t="str">
        <f t="shared" ref="A21:A41" si="15">_xlfn.CONCAT(_xlfn.SEQUENCE(1,1,ROW()-7)," - ",E21," X ",F21)</f>
        <v>14 - JOINVILLE - SC X CURITIBA - PR</v>
      </c>
      <c r="B21" s="193" t="s">
        <v>720</v>
      </c>
      <c r="C21" s="188" t="s">
        <v>116</v>
      </c>
      <c r="D21" s="259" t="s">
        <v>838</v>
      </c>
      <c r="E21" s="191" t="s">
        <v>192</v>
      </c>
      <c r="F21" s="194" t="s">
        <v>175</v>
      </c>
      <c r="G21" s="195">
        <v>2</v>
      </c>
      <c r="H21" s="195">
        <v>1</v>
      </c>
      <c r="I21" s="195" t="s">
        <v>143</v>
      </c>
      <c r="J21" s="192"/>
      <c r="K21" s="115">
        <f t="shared" ref="K21:K26" si="16">IF(OR(I21="NÃO",I21=""),0,IF(I21="Carro",1.56,0.71))</f>
        <v>0</v>
      </c>
      <c r="L21" s="115">
        <f t="shared" ref="L21:L26" si="17">J21*K21</f>
        <v>0</v>
      </c>
      <c r="M21" s="195" t="s">
        <v>132</v>
      </c>
      <c r="N21" s="116">
        <f>IF(B21="","",IF(M21="SIM",_xlfn.XLOOKUP(F21,'ABA SUPORTE VIAGENS'!$AI:$AI,'ABA SUPORTE VIAGENS'!$AJ:$AJ),""))</f>
        <v>109.10243313492064</v>
      </c>
      <c r="O21" s="116">
        <f t="shared" ref="O21:O41" si="18">IF(B21="","",IF(M21="SIM",N21*H21,0))</f>
        <v>109.10243313492064</v>
      </c>
      <c r="P21" s="196">
        <v>110</v>
      </c>
      <c r="Q21" s="195" t="s">
        <v>133</v>
      </c>
      <c r="R21" s="117">
        <f>IF(OR(Q21="NÃO",Q21=""),0,IFERROR(_xlfn.XLOOKUP(_xlfn.CONCAT(RIGHT(E21,2)," x ",RIGHT(F21,2)),'ABA SUPORTE VIAGENS'!$X:$X,'ABA SUPORTE VIAGENS'!$Y:$Y),0))</f>
        <v>0</v>
      </c>
      <c r="S21" s="117" t="str">
        <f t="shared" ref="S21:S28" si="19">IF(OR(Q21="",Q21="NÃO"),"0",R21*G21*2)</f>
        <v>0</v>
      </c>
      <c r="T21" s="197"/>
      <c r="U21" s="198" t="s">
        <v>133</v>
      </c>
      <c r="V21" s="120" t="str">
        <f>IF(AND(U21="sim",H21&gt;1),_xlfn.XLOOKUP(F21,'ABA SUPORTE VIAGENS'!$AF:$AF,'ABA SUPORTE VIAGENS'!$AG:$AG),"0")</f>
        <v>0</v>
      </c>
      <c r="W21" s="120" t="str">
        <f t="shared" ref="W21:W28" si="20">IF(AND(U21="sim",H21&gt;1),V21*H21*G21,"0")</f>
        <v>0</v>
      </c>
      <c r="X21" s="121">
        <f>IF(C21="","",INDEX('ABA SUPORTE VIAGENS'!$C$2:$I$91,MATCH(F21,'ABA SUPORTE VIAGENS'!$B$2:$B$91,0),MATCH(C21,'ABA SUPORTE VIAGENS'!$C$1:$I$1,0)))</f>
        <v>55</v>
      </c>
      <c r="Y21" s="121">
        <f t="shared" ref="Y21:Y41" si="21">IF(X21="","",X21*G21*H21)</f>
        <v>110</v>
      </c>
      <c r="Z21" s="197">
        <v>20.8</v>
      </c>
      <c r="AA21" s="197"/>
      <c r="AB21" s="123">
        <f t="shared" ref="AB21:AB41" si="22">IF(B21="","",L21+O21+P21+S21+W21+Y21+Z21+T21)</f>
        <v>349.90243313492067</v>
      </c>
      <c r="AC21" s="130" t="str">
        <f t="shared" si="1"/>
        <v>VALORES OK</v>
      </c>
    </row>
    <row r="22" spans="1:29" s="54" customFormat="1" ht="24">
      <c r="A22" s="131" t="str">
        <f t="shared" si="15"/>
        <v>15 - JOINVILLE - SC X CURITIBA - PR</v>
      </c>
      <c r="B22" s="193" t="s">
        <v>720</v>
      </c>
      <c r="C22" s="188" t="s">
        <v>116</v>
      </c>
      <c r="D22" s="259" t="s">
        <v>838</v>
      </c>
      <c r="E22" s="191" t="s">
        <v>192</v>
      </c>
      <c r="F22" s="194" t="s">
        <v>175</v>
      </c>
      <c r="G22" s="195">
        <v>2</v>
      </c>
      <c r="H22" s="195">
        <v>1</v>
      </c>
      <c r="I22" s="195" t="s">
        <v>143</v>
      </c>
      <c r="J22" s="192"/>
      <c r="K22" s="115">
        <f t="shared" si="16"/>
        <v>0</v>
      </c>
      <c r="L22" s="115">
        <f t="shared" si="17"/>
        <v>0</v>
      </c>
      <c r="M22" s="195" t="s">
        <v>132</v>
      </c>
      <c r="N22" s="116">
        <f>IF(B22="","",IF(M22="SIM",_xlfn.XLOOKUP(F22,'ABA SUPORTE VIAGENS'!$AI:$AI,'ABA SUPORTE VIAGENS'!$AJ:$AJ),""))</f>
        <v>109.10243313492064</v>
      </c>
      <c r="O22" s="116">
        <f t="shared" si="18"/>
        <v>109.10243313492064</v>
      </c>
      <c r="P22" s="196">
        <v>110</v>
      </c>
      <c r="Q22" s="195" t="s">
        <v>133</v>
      </c>
      <c r="R22" s="117">
        <f>IF(OR(Q22="NÃO",Q22=""),0,IFERROR(_xlfn.XLOOKUP(_xlfn.CONCAT(RIGHT(E22,2)," x ",RIGHT(F22,2)),'ABA SUPORTE VIAGENS'!$X:$X,'ABA SUPORTE VIAGENS'!$Y:$Y),0))</f>
        <v>0</v>
      </c>
      <c r="S22" s="117" t="str">
        <f t="shared" si="19"/>
        <v>0</v>
      </c>
      <c r="T22" s="197"/>
      <c r="U22" s="198" t="s">
        <v>133</v>
      </c>
      <c r="V22" s="120" t="str">
        <f>IF(AND(U22="sim",H22&gt;1),_xlfn.XLOOKUP(F22,'ABA SUPORTE VIAGENS'!$AF:$AF,'ABA SUPORTE VIAGENS'!$AG:$AG),"0")</f>
        <v>0</v>
      </c>
      <c r="W22" s="120" t="str">
        <f t="shared" si="20"/>
        <v>0</v>
      </c>
      <c r="X22" s="121">
        <f>IF(C22="","",INDEX('ABA SUPORTE VIAGENS'!$C$2:$I$91,MATCH(F22,'ABA SUPORTE VIAGENS'!$B$2:$B$91,0),MATCH(C22,'ABA SUPORTE VIAGENS'!$C$1:$I$1,0)))</f>
        <v>55</v>
      </c>
      <c r="Y22" s="121">
        <f t="shared" si="21"/>
        <v>110</v>
      </c>
      <c r="Z22" s="197">
        <v>20.8</v>
      </c>
      <c r="AA22" s="197"/>
      <c r="AB22" s="123">
        <f t="shared" si="22"/>
        <v>349.90243313492067</v>
      </c>
      <c r="AC22" s="130" t="str">
        <f t="shared" si="1"/>
        <v>VALORES OK</v>
      </c>
    </row>
    <row r="23" spans="1:29" s="54" customFormat="1" ht="24">
      <c r="A23" s="131" t="str">
        <f t="shared" si="15"/>
        <v>16 - JOINVILLE - SC X CURITIBA - PR</v>
      </c>
      <c r="B23" s="193" t="s">
        <v>720</v>
      </c>
      <c r="C23" s="188" t="s">
        <v>116</v>
      </c>
      <c r="D23" s="259" t="s">
        <v>838</v>
      </c>
      <c r="E23" s="191" t="s">
        <v>192</v>
      </c>
      <c r="F23" s="194" t="s">
        <v>175</v>
      </c>
      <c r="G23" s="195">
        <v>2</v>
      </c>
      <c r="H23" s="195">
        <v>1</v>
      </c>
      <c r="I23" s="195" t="s">
        <v>143</v>
      </c>
      <c r="J23" s="192"/>
      <c r="K23" s="115">
        <f t="shared" si="16"/>
        <v>0</v>
      </c>
      <c r="L23" s="115">
        <f t="shared" si="17"/>
        <v>0</v>
      </c>
      <c r="M23" s="195" t="s">
        <v>132</v>
      </c>
      <c r="N23" s="116">
        <f>IF(B23="","",IF(M23="SIM",_xlfn.XLOOKUP(F23,'ABA SUPORTE VIAGENS'!$AI:$AI,'ABA SUPORTE VIAGENS'!$AJ:$AJ),""))</f>
        <v>109.10243313492064</v>
      </c>
      <c r="O23" s="116">
        <f t="shared" si="18"/>
        <v>109.10243313492064</v>
      </c>
      <c r="P23" s="196">
        <v>110</v>
      </c>
      <c r="Q23" s="195" t="s">
        <v>133</v>
      </c>
      <c r="R23" s="117">
        <f>IF(OR(Q23="NÃO",Q23=""),0,IFERROR(_xlfn.XLOOKUP(_xlfn.CONCAT(RIGHT(E23,2)," x ",RIGHT(F23,2)),'ABA SUPORTE VIAGENS'!$X:$X,'ABA SUPORTE VIAGENS'!$Y:$Y),0))</f>
        <v>0</v>
      </c>
      <c r="S23" s="117" t="str">
        <f t="shared" si="19"/>
        <v>0</v>
      </c>
      <c r="T23" s="197"/>
      <c r="U23" s="198" t="s">
        <v>133</v>
      </c>
      <c r="V23" s="120" t="str">
        <f>IF(AND(U23="sim",H23&gt;1),_xlfn.XLOOKUP(F23,'ABA SUPORTE VIAGENS'!$AF:$AF,'ABA SUPORTE VIAGENS'!$AG:$AG),"0")</f>
        <v>0</v>
      </c>
      <c r="W23" s="120" t="str">
        <f t="shared" si="20"/>
        <v>0</v>
      </c>
      <c r="X23" s="121">
        <f>IF(C23="","",INDEX('ABA SUPORTE VIAGENS'!$C$2:$I$91,MATCH(F23,'ABA SUPORTE VIAGENS'!$B$2:$B$91,0),MATCH(C23,'ABA SUPORTE VIAGENS'!$C$1:$I$1,0)))</f>
        <v>55</v>
      </c>
      <c r="Y23" s="121">
        <f t="shared" si="21"/>
        <v>110</v>
      </c>
      <c r="Z23" s="197">
        <v>20.8</v>
      </c>
      <c r="AA23" s="197"/>
      <c r="AB23" s="123">
        <f t="shared" si="22"/>
        <v>349.90243313492067</v>
      </c>
      <c r="AC23" s="130" t="str">
        <f t="shared" si="1"/>
        <v>VALORES OK</v>
      </c>
    </row>
    <row r="24" spans="1:29" s="54" customFormat="1" ht="24">
      <c r="A24" s="131" t="str">
        <f t="shared" si="15"/>
        <v>17 - JOINVILLE - SC X CURITIBA - PR</v>
      </c>
      <c r="B24" s="193" t="s">
        <v>720</v>
      </c>
      <c r="C24" s="188" t="s">
        <v>116</v>
      </c>
      <c r="D24" s="259" t="s">
        <v>838</v>
      </c>
      <c r="E24" s="191" t="s">
        <v>192</v>
      </c>
      <c r="F24" s="194" t="s">
        <v>175</v>
      </c>
      <c r="G24" s="195">
        <v>2</v>
      </c>
      <c r="H24" s="195">
        <v>1</v>
      </c>
      <c r="I24" s="195" t="s">
        <v>143</v>
      </c>
      <c r="J24" s="192"/>
      <c r="K24" s="115">
        <f t="shared" si="16"/>
        <v>0</v>
      </c>
      <c r="L24" s="115">
        <f t="shared" si="17"/>
        <v>0</v>
      </c>
      <c r="M24" s="195" t="s">
        <v>132</v>
      </c>
      <c r="N24" s="116">
        <f>IF(B24="","",IF(M24="SIM",_xlfn.XLOOKUP(F24,'ABA SUPORTE VIAGENS'!$AI:$AI,'ABA SUPORTE VIAGENS'!$AJ:$AJ),""))</f>
        <v>109.10243313492064</v>
      </c>
      <c r="O24" s="116">
        <f t="shared" si="18"/>
        <v>109.10243313492064</v>
      </c>
      <c r="P24" s="196">
        <v>110</v>
      </c>
      <c r="Q24" s="195" t="s">
        <v>133</v>
      </c>
      <c r="R24" s="117">
        <f>IF(OR(Q24="NÃO",Q24=""),0,IFERROR(_xlfn.XLOOKUP(_xlfn.CONCAT(RIGHT(E24,2)," x ",RIGHT(F24,2)),'ABA SUPORTE VIAGENS'!$X:$X,'ABA SUPORTE VIAGENS'!$Y:$Y),0))</f>
        <v>0</v>
      </c>
      <c r="S24" s="117" t="str">
        <f t="shared" si="19"/>
        <v>0</v>
      </c>
      <c r="T24" s="197"/>
      <c r="U24" s="198" t="s">
        <v>133</v>
      </c>
      <c r="V24" s="120" t="str">
        <f>IF(AND(U24="sim",H24&gt;1),_xlfn.XLOOKUP(F24,'ABA SUPORTE VIAGENS'!$AF:$AF,'ABA SUPORTE VIAGENS'!$AG:$AG),"0")</f>
        <v>0</v>
      </c>
      <c r="W24" s="120" t="str">
        <f t="shared" si="20"/>
        <v>0</v>
      </c>
      <c r="X24" s="121">
        <f>IF(C24="","",INDEX('ABA SUPORTE VIAGENS'!$C$2:$I$91,MATCH(F24,'ABA SUPORTE VIAGENS'!$B$2:$B$91,0),MATCH(C24,'ABA SUPORTE VIAGENS'!$C$1:$I$1,0)))</f>
        <v>55</v>
      </c>
      <c r="Y24" s="121">
        <f t="shared" si="21"/>
        <v>110</v>
      </c>
      <c r="Z24" s="197">
        <v>20.8</v>
      </c>
      <c r="AA24" s="197"/>
      <c r="AB24" s="123">
        <f t="shared" si="22"/>
        <v>349.90243313492067</v>
      </c>
      <c r="AC24" s="130" t="str">
        <f t="shared" si="1"/>
        <v>VALORES OK</v>
      </c>
    </row>
    <row r="25" spans="1:29" s="54" customFormat="1" ht="24">
      <c r="A25" s="131" t="str">
        <f t="shared" si="15"/>
        <v>18 - JOINVILLE - SC X CURITIBA - PR</v>
      </c>
      <c r="B25" s="193" t="s">
        <v>720</v>
      </c>
      <c r="C25" s="188" t="s">
        <v>116</v>
      </c>
      <c r="D25" s="259" t="s">
        <v>838</v>
      </c>
      <c r="E25" s="191" t="s">
        <v>192</v>
      </c>
      <c r="F25" s="194" t="s">
        <v>175</v>
      </c>
      <c r="G25" s="195">
        <v>2</v>
      </c>
      <c r="H25" s="195">
        <v>1</v>
      </c>
      <c r="I25" s="195" t="s">
        <v>143</v>
      </c>
      <c r="J25" s="192"/>
      <c r="K25" s="115">
        <f t="shared" si="16"/>
        <v>0</v>
      </c>
      <c r="L25" s="115">
        <f t="shared" si="17"/>
        <v>0</v>
      </c>
      <c r="M25" s="195" t="s">
        <v>132</v>
      </c>
      <c r="N25" s="116">
        <f>IF(B25="","",IF(M25="SIM",_xlfn.XLOOKUP(F25,'ABA SUPORTE VIAGENS'!$AI:$AI,'ABA SUPORTE VIAGENS'!$AJ:$AJ),""))</f>
        <v>109.10243313492064</v>
      </c>
      <c r="O25" s="116">
        <f t="shared" si="18"/>
        <v>109.10243313492064</v>
      </c>
      <c r="P25" s="196">
        <v>110</v>
      </c>
      <c r="Q25" s="195" t="s">
        <v>133</v>
      </c>
      <c r="R25" s="117">
        <f>IF(OR(Q25="NÃO",Q25=""),0,IFERROR(_xlfn.XLOOKUP(_xlfn.CONCAT(RIGHT(E25,2)," x ",RIGHT(F25,2)),'ABA SUPORTE VIAGENS'!$X:$X,'ABA SUPORTE VIAGENS'!$Y:$Y),0))</f>
        <v>0</v>
      </c>
      <c r="S25" s="117" t="str">
        <f t="shared" si="19"/>
        <v>0</v>
      </c>
      <c r="T25" s="197"/>
      <c r="U25" s="198" t="s">
        <v>133</v>
      </c>
      <c r="V25" s="120" t="str">
        <f>IF(AND(U25="sim",H25&gt;1),_xlfn.XLOOKUP(F25,'ABA SUPORTE VIAGENS'!$AF:$AF,'ABA SUPORTE VIAGENS'!$AG:$AG),"0")</f>
        <v>0</v>
      </c>
      <c r="W25" s="120" t="str">
        <f t="shared" si="20"/>
        <v>0</v>
      </c>
      <c r="X25" s="121">
        <f>IF(C25="","",INDEX('ABA SUPORTE VIAGENS'!$C$2:$I$91,MATCH(F25,'ABA SUPORTE VIAGENS'!$B$2:$B$91,0),MATCH(C25,'ABA SUPORTE VIAGENS'!$C$1:$I$1,0)))</f>
        <v>55</v>
      </c>
      <c r="Y25" s="121">
        <f t="shared" si="21"/>
        <v>110</v>
      </c>
      <c r="Z25" s="197">
        <v>20.8</v>
      </c>
      <c r="AA25" s="197"/>
      <c r="AB25" s="123">
        <f t="shared" si="22"/>
        <v>349.90243313492067</v>
      </c>
      <c r="AC25" s="130" t="str">
        <f t="shared" si="1"/>
        <v>VALORES OK</v>
      </c>
    </row>
    <row r="26" spans="1:29" s="54" customFormat="1" ht="24">
      <c r="A26" s="131" t="str">
        <f t="shared" si="15"/>
        <v>19 - JOINVILLE - SC X CURITIBA - PR</v>
      </c>
      <c r="B26" s="193" t="s">
        <v>720</v>
      </c>
      <c r="C26" s="188" t="s">
        <v>116</v>
      </c>
      <c r="D26" s="259" t="s">
        <v>838</v>
      </c>
      <c r="E26" s="191" t="s">
        <v>192</v>
      </c>
      <c r="F26" s="194" t="s">
        <v>175</v>
      </c>
      <c r="G26" s="195">
        <v>2</v>
      </c>
      <c r="H26" s="195">
        <v>1</v>
      </c>
      <c r="I26" s="195" t="s">
        <v>143</v>
      </c>
      <c r="J26" s="192"/>
      <c r="K26" s="115">
        <f t="shared" si="16"/>
        <v>0</v>
      </c>
      <c r="L26" s="115">
        <f t="shared" si="17"/>
        <v>0</v>
      </c>
      <c r="M26" s="195" t="s">
        <v>132</v>
      </c>
      <c r="N26" s="116">
        <f>IF(B26="","",IF(M26="SIM",_xlfn.XLOOKUP(F26,'ABA SUPORTE VIAGENS'!$AI:$AI,'ABA SUPORTE VIAGENS'!$AJ:$AJ),""))</f>
        <v>109.10243313492064</v>
      </c>
      <c r="O26" s="116">
        <f t="shared" si="18"/>
        <v>109.10243313492064</v>
      </c>
      <c r="P26" s="196">
        <v>110</v>
      </c>
      <c r="Q26" s="195" t="s">
        <v>133</v>
      </c>
      <c r="R26" s="117">
        <f>IF(OR(Q26="NÃO",Q26=""),0,IFERROR(_xlfn.XLOOKUP(_xlfn.CONCAT(RIGHT(E26,2)," x ",RIGHT(F26,2)),'ABA SUPORTE VIAGENS'!$X:$X,'ABA SUPORTE VIAGENS'!$Y:$Y),0))</f>
        <v>0</v>
      </c>
      <c r="S26" s="117" t="str">
        <f t="shared" si="19"/>
        <v>0</v>
      </c>
      <c r="T26" s="197"/>
      <c r="U26" s="198" t="s">
        <v>133</v>
      </c>
      <c r="V26" s="120" t="str">
        <f>IF(AND(U26="sim",H26&gt;1),_xlfn.XLOOKUP(F26,'ABA SUPORTE VIAGENS'!$AF:$AF,'ABA SUPORTE VIAGENS'!$AG:$AG),"0")</f>
        <v>0</v>
      </c>
      <c r="W26" s="120" t="str">
        <f t="shared" si="20"/>
        <v>0</v>
      </c>
      <c r="X26" s="121">
        <f>IF(C26="","",INDEX('ABA SUPORTE VIAGENS'!$C$2:$I$91,MATCH(F26,'ABA SUPORTE VIAGENS'!$B$2:$B$91,0),MATCH(C26,'ABA SUPORTE VIAGENS'!$C$1:$I$1,0)))</f>
        <v>55</v>
      </c>
      <c r="Y26" s="121">
        <f t="shared" si="21"/>
        <v>110</v>
      </c>
      <c r="Z26" s="197">
        <v>20.8</v>
      </c>
      <c r="AA26" s="197"/>
      <c r="AB26" s="123">
        <f t="shared" si="22"/>
        <v>349.90243313492067</v>
      </c>
      <c r="AC26" s="130" t="str">
        <f t="shared" si="1"/>
        <v>VALORES OK</v>
      </c>
    </row>
    <row r="27" spans="1:29" s="54" customFormat="1" ht="24">
      <c r="A27" s="131" t="str">
        <f t="shared" si="15"/>
        <v>20 - JOINVILLE - SC X CURITIBA - PR</v>
      </c>
      <c r="B27" s="193" t="s">
        <v>720</v>
      </c>
      <c r="C27" s="188" t="s">
        <v>116</v>
      </c>
      <c r="D27" s="259" t="s">
        <v>838</v>
      </c>
      <c r="E27" s="191" t="s">
        <v>192</v>
      </c>
      <c r="F27" s="194" t="s">
        <v>175</v>
      </c>
      <c r="G27" s="195">
        <v>2</v>
      </c>
      <c r="H27" s="195">
        <v>1</v>
      </c>
      <c r="I27" s="195" t="s">
        <v>143</v>
      </c>
      <c r="J27" s="192"/>
      <c r="K27" s="115">
        <f t="shared" ref="K27:K41" si="23">IF(OR(I27="NÃO",I27=""),0,IF(I27="Carro",1.56,0.71))</f>
        <v>0</v>
      </c>
      <c r="L27" s="115">
        <f t="shared" ref="L27:L41" si="24">J27*K27</f>
        <v>0</v>
      </c>
      <c r="M27" s="195" t="s">
        <v>132</v>
      </c>
      <c r="N27" s="116">
        <f>IF(B27="","",IF(M27="SIM",_xlfn.XLOOKUP(F27,'ABA SUPORTE VIAGENS'!$AI:$AI,'ABA SUPORTE VIAGENS'!$AJ:$AJ),""))</f>
        <v>109.10243313492064</v>
      </c>
      <c r="O27" s="116">
        <f t="shared" si="18"/>
        <v>109.10243313492064</v>
      </c>
      <c r="P27" s="196">
        <v>110</v>
      </c>
      <c r="Q27" s="195" t="s">
        <v>133</v>
      </c>
      <c r="R27" s="117">
        <f>IF(OR(Q27="NÃO",Q27=""),0,IFERROR(_xlfn.XLOOKUP(_xlfn.CONCAT(RIGHT(E27,2)," x ",RIGHT(F27,2)),'ABA SUPORTE VIAGENS'!$X:$X,'ABA SUPORTE VIAGENS'!$Y:$Y),0))</f>
        <v>0</v>
      </c>
      <c r="S27" s="117" t="str">
        <f t="shared" si="19"/>
        <v>0</v>
      </c>
      <c r="T27" s="197"/>
      <c r="U27" s="198" t="s">
        <v>133</v>
      </c>
      <c r="V27" s="120" t="str">
        <f>IF(AND(U27="sim",H27&gt;1),_xlfn.XLOOKUP(F27,'ABA SUPORTE VIAGENS'!$AF:$AF,'ABA SUPORTE VIAGENS'!$AG:$AG),"0")</f>
        <v>0</v>
      </c>
      <c r="W27" s="120" t="str">
        <f t="shared" si="20"/>
        <v>0</v>
      </c>
      <c r="X27" s="121">
        <f>IF(C27="","",INDEX('ABA SUPORTE VIAGENS'!$C$2:$I$91,MATCH(F27,'ABA SUPORTE VIAGENS'!$B$2:$B$91,0),MATCH(C27,'ABA SUPORTE VIAGENS'!$C$1:$I$1,0)))</f>
        <v>55</v>
      </c>
      <c r="Y27" s="121">
        <f t="shared" si="21"/>
        <v>110</v>
      </c>
      <c r="Z27" s="197">
        <v>20.8</v>
      </c>
      <c r="AA27" s="197"/>
      <c r="AB27" s="123">
        <f t="shared" si="22"/>
        <v>349.90243313492067</v>
      </c>
      <c r="AC27" s="130" t="str">
        <f t="shared" si="1"/>
        <v>VALORES OK</v>
      </c>
    </row>
    <row r="28" spans="1:29" s="54" customFormat="1" ht="24">
      <c r="A28" s="131" t="str">
        <f t="shared" si="15"/>
        <v>21 - JOINVILLE - SC X CURITIBA - PR</v>
      </c>
      <c r="B28" s="193" t="s">
        <v>720</v>
      </c>
      <c r="C28" s="188" t="s">
        <v>116</v>
      </c>
      <c r="D28" s="259" t="s">
        <v>838</v>
      </c>
      <c r="E28" s="191" t="s">
        <v>192</v>
      </c>
      <c r="F28" s="194" t="s">
        <v>175</v>
      </c>
      <c r="G28" s="195">
        <v>2</v>
      </c>
      <c r="H28" s="195">
        <v>1</v>
      </c>
      <c r="I28" s="195" t="s">
        <v>143</v>
      </c>
      <c r="J28" s="192"/>
      <c r="K28" s="115">
        <f t="shared" si="23"/>
        <v>0</v>
      </c>
      <c r="L28" s="115">
        <f t="shared" si="24"/>
        <v>0</v>
      </c>
      <c r="M28" s="195" t="s">
        <v>132</v>
      </c>
      <c r="N28" s="116">
        <f>IF(B28="","",IF(M28="SIM",_xlfn.XLOOKUP(F28,'ABA SUPORTE VIAGENS'!$AI:$AI,'ABA SUPORTE VIAGENS'!$AJ:$AJ),""))</f>
        <v>109.10243313492064</v>
      </c>
      <c r="O28" s="116">
        <f t="shared" si="18"/>
        <v>109.10243313492064</v>
      </c>
      <c r="P28" s="196">
        <v>110</v>
      </c>
      <c r="Q28" s="195" t="s">
        <v>133</v>
      </c>
      <c r="R28" s="117">
        <f>IF(OR(Q28="NÃO",Q28=""),0,IFERROR(_xlfn.XLOOKUP(_xlfn.CONCAT(RIGHT(E28,2)," x ",RIGHT(F28,2)),'ABA SUPORTE VIAGENS'!$X:$X,'ABA SUPORTE VIAGENS'!$Y:$Y),0))</f>
        <v>0</v>
      </c>
      <c r="S28" s="117" t="str">
        <f t="shared" si="19"/>
        <v>0</v>
      </c>
      <c r="T28" s="197"/>
      <c r="U28" s="198" t="s">
        <v>133</v>
      </c>
      <c r="V28" s="120" t="str">
        <f>IF(AND(U28="sim",H28&gt;1),_xlfn.XLOOKUP(F28,'ABA SUPORTE VIAGENS'!$AF:$AF,'ABA SUPORTE VIAGENS'!$AG:$AG),"0")</f>
        <v>0</v>
      </c>
      <c r="W28" s="120" t="str">
        <f t="shared" si="20"/>
        <v>0</v>
      </c>
      <c r="X28" s="121">
        <f>IF(C28="","",INDEX('ABA SUPORTE VIAGENS'!$C$2:$I$91,MATCH(F28,'ABA SUPORTE VIAGENS'!$B$2:$B$91,0),MATCH(C28,'ABA SUPORTE VIAGENS'!$C$1:$I$1,0)))</f>
        <v>55</v>
      </c>
      <c r="Y28" s="121">
        <f t="shared" si="21"/>
        <v>110</v>
      </c>
      <c r="Z28" s="197">
        <v>20.8</v>
      </c>
      <c r="AA28" s="197"/>
      <c r="AB28" s="123">
        <f t="shared" si="22"/>
        <v>349.90243313492067</v>
      </c>
      <c r="AC28" s="130" t="str">
        <f t="shared" si="1"/>
        <v>VALORES OK</v>
      </c>
    </row>
    <row r="29" spans="1:29" s="54" customFormat="1" ht="24">
      <c r="A29" s="131" t="str">
        <f>_xlfn.CONCAT(_xlfn.SEQUENCE(1,1,ROW()-7)," - ",E29," X ",F29)</f>
        <v>22 - JOINVILLE - SC X CURITIBA - PR</v>
      </c>
      <c r="B29" s="193" t="s">
        <v>720</v>
      </c>
      <c r="C29" s="188" t="s">
        <v>116</v>
      </c>
      <c r="D29" s="259" t="s">
        <v>838</v>
      </c>
      <c r="E29" s="191" t="s">
        <v>192</v>
      </c>
      <c r="F29" s="194" t="s">
        <v>175</v>
      </c>
      <c r="G29" s="195">
        <v>2</v>
      </c>
      <c r="H29" s="195">
        <v>1</v>
      </c>
      <c r="I29" s="195" t="s">
        <v>143</v>
      </c>
      <c r="J29" s="192"/>
      <c r="K29" s="115">
        <f>IF(OR(I29="NÃO",I29=""),0,IF(I29="Carro",1.56,0.71))</f>
        <v>0</v>
      </c>
      <c r="L29" s="115">
        <f t="shared" si="24"/>
        <v>0</v>
      </c>
      <c r="M29" s="195" t="s">
        <v>132</v>
      </c>
      <c r="N29" s="116">
        <f>IF(B29="","",IF(M29="SIM",_xlfn.XLOOKUP(F29,'ABA SUPORTE VIAGENS'!$AI:$AI,'ABA SUPORTE VIAGENS'!$AJ:$AJ),""))</f>
        <v>109.10243313492064</v>
      </c>
      <c r="O29" s="116">
        <f>IF(B29="","",IF(M29="SIM",N29*H29,0))</f>
        <v>109.10243313492064</v>
      </c>
      <c r="P29" s="196">
        <v>110</v>
      </c>
      <c r="Q29" s="195" t="s">
        <v>133</v>
      </c>
      <c r="R29" s="117">
        <f>IF(OR(Q29="NÃO",Q29=""),0,IFERROR(_xlfn.XLOOKUP(_xlfn.CONCAT(RIGHT(E29,2)," x ",RIGHT(F29,2)),'ABA SUPORTE VIAGENS'!$X:$X,'ABA SUPORTE VIAGENS'!$Y:$Y),0))</f>
        <v>0</v>
      </c>
      <c r="S29" s="117" t="str">
        <f>IF(OR(Q29="",Q29="NÃO"),"0",R29*G29*2)</f>
        <v>0</v>
      </c>
      <c r="T29" s="197"/>
      <c r="U29" s="198" t="s">
        <v>133</v>
      </c>
      <c r="V29" s="120" t="str">
        <f>IF(AND(U29="sim",H29&gt;1),_xlfn.XLOOKUP(F29,'ABA SUPORTE VIAGENS'!$AF:$AF,'ABA SUPORTE VIAGENS'!$AG:$AG),"0")</f>
        <v>0</v>
      </c>
      <c r="W29" s="120" t="str">
        <f>IF(AND(U29="sim",H29&gt;1),V29*H29*G29,"0")</f>
        <v>0</v>
      </c>
      <c r="X29" s="121">
        <f>IF(C29="","",INDEX('ABA SUPORTE VIAGENS'!$C$2:$I$91,MATCH(F29,'ABA SUPORTE VIAGENS'!$B$2:$B$91,0),MATCH(C29,'ABA SUPORTE VIAGENS'!$C$1:$I$1,0)))</f>
        <v>55</v>
      </c>
      <c r="Y29" s="121">
        <f>IF(X29="","",X29*G29*H29)</f>
        <v>110</v>
      </c>
      <c r="Z29" s="197">
        <v>20.8</v>
      </c>
      <c r="AA29" s="197"/>
      <c r="AB29" s="123">
        <f>IF(B29="","",L29+O29+P29+S29+W29+Y29+Z29+T29)</f>
        <v>349.90243313492067</v>
      </c>
      <c r="AC29" s="130" t="str">
        <f t="shared" si="1"/>
        <v>VALORES OK</v>
      </c>
    </row>
    <row r="30" spans="1:29" s="54" customFormat="1" ht="24">
      <c r="A30" s="131" t="str">
        <f t="shared" si="15"/>
        <v>23 - JOINVILLE - SC X CURITIBA - PR</v>
      </c>
      <c r="B30" s="193" t="s">
        <v>720</v>
      </c>
      <c r="C30" s="188" t="s">
        <v>116</v>
      </c>
      <c r="D30" s="259" t="s">
        <v>838</v>
      </c>
      <c r="E30" s="191" t="s">
        <v>192</v>
      </c>
      <c r="F30" s="194" t="s">
        <v>175</v>
      </c>
      <c r="G30" s="195">
        <v>2</v>
      </c>
      <c r="H30" s="195">
        <v>1</v>
      </c>
      <c r="I30" s="195" t="s">
        <v>143</v>
      </c>
      <c r="J30" s="192"/>
      <c r="K30" s="115">
        <f t="shared" ref="K30:K33" si="25">IF(OR(I30="NÃO",I30=""),0,IF(I30="Carro",1.56,0.71))</f>
        <v>0</v>
      </c>
      <c r="L30" s="115">
        <f t="shared" si="24"/>
        <v>0</v>
      </c>
      <c r="M30" s="195" t="s">
        <v>132</v>
      </c>
      <c r="N30" s="116">
        <f>IF(B30="","",IF(M30="SIM",_xlfn.XLOOKUP(F30,'ABA SUPORTE VIAGENS'!$AI:$AI,'ABA SUPORTE VIAGENS'!$AJ:$AJ),""))</f>
        <v>109.10243313492064</v>
      </c>
      <c r="O30" s="116">
        <f t="shared" ref="O30:O33" si="26">IF(B30="","",IF(M30="SIM",N30*H30,0))</f>
        <v>109.10243313492064</v>
      </c>
      <c r="P30" s="196">
        <v>110</v>
      </c>
      <c r="Q30" s="195" t="s">
        <v>133</v>
      </c>
      <c r="R30" s="117">
        <f>IF(OR(Q30="NÃO",Q30=""),0,IFERROR(_xlfn.XLOOKUP(_xlfn.CONCAT(RIGHT(E30,2)," x ",RIGHT(F30,2)),'ABA SUPORTE VIAGENS'!$X:$X,'ABA SUPORTE VIAGENS'!$Y:$Y),0))</f>
        <v>0</v>
      </c>
      <c r="S30" s="117" t="str">
        <f t="shared" ref="S30:S41" si="27">IF(OR(Q30="",Q30="NÃO"),"0",R30*G30*2)</f>
        <v>0</v>
      </c>
      <c r="T30" s="197"/>
      <c r="U30" s="198" t="s">
        <v>133</v>
      </c>
      <c r="V30" s="120" t="str">
        <f>IF(AND(U30="sim",H30&gt;1),_xlfn.XLOOKUP(F30,'ABA SUPORTE VIAGENS'!$AF:$AF,'ABA SUPORTE VIAGENS'!$AG:$AG),"0")</f>
        <v>0</v>
      </c>
      <c r="W30" s="120" t="str">
        <f t="shared" ref="W30:W41" si="28">IF(AND(U30="sim",H30&gt;1),V30*H30*G30,"0")</f>
        <v>0</v>
      </c>
      <c r="X30" s="121">
        <f>IF(C30="","",INDEX('ABA SUPORTE VIAGENS'!$C$2:$I$91,MATCH(F30,'ABA SUPORTE VIAGENS'!$B$2:$B$91,0),MATCH(C30,'ABA SUPORTE VIAGENS'!$C$1:$I$1,0)))</f>
        <v>55</v>
      </c>
      <c r="Y30" s="121">
        <f t="shared" ref="Y30:Y33" si="29">IF(X30="","",X30*G30*H30)</f>
        <v>110</v>
      </c>
      <c r="Z30" s="197">
        <v>20.8</v>
      </c>
      <c r="AA30" s="197"/>
      <c r="AB30" s="123">
        <f t="shared" ref="AB30:AB32" si="30">IF(B30="","",L30+O30+P30+S30+W30+Y30+Z30+T30)</f>
        <v>349.90243313492067</v>
      </c>
      <c r="AC30" s="130" t="str">
        <f>IF(AB30="","",IF(SUM(T59,P88,P117,R142)=AB30,"VALORES OK","AVALIAR DISTRIBUIÇÃO VALORES"))</f>
        <v>VALORES OK</v>
      </c>
    </row>
    <row r="31" spans="1:29" s="54" customFormat="1" ht="24">
      <c r="A31" s="131" t="str">
        <f t="shared" si="15"/>
        <v>24 - JOINVILLE - SC X CURITIBA - PR</v>
      </c>
      <c r="B31" s="193" t="s">
        <v>720</v>
      </c>
      <c r="C31" s="188" t="s">
        <v>116</v>
      </c>
      <c r="D31" s="259" t="s">
        <v>838</v>
      </c>
      <c r="E31" s="191" t="s">
        <v>192</v>
      </c>
      <c r="F31" s="194" t="s">
        <v>175</v>
      </c>
      <c r="G31" s="195">
        <v>2</v>
      </c>
      <c r="H31" s="195">
        <v>1</v>
      </c>
      <c r="I31" s="195" t="s">
        <v>143</v>
      </c>
      <c r="J31" s="192"/>
      <c r="K31" s="115">
        <f t="shared" si="25"/>
        <v>0</v>
      </c>
      <c r="L31" s="115">
        <f t="shared" si="24"/>
        <v>0</v>
      </c>
      <c r="M31" s="195" t="s">
        <v>132</v>
      </c>
      <c r="N31" s="116">
        <f>IF(B31="","",IF(M31="SIM",_xlfn.XLOOKUP(F31,'ABA SUPORTE VIAGENS'!$AI:$AI,'ABA SUPORTE VIAGENS'!$AJ:$AJ),""))</f>
        <v>109.10243313492064</v>
      </c>
      <c r="O31" s="116">
        <f t="shared" si="26"/>
        <v>109.10243313492064</v>
      </c>
      <c r="P31" s="196">
        <v>110</v>
      </c>
      <c r="Q31" s="195" t="s">
        <v>133</v>
      </c>
      <c r="R31" s="117">
        <f>IF(OR(Q31="NÃO",Q31=""),0,IFERROR(_xlfn.XLOOKUP(_xlfn.CONCAT(RIGHT(E31,2)," x ",RIGHT(F31,2)),'ABA SUPORTE VIAGENS'!$X:$X,'ABA SUPORTE VIAGENS'!$Y:$Y),0))</f>
        <v>0</v>
      </c>
      <c r="S31" s="117" t="str">
        <f t="shared" si="27"/>
        <v>0</v>
      </c>
      <c r="T31" s="197"/>
      <c r="U31" s="198" t="s">
        <v>133</v>
      </c>
      <c r="V31" s="120" t="str">
        <f>IF(AND(U31="sim",H31&gt;1),_xlfn.XLOOKUP(F31,'ABA SUPORTE VIAGENS'!$AF:$AF,'ABA SUPORTE VIAGENS'!$AG:$AG),"0")</f>
        <v>0</v>
      </c>
      <c r="W31" s="120" t="str">
        <f t="shared" si="28"/>
        <v>0</v>
      </c>
      <c r="X31" s="121">
        <f>IF(C31="","",INDEX('ABA SUPORTE VIAGENS'!$C$2:$I$91,MATCH(F31,'ABA SUPORTE VIAGENS'!$B$2:$B$91,0),MATCH(C31,'ABA SUPORTE VIAGENS'!$C$1:$I$1,0)))</f>
        <v>55</v>
      </c>
      <c r="Y31" s="121">
        <f t="shared" si="29"/>
        <v>110</v>
      </c>
      <c r="Z31" s="197">
        <v>20.8</v>
      </c>
      <c r="AA31" s="197"/>
      <c r="AB31" s="123">
        <f t="shared" si="30"/>
        <v>349.90243313492067</v>
      </c>
      <c r="AC31" s="130" t="str">
        <f t="shared" ref="AC31:AC41" si="31">IF(AB31="","",IF(SUM(T60,P89,P118,R143)=AB31,"VALORES OK","AVALIAR DISTRIBUIÇÃO VALORES"))</f>
        <v>VALORES OK</v>
      </c>
    </row>
    <row r="32" spans="1:29" s="54" customFormat="1" ht="24">
      <c r="A32" s="131" t="str">
        <f t="shared" si="15"/>
        <v>25 - JOINVILLE - SC X CURITIBA - PR</v>
      </c>
      <c r="B32" s="193" t="s">
        <v>720</v>
      </c>
      <c r="C32" s="188" t="s">
        <v>116</v>
      </c>
      <c r="D32" s="259" t="s">
        <v>838</v>
      </c>
      <c r="E32" s="191" t="s">
        <v>192</v>
      </c>
      <c r="F32" s="194" t="s">
        <v>175</v>
      </c>
      <c r="G32" s="195">
        <v>2</v>
      </c>
      <c r="H32" s="195">
        <v>1</v>
      </c>
      <c r="I32" s="195" t="s">
        <v>143</v>
      </c>
      <c r="J32" s="192"/>
      <c r="K32" s="115">
        <f t="shared" si="25"/>
        <v>0</v>
      </c>
      <c r="L32" s="115">
        <f t="shared" si="24"/>
        <v>0</v>
      </c>
      <c r="M32" s="195" t="s">
        <v>132</v>
      </c>
      <c r="N32" s="116">
        <f>IF(B32="","",IF(M32="SIM",_xlfn.XLOOKUP(F32,'ABA SUPORTE VIAGENS'!$AI:$AI,'ABA SUPORTE VIAGENS'!$AJ:$AJ),""))</f>
        <v>109.10243313492064</v>
      </c>
      <c r="O32" s="116">
        <f t="shared" si="26"/>
        <v>109.10243313492064</v>
      </c>
      <c r="P32" s="196">
        <v>110</v>
      </c>
      <c r="Q32" s="195" t="s">
        <v>133</v>
      </c>
      <c r="R32" s="117">
        <f>IF(OR(Q32="NÃO",Q32=""),0,IFERROR(_xlfn.XLOOKUP(_xlfn.CONCAT(RIGHT(E32,2)," x ",RIGHT(F32,2)),'ABA SUPORTE VIAGENS'!$X:$X,'ABA SUPORTE VIAGENS'!$Y:$Y),0))</f>
        <v>0</v>
      </c>
      <c r="S32" s="117" t="str">
        <f t="shared" si="27"/>
        <v>0</v>
      </c>
      <c r="T32" s="197"/>
      <c r="U32" s="198" t="s">
        <v>133</v>
      </c>
      <c r="V32" s="120" t="str">
        <f>IF(AND(U32="sim",H32&gt;1),_xlfn.XLOOKUP(F32,'ABA SUPORTE VIAGENS'!$AF:$AF,'ABA SUPORTE VIAGENS'!$AG:$AG),"0")</f>
        <v>0</v>
      </c>
      <c r="W32" s="120" t="str">
        <f t="shared" si="28"/>
        <v>0</v>
      </c>
      <c r="X32" s="121">
        <f>IF(C32="","",INDEX('ABA SUPORTE VIAGENS'!$C$2:$I$91,MATCH(F32,'ABA SUPORTE VIAGENS'!$B$2:$B$91,0),MATCH(C32,'ABA SUPORTE VIAGENS'!$C$1:$I$1,0)))</f>
        <v>55</v>
      </c>
      <c r="Y32" s="121">
        <f t="shared" si="29"/>
        <v>110</v>
      </c>
      <c r="Z32" s="197">
        <v>20.8</v>
      </c>
      <c r="AA32" s="197"/>
      <c r="AB32" s="123">
        <f t="shared" si="30"/>
        <v>349.90243313492067</v>
      </c>
      <c r="AC32" s="130" t="str">
        <f t="shared" si="31"/>
        <v>VALORES OK</v>
      </c>
    </row>
    <row r="33" spans="1:41" s="54" customFormat="1" ht="24">
      <c r="A33" s="131" t="str">
        <f>_xlfn.CONCAT(_xlfn.SEQUENCE(1,1,ROW()-7)," - ",E33," X ",F33)</f>
        <v>26 - JOINVILLE - SC X CURITIBA - PR</v>
      </c>
      <c r="B33" s="193" t="s">
        <v>720</v>
      </c>
      <c r="C33" s="188" t="s">
        <v>116</v>
      </c>
      <c r="D33" s="259" t="s">
        <v>838</v>
      </c>
      <c r="E33" s="191" t="s">
        <v>192</v>
      </c>
      <c r="F33" s="194" t="s">
        <v>175</v>
      </c>
      <c r="G33" s="195">
        <v>2</v>
      </c>
      <c r="H33" s="195">
        <v>1</v>
      </c>
      <c r="I33" s="195" t="s">
        <v>143</v>
      </c>
      <c r="J33" s="195"/>
      <c r="K33" s="115">
        <f t="shared" si="25"/>
        <v>0</v>
      </c>
      <c r="L33" s="115">
        <f t="shared" si="24"/>
        <v>0</v>
      </c>
      <c r="M33" s="195" t="s">
        <v>132</v>
      </c>
      <c r="N33" s="116">
        <f>IF(B33="","",IF(M33="SIM",_xlfn.XLOOKUP(F33,'ABA SUPORTE VIAGENS'!$AI:$AI,'ABA SUPORTE VIAGENS'!$AJ:$AJ),""))</f>
        <v>109.10243313492064</v>
      </c>
      <c r="O33" s="116">
        <f t="shared" si="26"/>
        <v>109.10243313492064</v>
      </c>
      <c r="P33" s="196">
        <v>110</v>
      </c>
      <c r="Q33" s="195" t="s">
        <v>133</v>
      </c>
      <c r="R33" s="117">
        <f>IF(OR(Q33="NÃO",Q33=""),0,IFERROR(_xlfn.XLOOKUP(_xlfn.CONCAT(RIGHT(E33,2)," x ",RIGHT(F33,2)),'ABA SUPORTE VIAGENS'!$X:$X,'ABA SUPORTE VIAGENS'!$Y:$Y),0))</f>
        <v>0</v>
      </c>
      <c r="S33" s="117" t="str">
        <f t="shared" si="27"/>
        <v>0</v>
      </c>
      <c r="T33" s="197"/>
      <c r="U33" s="198" t="s">
        <v>133</v>
      </c>
      <c r="V33" s="120" t="str">
        <f>IF(AND(U33="sim",H33&gt;1),_xlfn.XLOOKUP(F33,'ABA SUPORTE VIAGENS'!$AF:$AF,'ABA SUPORTE VIAGENS'!$AG:$AG),"0")</f>
        <v>0</v>
      </c>
      <c r="W33" s="120" t="str">
        <f t="shared" si="28"/>
        <v>0</v>
      </c>
      <c r="X33" s="121">
        <f>IF(C33="","",INDEX('ABA SUPORTE VIAGENS'!$C$2:$I$91,MATCH(F33,'ABA SUPORTE VIAGENS'!$B$2:$B$91,0),MATCH(C33,'ABA SUPORTE VIAGENS'!$C$1:$I$1,0)))</f>
        <v>55</v>
      </c>
      <c r="Y33" s="121">
        <f t="shared" si="29"/>
        <v>110</v>
      </c>
      <c r="Z33" s="197">
        <v>20.8</v>
      </c>
      <c r="AA33" s="197"/>
      <c r="AB33" s="123">
        <f>IF(B33="","",L33+O33+P33+S33+W33+Y33+Z33+T33)</f>
        <v>349.90243313492067</v>
      </c>
      <c r="AC33" s="130" t="str">
        <f t="shared" si="31"/>
        <v>VALORES OK</v>
      </c>
    </row>
    <row r="34" spans="1:41" s="54" customFormat="1" ht="24">
      <c r="A34" s="131" t="str">
        <f t="shared" si="15"/>
        <v>27 - JOINVILLE - SC X CURITIBA - PR</v>
      </c>
      <c r="B34" s="193" t="s">
        <v>720</v>
      </c>
      <c r="C34" s="188" t="s">
        <v>116</v>
      </c>
      <c r="D34" s="259" t="s">
        <v>838</v>
      </c>
      <c r="E34" s="191" t="s">
        <v>192</v>
      </c>
      <c r="F34" s="194" t="s">
        <v>175</v>
      </c>
      <c r="G34" s="195">
        <v>2</v>
      </c>
      <c r="H34" s="195">
        <v>1</v>
      </c>
      <c r="I34" s="195" t="s">
        <v>143</v>
      </c>
      <c r="J34" s="195"/>
      <c r="K34" s="115">
        <f t="shared" si="23"/>
        <v>0</v>
      </c>
      <c r="L34" s="115">
        <f t="shared" si="24"/>
        <v>0</v>
      </c>
      <c r="M34" s="195" t="s">
        <v>132</v>
      </c>
      <c r="N34" s="116">
        <f>IF(B34="","",IF(M34="SIM",_xlfn.XLOOKUP(F34,'ABA SUPORTE VIAGENS'!$AI:$AI,'ABA SUPORTE VIAGENS'!$AJ:$AJ),""))</f>
        <v>109.10243313492064</v>
      </c>
      <c r="O34" s="116">
        <f t="shared" si="18"/>
        <v>109.10243313492064</v>
      </c>
      <c r="P34" s="196">
        <v>110</v>
      </c>
      <c r="Q34" s="195" t="s">
        <v>133</v>
      </c>
      <c r="R34" s="117">
        <f>IF(OR(Q34="NÃO",Q34=""),0,IFERROR(_xlfn.XLOOKUP(_xlfn.CONCAT(RIGHT(E34,2)," x ",RIGHT(F34,2)),'ABA SUPORTE VIAGENS'!$X:$X,'ABA SUPORTE VIAGENS'!$Y:$Y),0))</f>
        <v>0</v>
      </c>
      <c r="S34" s="117" t="str">
        <f t="shared" si="27"/>
        <v>0</v>
      </c>
      <c r="T34" s="197"/>
      <c r="U34" s="198" t="s">
        <v>133</v>
      </c>
      <c r="V34" s="120" t="str">
        <f>IF(AND(U34="sim",H34&gt;1),_xlfn.XLOOKUP(F34,'ABA SUPORTE VIAGENS'!$AF:$AF,'ABA SUPORTE VIAGENS'!$AG:$AG),"0")</f>
        <v>0</v>
      </c>
      <c r="W34" s="120" t="str">
        <f t="shared" si="28"/>
        <v>0</v>
      </c>
      <c r="X34" s="121">
        <f>IF(C34="","",INDEX('ABA SUPORTE VIAGENS'!$C$2:$I$91,MATCH(F34,'ABA SUPORTE VIAGENS'!$B$2:$B$91,0),MATCH(C34,'ABA SUPORTE VIAGENS'!$C$1:$I$1,0)))</f>
        <v>55</v>
      </c>
      <c r="Y34" s="121">
        <f t="shared" si="21"/>
        <v>110</v>
      </c>
      <c r="Z34" s="197">
        <v>20.8</v>
      </c>
      <c r="AA34" s="197"/>
      <c r="AB34" s="123">
        <f t="shared" si="22"/>
        <v>349.90243313492067</v>
      </c>
      <c r="AC34" s="130" t="str">
        <f t="shared" si="31"/>
        <v>VALORES OK</v>
      </c>
    </row>
    <row r="35" spans="1:41" s="54" customFormat="1" ht="24">
      <c r="A35" s="131" t="str">
        <f t="shared" si="15"/>
        <v>28 - JOINVILLE - SC X CURITIBA - PR</v>
      </c>
      <c r="B35" s="193" t="s">
        <v>720</v>
      </c>
      <c r="C35" s="188" t="s">
        <v>116</v>
      </c>
      <c r="D35" s="259" t="s">
        <v>838</v>
      </c>
      <c r="E35" s="191" t="s">
        <v>192</v>
      </c>
      <c r="F35" s="194" t="s">
        <v>175</v>
      </c>
      <c r="G35" s="195">
        <v>2</v>
      </c>
      <c r="H35" s="195">
        <v>1</v>
      </c>
      <c r="I35" s="195" t="s">
        <v>143</v>
      </c>
      <c r="J35" s="195"/>
      <c r="K35" s="115">
        <f t="shared" si="23"/>
        <v>0</v>
      </c>
      <c r="L35" s="115">
        <f t="shared" si="24"/>
        <v>0</v>
      </c>
      <c r="M35" s="195" t="s">
        <v>132</v>
      </c>
      <c r="N35" s="116">
        <f>IF(B35="","",IF(M35="SIM",_xlfn.XLOOKUP(F35,'ABA SUPORTE VIAGENS'!$AI:$AI,'ABA SUPORTE VIAGENS'!$AJ:$AJ),""))</f>
        <v>109.10243313492064</v>
      </c>
      <c r="O35" s="116">
        <f t="shared" si="18"/>
        <v>109.10243313492064</v>
      </c>
      <c r="P35" s="196">
        <v>110</v>
      </c>
      <c r="Q35" s="195" t="s">
        <v>133</v>
      </c>
      <c r="R35" s="117">
        <f>IF(OR(Q35="NÃO",Q35=""),0,IFERROR(_xlfn.XLOOKUP(_xlfn.CONCAT(RIGHT(E35,2)," x ",RIGHT(F35,2)),'ABA SUPORTE VIAGENS'!$X:$X,'ABA SUPORTE VIAGENS'!$Y:$Y),0))</f>
        <v>0</v>
      </c>
      <c r="S35" s="117" t="str">
        <f t="shared" si="27"/>
        <v>0</v>
      </c>
      <c r="T35" s="197"/>
      <c r="U35" s="198" t="s">
        <v>133</v>
      </c>
      <c r="V35" s="120" t="str">
        <f>IF(AND(U35="sim",H35&gt;1),_xlfn.XLOOKUP(F35,'ABA SUPORTE VIAGENS'!$AF:$AF,'ABA SUPORTE VIAGENS'!$AG:$AG),"0")</f>
        <v>0</v>
      </c>
      <c r="W35" s="120" t="str">
        <f t="shared" si="28"/>
        <v>0</v>
      </c>
      <c r="X35" s="121">
        <f>IF(C35="","",INDEX('ABA SUPORTE VIAGENS'!$C$2:$I$91,MATCH(F35,'ABA SUPORTE VIAGENS'!$B$2:$B$91,0),MATCH(C35,'ABA SUPORTE VIAGENS'!$C$1:$I$1,0)))</f>
        <v>55</v>
      </c>
      <c r="Y35" s="121">
        <f t="shared" si="21"/>
        <v>110</v>
      </c>
      <c r="Z35" s="197">
        <v>20.8</v>
      </c>
      <c r="AA35" s="197"/>
      <c r="AB35" s="123">
        <f t="shared" si="22"/>
        <v>349.90243313492067</v>
      </c>
      <c r="AC35" s="130" t="str">
        <f t="shared" si="31"/>
        <v>VALORES OK</v>
      </c>
    </row>
    <row r="36" spans="1:41" s="54" customFormat="1" ht="24">
      <c r="A36" s="131" t="str">
        <f t="shared" si="15"/>
        <v>29 - JOINVILLE - SC X CURITIBA - PR</v>
      </c>
      <c r="B36" s="193" t="s">
        <v>720</v>
      </c>
      <c r="C36" s="188" t="s">
        <v>116</v>
      </c>
      <c r="D36" s="259" t="s">
        <v>838</v>
      </c>
      <c r="E36" s="191" t="s">
        <v>192</v>
      </c>
      <c r="F36" s="194" t="s">
        <v>175</v>
      </c>
      <c r="G36" s="195">
        <v>2</v>
      </c>
      <c r="H36" s="195">
        <v>1</v>
      </c>
      <c r="I36" s="195" t="s">
        <v>143</v>
      </c>
      <c r="J36" s="195"/>
      <c r="K36" s="115">
        <f t="shared" si="23"/>
        <v>0</v>
      </c>
      <c r="L36" s="115">
        <f t="shared" si="24"/>
        <v>0</v>
      </c>
      <c r="M36" s="195" t="s">
        <v>132</v>
      </c>
      <c r="N36" s="116">
        <f>IF(B36="","",IF(M36="SIM",_xlfn.XLOOKUP(F36,'ABA SUPORTE VIAGENS'!$AI:$AI,'ABA SUPORTE VIAGENS'!$AJ:$AJ),""))</f>
        <v>109.10243313492064</v>
      </c>
      <c r="O36" s="116">
        <f t="shared" si="18"/>
        <v>109.10243313492064</v>
      </c>
      <c r="P36" s="196">
        <v>110</v>
      </c>
      <c r="Q36" s="195" t="s">
        <v>133</v>
      </c>
      <c r="R36" s="117">
        <f>IF(OR(Q36="NÃO",Q36=""),0,IFERROR(_xlfn.XLOOKUP(_xlfn.CONCAT(RIGHT(E36,2)," x ",RIGHT(F36,2)),'ABA SUPORTE VIAGENS'!$X:$X,'ABA SUPORTE VIAGENS'!$Y:$Y),0))</f>
        <v>0</v>
      </c>
      <c r="S36" s="117" t="str">
        <f t="shared" si="27"/>
        <v>0</v>
      </c>
      <c r="T36" s="197"/>
      <c r="U36" s="198" t="s">
        <v>133</v>
      </c>
      <c r="V36" s="120" t="str">
        <f>IF(AND(U36="sim",H36&gt;1),_xlfn.XLOOKUP(F36,'ABA SUPORTE VIAGENS'!$AF:$AF,'ABA SUPORTE VIAGENS'!$AG:$AG),"0")</f>
        <v>0</v>
      </c>
      <c r="W36" s="120" t="str">
        <f t="shared" si="28"/>
        <v>0</v>
      </c>
      <c r="X36" s="121">
        <f>IF(C36="","",INDEX('ABA SUPORTE VIAGENS'!$C$2:$I$91,MATCH(F36,'ABA SUPORTE VIAGENS'!$B$2:$B$91,0),MATCH(C36,'ABA SUPORTE VIAGENS'!$C$1:$I$1,0)))</f>
        <v>55</v>
      </c>
      <c r="Y36" s="121">
        <f t="shared" si="21"/>
        <v>110</v>
      </c>
      <c r="Z36" s="197">
        <v>20.8</v>
      </c>
      <c r="AA36" s="197"/>
      <c r="AB36" s="123">
        <f t="shared" si="22"/>
        <v>349.90243313492067</v>
      </c>
      <c r="AC36" s="130" t="str">
        <f t="shared" si="31"/>
        <v>VALORES OK</v>
      </c>
    </row>
    <row r="37" spans="1:41" s="54" customFormat="1" ht="24">
      <c r="A37" s="131" t="str">
        <f t="shared" si="15"/>
        <v>30 - JOINVILLE - SC X CURITIBA - PR</v>
      </c>
      <c r="B37" s="193" t="s">
        <v>720</v>
      </c>
      <c r="C37" s="188" t="s">
        <v>116</v>
      </c>
      <c r="D37" s="259" t="s">
        <v>838</v>
      </c>
      <c r="E37" s="191" t="s">
        <v>192</v>
      </c>
      <c r="F37" s="194" t="s">
        <v>175</v>
      </c>
      <c r="G37" s="195">
        <v>2</v>
      </c>
      <c r="H37" s="195">
        <v>1</v>
      </c>
      <c r="I37" s="195" t="s">
        <v>143</v>
      </c>
      <c r="J37" s="195"/>
      <c r="K37" s="115">
        <f t="shared" si="23"/>
        <v>0</v>
      </c>
      <c r="L37" s="115">
        <f t="shared" si="24"/>
        <v>0</v>
      </c>
      <c r="M37" s="195" t="s">
        <v>132</v>
      </c>
      <c r="N37" s="116">
        <f>IF(B37="","",IF(M37="SIM",_xlfn.XLOOKUP(F37,'ABA SUPORTE VIAGENS'!$AI:$AI,'ABA SUPORTE VIAGENS'!$AJ:$AJ),""))</f>
        <v>109.10243313492064</v>
      </c>
      <c r="O37" s="116">
        <f t="shared" si="18"/>
        <v>109.10243313492064</v>
      </c>
      <c r="P37" s="196">
        <v>110</v>
      </c>
      <c r="Q37" s="195" t="s">
        <v>133</v>
      </c>
      <c r="R37" s="117">
        <f>IF(OR(Q37="NÃO",Q37=""),0,IFERROR(_xlfn.XLOOKUP(_xlfn.CONCAT(RIGHT(E37,2)," x ",RIGHT(F37,2)),'ABA SUPORTE VIAGENS'!$X:$X,'ABA SUPORTE VIAGENS'!$Y:$Y),0))</f>
        <v>0</v>
      </c>
      <c r="S37" s="117" t="str">
        <f t="shared" si="27"/>
        <v>0</v>
      </c>
      <c r="T37" s="197"/>
      <c r="U37" s="198" t="s">
        <v>133</v>
      </c>
      <c r="V37" s="120" t="str">
        <f>IF(AND(U37="sim",H37&gt;1),_xlfn.XLOOKUP(F37,'ABA SUPORTE VIAGENS'!$AF:$AF,'ABA SUPORTE VIAGENS'!$AG:$AG),"0")</f>
        <v>0</v>
      </c>
      <c r="W37" s="120" t="str">
        <f t="shared" si="28"/>
        <v>0</v>
      </c>
      <c r="X37" s="121">
        <f>IF(C37="","",INDEX('ABA SUPORTE VIAGENS'!$C$2:$I$91,MATCH(F37,'ABA SUPORTE VIAGENS'!$B$2:$B$91,0),MATCH(C37,'ABA SUPORTE VIAGENS'!$C$1:$I$1,0)))</f>
        <v>55</v>
      </c>
      <c r="Y37" s="121">
        <f t="shared" si="21"/>
        <v>110</v>
      </c>
      <c r="Z37" s="197">
        <v>20.8</v>
      </c>
      <c r="AA37" s="197"/>
      <c r="AB37" s="123">
        <f t="shared" si="22"/>
        <v>349.90243313492067</v>
      </c>
      <c r="AC37" s="130" t="str">
        <f t="shared" si="31"/>
        <v>VALORES OK</v>
      </c>
    </row>
    <row r="38" spans="1:41" s="54" customFormat="1" ht="24">
      <c r="A38" s="131" t="str">
        <f t="shared" si="15"/>
        <v>31 - JOINVILLE - SC X CURITIBA - PR</v>
      </c>
      <c r="B38" s="193" t="s">
        <v>720</v>
      </c>
      <c r="C38" s="188" t="s">
        <v>116</v>
      </c>
      <c r="D38" s="259" t="s">
        <v>838</v>
      </c>
      <c r="E38" s="191" t="s">
        <v>192</v>
      </c>
      <c r="F38" s="194" t="s">
        <v>175</v>
      </c>
      <c r="G38" s="195">
        <v>2</v>
      </c>
      <c r="H38" s="195">
        <v>1</v>
      </c>
      <c r="I38" s="195" t="s">
        <v>143</v>
      </c>
      <c r="J38" s="195"/>
      <c r="K38" s="115">
        <f t="shared" si="23"/>
        <v>0</v>
      </c>
      <c r="L38" s="115">
        <f t="shared" si="24"/>
        <v>0</v>
      </c>
      <c r="M38" s="195" t="s">
        <v>132</v>
      </c>
      <c r="N38" s="116">
        <f>IF(B38="","",IF(M38="SIM",_xlfn.XLOOKUP(F38,'ABA SUPORTE VIAGENS'!$AI:$AI,'ABA SUPORTE VIAGENS'!$AJ:$AJ),""))</f>
        <v>109.10243313492064</v>
      </c>
      <c r="O38" s="116">
        <f t="shared" si="18"/>
        <v>109.10243313492064</v>
      </c>
      <c r="P38" s="196">
        <v>110</v>
      </c>
      <c r="Q38" s="195" t="s">
        <v>133</v>
      </c>
      <c r="R38" s="117">
        <f>IF(OR(Q38="NÃO",Q38=""),0,IFERROR(_xlfn.XLOOKUP(_xlfn.CONCAT(RIGHT(E38,2)," x ",RIGHT(F38,2)),'ABA SUPORTE VIAGENS'!$X:$X,'ABA SUPORTE VIAGENS'!$Y:$Y),0))</f>
        <v>0</v>
      </c>
      <c r="S38" s="117" t="str">
        <f t="shared" si="27"/>
        <v>0</v>
      </c>
      <c r="T38" s="197"/>
      <c r="U38" s="198" t="s">
        <v>133</v>
      </c>
      <c r="V38" s="120" t="str">
        <f>IF(AND(U38="sim",H38&gt;1),_xlfn.XLOOKUP(F38,'ABA SUPORTE VIAGENS'!$AF:$AF,'ABA SUPORTE VIAGENS'!$AG:$AG),"0")</f>
        <v>0</v>
      </c>
      <c r="W38" s="120" t="str">
        <f t="shared" si="28"/>
        <v>0</v>
      </c>
      <c r="X38" s="121">
        <f>IF(C38="","",INDEX('ABA SUPORTE VIAGENS'!$C$2:$I$91,MATCH(F38,'ABA SUPORTE VIAGENS'!$B$2:$B$91,0),MATCH(C38,'ABA SUPORTE VIAGENS'!$C$1:$I$1,0)))</f>
        <v>55</v>
      </c>
      <c r="Y38" s="121">
        <f t="shared" si="21"/>
        <v>110</v>
      </c>
      <c r="Z38" s="197">
        <v>20.8</v>
      </c>
      <c r="AA38" s="197"/>
      <c r="AB38" s="123">
        <f t="shared" si="22"/>
        <v>349.90243313492067</v>
      </c>
      <c r="AC38" s="130" t="str">
        <f t="shared" si="31"/>
        <v>VALORES OK</v>
      </c>
    </row>
    <row r="39" spans="1:41" s="54" customFormat="1" ht="24">
      <c r="A39" s="131" t="str">
        <f t="shared" si="15"/>
        <v>32 - JOINVILLE - SC X CURITIBA - PR</v>
      </c>
      <c r="B39" s="193" t="s">
        <v>720</v>
      </c>
      <c r="C39" s="188" t="s">
        <v>116</v>
      </c>
      <c r="D39" s="259" t="s">
        <v>838</v>
      </c>
      <c r="E39" s="191" t="s">
        <v>192</v>
      </c>
      <c r="F39" s="194" t="s">
        <v>175</v>
      </c>
      <c r="G39" s="195">
        <v>2</v>
      </c>
      <c r="H39" s="195">
        <v>1</v>
      </c>
      <c r="I39" s="195" t="s">
        <v>143</v>
      </c>
      <c r="J39" s="195"/>
      <c r="K39" s="115">
        <f t="shared" si="23"/>
        <v>0</v>
      </c>
      <c r="L39" s="115">
        <f t="shared" si="24"/>
        <v>0</v>
      </c>
      <c r="M39" s="195" t="s">
        <v>132</v>
      </c>
      <c r="N39" s="116">
        <f>IF(B39="","",IF(M39="SIM",_xlfn.XLOOKUP(F39,'ABA SUPORTE VIAGENS'!$AI:$AI,'ABA SUPORTE VIAGENS'!$AJ:$AJ),""))</f>
        <v>109.10243313492064</v>
      </c>
      <c r="O39" s="116">
        <f t="shared" si="18"/>
        <v>109.10243313492064</v>
      </c>
      <c r="P39" s="196">
        <v>110</v>
      </c>
      <c r="Q39" s="195" t="s">
        <v>133</v>
      </c>
      <c r="R39" s="117">
        <f>IF(OR(Q39="NÃO",Q39=""),0,IFERROR(_xlfn.XLOOKUP(_xlfn.CONCAT(RIGHT(E39,2)," x ",RIGHT(F39,2)),'ABA SUPORTE VIAGENS'!$X:$X,'ABA SUPORTE VIAGENS'!$Y:$Y),0))</f>
        <v>0</v>
      </c>
      <c r="S39" s="117" t="str">
        <f t="shared" si="27"/>
        <v>0</v>
      </c>
      <c r="T39" s="197"/>
      <c r="U39" s="198" t="s">
        <v>133</v>
      </c>
      <c r="V39" s="120" t="str">
        <f>IF(AND(U39="sim",H39&gt;1),_xlfn.XLOOKUP(F39,'ABA SUPORTE VIAGENS'!$AF:$AF,'ABA SUPORTE VIAGENS'!$AG:$AG),"0")</f>
        <v>0</v>
      </c>
      <c r="W39" s="120" t="str">
        <f t="shared" si="28"/>
        <v>0</v>
      </c>
      <c r="X39" s="121">
        <f>IF(C39="","",INDEX('ABA SUPORTE VIAGENS'!$C$2:$I$91,MATCH(F39,'ABA SUPORTE VIAGENS'!$B$2:$B$91,0),MATCH(C39,'ABA SUPORTE VIAGENS'!$C$1:$I$1,0)))</f>
        <v>55</v>
      </c>
      <c r="Y39" s="121">
        <f t="shared" si="21"/>
        <v>110</v>
      </c>
      <c r="Z39" s="197">
        <v>20.8</v>
      </c>
      <c r="AA39" s="197"/>
      <c r="AB39" s="123">
        <f t="shared" si="22"/>
        <v>349.90243313492067</v>
      </c>
      <c r="AC39" s="130" t="str">
        <f t="shared" si="31"/>
        <v>VALORES OK</v>
      </c>
    </row>
    <row r="40" spans="1:41" s="54" customFormat="1" ht="24">
      <c r="A40" s="131" t="str">
        <f t="shared" si="15"/>
        <v>33 - JOINVILLE - SC X CURITIBA - PR</v>
      </c>
      <c r="B40" s="193" t="s">
        <v>720</v>
      </c>
      <c r="C40" s="188" t="s">
        <v>116</v>
      </c>
      <c r="D40" s="259" t="s">
        <v>838</v>
      </c>
      <c r="E40" s="191" t="s">
        <v>192</v>
      </c>
      <c r="F40" s="194" t="s">
        <v>175</v>
      </c>
      <c r="G40" s="195">
        <v>2</v>
      </c>
      <c r="H40" s="195">
        <v>1</v>
      </c>
      <c r="I40" s="195" t="s">
        <v>143</v>
      </c>
      <c r="J40" s="195"/>
      <c r="K40" s="115">
        <f t="shared" si="23"/>
        <v>0</v>
      </c>
      <c r="L40" s="115">
        <f t="shared" si="24"/>
        <v>0</v>
      </c>
      <c r="M40" s="195" t="s">
        <v>132</v>
      </c>
      <c r="N40" s="116">
        <f>IF(B40="","",IF(M40="SIM",_xlfn.XLOOKUP(F40,'ABA SUPORTE VIAGENS'!$AI:$AI,'ABA SUPORTE VIAGENS'!$AJ:$AJ),""))</f>
        <v>109.10243313492064</v>
      </c>
      <c r="O40" s="116">
        <f t="shared" si="18"/>
        <v>109.10243313492064</v>
      </c>
      <c r="P40" s="196">
        <v>110</v>
      </c>
      <c r="Q40" s="195" t="s">
        <v>133</v>
      </c>
      <c r="R40" s="117">
        <f>IF(OR(Q40="NÃO",Q40=""),0,IFERROR(_xlfn.XLOOKUP(_xlfn.CONCAT(RIGHT(E40,2)," x ",RIGHT(F40,2)),'ABA SUPORTE VIAGENS'!$X:$X,'ABA SUPORTE VIAGENS'!$Y:$Y),0))</f>
        <v>0</v>
      </c>
      <c r="S40" s="117" t="str">
        <f t="shared" si="27"/>
        <v>0</v>
      </c>
      <c r="T40" s="197"/>
      <c r="U40" s="198" t="s">
        <v>133</v>
      </c>
      <c r="V40" s="120" t="str">
        <f>IF(AND(U40="sim",H40&gt;1),_xlfn.XLOOKUP(F40,'ABA SUPORTE VIAGENS'!$AF:$AF,'ABA SUPORTE VIAGENS'!$AG:$AG),"0")</f>
        <v>0</v>
      </c>
      <c r="W40" s="120" t="str">
        <f t="shared" si="28"/>
        <v>0</v>
      </c>
      <c r="X40" s="121">
        <f>IF(C40="","",INDEX('ABA SUPORTE VIAGENS'!$C$2:$I$91,MATCH(F40,'ABA SUPORTE VIAGENS'!$B$2:$B$91,0),MATCH(C40,'ABA SUPORTE VIAGENS'!$C$1:$I$1,0)))</f>
        <v>55</v>
      </c>
      <c r="Y40" s="121">
        <f t="shared" si="21"/>
        <v>110</v>
      </c>
      <c r="Z40" s="197">
        <v>20.8</v>
      </c>
      <c r="AA40" s="197"/>
      <c r="AB40" s="123">
        <f t="shared" si="22"/>
        <v>349.90243313492067</v>
      </c>
      <c r="AC40" s="130" t="str">
        <f t="shared" si="31"/>
        <v>VALORES OK</v>
      </c>
    </row>
    <row r="41" spans="1:41" s="54" customFormat="1" ht="24">
      <c r="A41" s="131" t="str">
        <f t="shared" si="15"/>
        <v>34 - JOINVILLE - SC X CURITIBA - PR</v>
      </c>
      <c r="B41" s="193" t="s">
        <v>720</v>
      </c>
      <c r="C41" s="188" t="s">
        <v>116</v>
      </c>
      <c r="D41" s="259" t="s">
        <v>838</v>
      </c>
      <c r="E41" s="191" t="s">
        <v>192</v>
      </c>
      <c r="F41" s="194" t="s">
        <v>175</v>
      </c>
      <c r="G41" s="195">
        <v>2</v>
      </c>
      <c r="H41" s="195">
        <v>1</v>
      </c>
      <c r="I41" s="195" t="s">
        <v>143</v>
      </c>
      <c r="J41" s="195"/>
      <c r="K41" s="115">
        <f t="shared" si="23"/>
        <v>0</v>
      </c>
      <c r="L41" s="115">
        <f t="shared" si="24"/>
        <v>0</v>
      </c>
      <c r="M41" s="195" t="s">
        <v>132</v>
      </c>
      <c r="N41" s="116">
        <f>IF(B41="","",IF(M41="SIM",_xlfn.XLOOKUP(F41,'ABA SUPORTE VIAGENS'!$AI:$AI,'ABA SUPORTE VIAGENS'!$AJ:$AJ),""))</f>
        <v>109.10243313492064</v>
      </c>
      <c r="O41" s="116">
        <f t="shared" si="18"/>
        <v>109.10243313492064</v>
      </c>
      <c r="P41" s="196">
        <v>110</v>
      </c>
      <c r="Q41" s="195" t="s">
        <v>133</v>
      </c>
      <c r="R41" s="117">
        <f>IF(OR(Q41="NÃO",Q41=""),0,IFERROR(_xlfn.XLOOKUP(_xlfn.CONCAT(RIGHT(E41,2)," x ",RIGHT(F41,2)),'ABA SUPORTE VIAGENS'!$X:$X,'ABA SUPORTE VIAGENS'!$Y:$Y),0))</f>
        <v>0</v>
      </c>
      <c r="S41" s="117" t="str">
        <f t="shared" si="27"/>
        <v>0</v>
      </c>
      <c r="T41" s="197"/>
      <c r="U41" s="198" t="s">
        <v>133</v>
      </c>
      <c r="V41" s="120" t="str">
        <f>IF(AND(U41="sim",H41&gt;1),_xlfn.XLOOKUP(F41,'ABA SUPORTE VIAGENS'!$AF:$AF,'ABA SUPORTE VIAGENS'!$AG:$AG),"0")</f>
        <v>0</v>
      </c>
      <c r="W41" s="120" t="str">
        <f t="shared" si="28"/>
        <v>0</v>
      </c>
      <c r="X41" s="121">
        <f>IF(C41="","",INDEX('ABA SUPORTE VIAGENS'!$C$2:$I$91,MATCH(F41,'ABA SUPORTE VIAGENS'!$B$2:$B$91,0),MATCH(C41,'ABA SUPORTE VIAGENS'!$C$1:$I$1,0)))</f>
        <v>55</v>
      </c>
      <c r="Y41" s="121">
        <f t="shared" si="21"/>
        <v>110</v>
      </c>
      <c r="Z41" s="197">
        <v>20.8</v>
      </c>
      <c r="AA41" s="197"/>
      <c r="AB41" s="123">
        <f t="shared" si="22"/>
        <v>349.90243313492067</v>
      </c>
      <c r="AC41" s="130" t="str">
        <f t="shared" si="31"/>
        <v>VALORES OK</v>
      </c>
    </row>
    <row r="42" spans="1:41" s="23" customFormat="1" ht="18">
      <c r="B42" s="80"/>
      <c r="C42" s="48"/>
      <c r="D42" s="48"/>
      <c r="E42" s="48"/>
      <c r="F42" s="59"/>
      <c r="G42" s="59"/>
      <c r="H42" s="59"/>
      <c r="I42" s="60"/>
      <c r="J42" s="60"/>
      <c r="K42" s="60"/>
      <c r="L42" s="48"/>
      <c r="M42" s="48"/>
      <c r="N42" s="60"/>
      <c r="O42" s="60"/>
      <c r="P42" s="196"/>
      <c r="Q42" s="60"/>
      <c r="R42" s="48"/>
      <c r="S42" s="48"/>
      <c r="T42" s="48"/>
      <c r="U42" s="48"/>
      <c r="V42" s="48"/>
      <c r="W42" s="48"/>
      <c r="X42" s="48"/>
    </row>
    <row r="43" spans="1:41" s="54" customFormat="1" ht="22.5">
      <c r="A43" s="135" t="s">
        <v>284</v>
      </c>
      <c r="B43" s="136"/>
      <c r="F43" s="78"/>
      <c r="G43" s="78"/>
      <c r="H43" s="199"/>
      <c r="I43" s="199"/>
      <c r="J43" s="199"/>
      <c r="K43" s="199"/>
      <c r="L43" s="109"/>
      <c r="M43" s="110"/>
      <c r="N43" s="199"/>
      <c r="O43" s="199"/>
      <c r="P43" s="199"/>
      <c r="Q43" s="199"/>
      <c r="R43" s="109"/>
      <c r="S43" s="110"/>
      <c r="T43" s="110"/>
      <c r="U43" s="109"/>
      <c r="V43" s="110"/>
      <c r="W43" s="109"/>
      <c r="X43" s="110"/>
      <c r="Y43" s="111"/>
      <c r="Z43" s="111"/>
      <c r="AA43" s="109"/>
      <c r="AB43" s="200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</row>
    <row r="44" spans="1:41" s="23" customFormat="1" ht="18">
      <c r="B44" s="80"/>
      <c r="C44" s="48"/>
      <c r="D44" s="48"/>
      <c r="E44" s="48"/>
      <c r="F44" s="59"/>
      <c r="G44" s="59"/>
      <c r="H44" s="57" t="s">
        <v>138</v>
      </c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0"/>
      <c r="U44" s="48"/>
      <c r="V44" s="48"/>
      <c r="W44" s="48"/>
      <c r="X44" s="48"/>
    </row>
    <row r="45" spans="1:41" ht="19.5">
      <c r="A45" s="201" t="s">
        <v>319</v>
      </c>
      <c r="B45" s="127" t="s">
        <v>144</v>
      </c>
      <c r="D45" s="47"/>
      <c r="H45" s="114" t="s">
        <v>75</v>
      </c>
      <c r="I45" s="114" t="s">
        <v>76</v>
      </c>
      <c r="J45" s="114" t="s">
        <v>77</v>
      </c>
      <c r="K45" s="114" t="s">
        <v>78</v>
      </c>
      <c r="L45" s="114" t="s">
        <v>79</v>
      </c>
      <c r="M45" s="114" t="s">
        <v>80</v>
      </c>
      <c r="N45" s="114" t="s">
        <v>81</v>
      </c>
      <c r="O45" s="114" t="s">
        <v>82</v>
      </c>
      <c r="P45" s="114" t="s">
        <v>83</v>
      </c>
      <c r="Q45" s="114" t="s">
        <v>84</v>
      </c>
      <c r="R45" s="114" t="s">
        <v>85</v>
      </c>
      <c r="S45" s="114" t="s">
        <v>86</v>
      </c>
      <c r="T45" s="64" t="s">
        <v>92</v>
      </c>
    </row>
    <row r="46" spans="1:41" ht="24">
      <c r="A46" s="94" t="s">
        <v>275</v>
      </c>
      <c r="B46" s="124" t="s">
        <v>102</v>
      </c>
      <c r="C46" s="113" t="s">
        <v>276</v>
      </c>
      <c r="D46" s="113" t="s">
        <v>277</v>
      </c>
      <c r="E46" s="113" t="s">
        <v>278</v>
      </c>
      <c r="F46" s="113" t="s">
        <v>279</v>
      </c>
      <c r="G46" s="129" t="s">
        <v>269</v>
      </c>
      <c r="H46" s="248">
        <f t="shared" ref="H46:S46" si="32">SUM(H47:H70)</f>
        <v>481.6</v>
      </c>
      <c r="I46" s="248">
        <f t="shared" si="32"/>
        <v>481.6</v>
      </c>
      <c r="J46" s="248">
        <f t="shared" si="32"/>
        <v>481.6</v>
      </c>
      <c r="K46" s="248">
        <f t="shared" si="32"/>
        <v>481.6</v>
      </c>
      <c r="L46" s="248">
        <f t="shared" si="32"/>
        <v>481.6</v>
      </c>
      <c r="M46" s="248">
        <f t="shared" si="32"/>
        <v>481.6</v>
      </c>
      <c r="N46" s="248">
        <f t="shared" si="32"/>
        <v>481.6</v>
      </c>
      <c r="O46" s="248">
        <f t="shared" si="32"/>
        <v>481.6</v>
      </c>
      <c r="P46" s="248">
        <f t="shared" si="32"/>
        <v>481.6</v>
      </c>
      <c r="Q46" s="248">
        <f t="shared" si="32"/>
        <v>481.6</v>
      </c>
      <c r="R46" s="248">
        <f t="shared" si="32"/>
        <v>481.6</v>
      </c>
      <c r="S46" s="248">
        <f t="shared" si="32"/>
        <v>481.6</v>
      </c>
    </row>
    <row r="47" spans="1:41">
      <c r="A47" s="207" t="str">
        <f t="shared" ref="A47:B57" si="33">A18</f>
        <v>11 - JOINVILLE - SC X CURITIBA - PR</v>
      </c>
      <c r="B47" s="208" t="str">
        <f t="shared" si="33"/>
        <v>23210 - ASSISTÊNCIA TÉCNICA - LOGISTICA</v>
      </c>
      <c r="C47" s="209">
        <f t="shared" ref="C47:C58" si="34">L18</f>
        <v>0</v>
      </c>
      <c r="D47" s="210">
        <f t="shared" ref="D47:D58" si="35">P18</f>
        <v>110</v>
      </c>
      <c r="E47" s="209">
        <f t="shared" ref="E47:E70" si="36">Y18</f>
        <v>110</v>
      </c>
      <c r="F47" s="211">
        <f t="shared" ref="F47:F70" si="37">Z18</f>
        <v>20.8</v>
      </c>
      <c r="G47" s="212">
        <f>SUM(C47:F47)</f>
        <v>240.8</v>
      </c>
      <c r="H47" s="202">
        <v>240.8</v>
      </c>
      <c r="I47" s="202"/>
      <c r="J47" s="202"/>
      <c r="K47" s="202"/>
      <c r="L47" s="202"/>
      <c r="M47" s="202"/>
      <c r="N47" s="202"/>
      <c r="O47" s="202"/>
      <c r="P47" s="202"/>
      <c r="Q47" s="202"/>
      <c r="R47" s="202"/>
      <c r="S47" s="202"/>
      <c r="T47" s="61">
        <f>SUM(H47:S47)</f>
        <v>240.8</v>
      </c>
    </row>
    <row r="48" spans="1:41">
      <c r="A48" s="207" t="str">
        <f t="shared" ref="A48" si="38">A19</f>
        <v>12 - JOINVILLE - SC X CURITIBA - PR</v>
      </c>
      <c r="B48" s="208" t="str">
        <f t="shared" si="33"/>
        <v>23210 - ASSISTÊNCIA TÉCNICA - LOGISTICA</v>
      </c>
      <c r="C48" s="209">
        <f t="shared" si="34"/>
        <v>0</v>
      </c>
      <c r="D48" s="210">
        <f t="shared" si="35"/>
        <v>110</v>
      </c>
      <c r="E48" s="209">
        <f t="shared" si="36"/>
        <v>110</v>
      </c>
      <c r="F48" s="211">
        <f t="shared" si="37"/>
        <v>20.8</v>
      </c>
      <c r="G48" s="212">
        <f t="shared" ref="G48:G70" si="39">SUM(C48:F48)</f>
        <v>240.8</v>
      </c>
      <c r="H48" s="202"/>
      <c r="I48" s="202">
        <v>240.8</v>
      </c>
      <c r="J48" s="204"/>
      <c r="K48" s="204"/>
      <c r="L48" s="204"/>
      <c r="M48" s="204"/>
      <c r="N48" s="204"/>
      <c r="O48" s="204"/>
      <c r="P48" s="204"/>
      <c r="Q48" s="204"/>
      <c r="R48" s="204"/>
      <c r="S48" s="204"/>
      <c r="T48" s="61">
        <f t="shared" ref="T48:T70" si="40">SUM(H48:S48)</f>
        <v>240.8</v>
      </c>
    </row>
    <row r="49" spans="1:20">
      <c r="A49" s="207" t="str">
        <f t="shared" ref="A49" si="41">A20</f>
        <v>13 - JOINVILLE - SC X CURITIBA - PR</v>
      </c>
      <c r="B49" s="208" t="str">
        <f t="shared" si="33"/>
        <v>23210 - ASSISTÊNCIA TÉCNICA - LOGISTICA</v>
      </c>
      <c r="C49" s="209">
        <f t="shared" si="34"/>
        <v>0</v>
      </c>
      <c r="D49" s="210">
        <f t="shared" si="35"/>
        <v>110</v>
      </c>
      <c r="E49" s="209">
        <f t="shared" si="36"/>
        <v>110</v>
      </c>
      <c r="F49" s="211">
        <f t="shared" si="37"/>
        <v>20.8</v>
      </c>
      <c r="G49" s="212">
        <f t="shared" si="39"/>
        <v>240.8</v>
      </c>
      <c r="H49" s="203"/>
      <c r="I49" s="203"/>
      <c r="J49" s="202">
        <v>240.8</v>
      </c>
      <c r="K49" s="203"/>
      <c r="L49" s="203"/>
      <c r="M49" s="203"/>
      <c r="N49" s="203"/>
      <c r="O49" s="203"/>
      <c r="P49" s="203"/>
      <c r="Q49" s="203"/>
      <c r="R49" s="203"/>
      <c r="S49" s="203"/>
      <c r="T49" s="61">
        <f t="shared" si="40"/>
        <v>240.8</v>
      </c>
    </row>
    <row r="50" spans="1:20">
      <c r="A50" s="207" t="str">
        <f t="shared" ref="A50" si="42">A21</f>
        <v>14 - JOINVILLE - SC X CURITIBA - PR</v>
      </c>
      <c r="B50" s="208" t="str">
        <f t="shared" si="33"/>
        <v>23210 - ASSISTÊNCIA TÉCNICA - LOGISTICA</v>
      </c>
      <c r="C50" s="209">
        <f t="shared" si="34"/>
        <v>0</v>
      </c>
      <c r="D50" s="210">
        <f t="shared" si="35"/>
        <v>110</v>
      </c>
      <c r="E50" s="209">
        <f t="shared" si="36"/>
        <v>110</v>
      </c>
      <c r="F50" s="211">
        <f t="shared" si="37"/>
        <v>20.8</v>
      </c>
      <c r="G50" s="212">
        <f t="shared" si="39"/>
        <v>240.8</v>
      </c>
      <c r="H50" s="203"/>
      <c r="I50" s="203"/>
      <c r="J50" s="203"/>
      <c r="K50" s="202">
        <v>240.8</v>
      </c>
      <c r="L50" s="203"/>
      <c r="M50" s="203"/>
      <c r="N50" s="203"/>
      <c r="O50" s="203"/>
      <c r="P50" s="203"/>
      <c r="Q50" s="203"/>
      <c r="R50" s="203"/>
      <c r="S50" s="203"/>
      <c r="T50" s="61">
        <f t="shared" si="40"/>
        <v>240.8</v>
      </c>
    </row>
    <row r="51" spans="1:20">
      <c r="A51" s="207" t="str">
        <f t="shared" ref="A51" si="43">A22</f>
        <v>15 - JOINVILLE - SC X CURITIBA - PR</v>
      </c>
      <c r="B51" s="208" t="str">
        <f t="shared" si="33"/>
        <v>23210 - ASSISTÊNCIA TÉCNICA - LOGISTICA</v>
      </c>
      <c r="C51" s="209">
        <f t="shared" si="34"/>
        <v>0</v>
      </c>
      <c r="D51" s="210">
        <f t="shared" si="35"/>
        <v>110</v>
      </c>
      <c r="E51" s="209">
        <f t="shared" si="36"/>
        <v>110</v>
      </c>
      <c r="F51" s="211">
        <f t="shared" si="37"/>
        <v>20.8</v>
      </c>
      <c r="G51" s="212">
        <f t="shared" si="39"/>
        <v>240.8</v>
      </c>
      <c r="H51" s="203"/>
      <c r="I51" s="203"/>
      <c r="J51" s="204"/>
      <c r="K51" s="204"/>
      <c r="L51" s="202">
        <v>240.8</v>
      </c>
      <c r="M51" s="204"/>
      <c r="N51" s="204"/>
      <c r="O51" s="204"/>
      <c r="P51" s="204"/>
      <c r="Q51" s="204"/>
      <c r="R51" s="204"/>
      <c r="S51" s="204"/>
      <c r="T51" s="61">
        <f t="shared" si="40"/>
        <v>240.8</v>
      </c>
    </row>
    <row r="52" spans="1:20">
      <c r="A52" s="207" t="str">
        <f t="shared" ref="A52" si="44">A23</f>
        <v>16 - JOINVILLE - SC X CURITIBA - PR</v>
      </c>
      <c r="B52" s="208" t="str">
        <f t="shared" si="33"/>
        <v>23210 - ASSISTÊNCIA TÉCNICA - LOGISTICA</v>
      </c>
      <c r="C52" s="209">
        <f t="shared" si="34"/>
        <v>0</v>
      </c>
      <c r="D52" s="210">
        <f t="shared" si="35"/>
        <v>110</v>
      </c>
      <c r="E52" s="209">
        <f t="shared" si="36"/>
        <v>110</v>
      </c>
      <c r="F52" s="211">
        <f t="shared" si="37"/>
        <v>20.8</v>
      </c>
      <c r="G52" s="212">
        <f t="shared" si="39"/>
        <v>240.8</v>
      </c>
      <c r="H52" s="205"/>
      <c r="I52" s="206"/>
      <c r="J52" s="204"/>
      <c r="K52" s="206"/>
      <c r="L52" s="206"/>
      <c r="M52" s="202">
        <v>240.8</v>
      </c>
      <c r="N52" s="204"/>
      <c r="O52" s="206"/>
      <c r="P52" s="206"/>
      <c r="Q52" s="206"/>
      <c r="R52" s="206"/>
      <c r="S52" s="204"/>
      <c r="T52" s="61">
        <f t="shared" si="40"/>
        <v>240.8</v>
      </c>
    </row>
    <row r="53" spans="1:20">
      <c r="A53" s="207" t="str">
        <f t="shared" ref="A53" si="45">A24</f>
        <v>17 - JOINVILLE - SC X CURITIBA - PR</v>
      </c>
      <c r="B53" s="208" t="str">
        <f t="shared" si="33"/>
        <v>23210 - ASSISTÊNCIA TÉCNICA - LOGISTICA</v>
      </c>
      <c r="C53" s="209">
        <f t="shared" si="34"/>
        <v>0</v>
      </c>
      <c r="D53" s="210">
        <f t="shared" si="35"/>
        <v>110</v>
      </c>
      <c r="E53" s="209">
        <f t="shared" si="36"/>
        <v>110</v>
      </c>
      <c r="F53" s="211">
        <f t="shared" si="37"/>
        <v>20.8</v>
      </c>
      <c r="G53" s="212">
        <f t="shared" si="39"/>
        <v>240.8</v>
      </c>
      <c r="H53" s="205"/>
      <c r="I53" s="206"/>
      <c r="J53" s="203"/>
      <c r="K53" s="206"/>
      <c r="L53" s="206"/>
      <c r="M53" s="204"/>
      <c r="N53" s="202">
        <v>240.8</v>
      </c>
      <c r="O53" s="206"/>
      <c r="P53" s="206"/>
      <c r="Q53" s="206"/>
      <c r="R53" s="206"/>
      <c r="S53" s="204"/>
      <c r="T53" s="61">
        <f t="shared" si="40"/>
        <v>240.8</v>
      </c>
    </row>
    <row r="54" spans="1:20">
      <c r="A54" s="207" t="str">
        <f t="shared" ref="A54" si="46">A25</f>
        <v>18 - JOINVILLE - SC X CURITIBA - PR</v>
      </c>
      <c r="B54" s="208" t="str">
        <f t="shared" si="33"/>
        <v>23210 - ASSISTÊNCIA TÉCNICA - LOGISTICA</v>
      </c>
      <c r="C54" s="209">
        <f t="shared" si="34"/>
        <v>0</v>
      </c>
      <c r="D54" s="210">
        <f t="shared" si="35"/>
        <v>110</v>
      </c>
      <c r="E54" s="209">
        <f t="shared" si="36"/>
        <v>110</v>
      </c>
      <c r="F54" s="211">
        <f t="shared" si="37"/>
        <v>20.8</v>
      </c>
      <c r="G54" s="212">
        <f t="shared" si="39"/>
        <v>240.8</v>
      </c>
      <c r="H54" s="205"/>
      <c r="I54" s="206"/>
      <c r="J54" s="206"/>
      <c r="K54" s="206"/>
      <c r="L54" s="206"/>
      <c r="M54" s="204"/>
      <c r="N54" s="204"/>
      <c r="O54" s="202">
        <v>240.8</v>
      </c>
      <c r="P54" s="206"/>
      <c r="Q54" s="206"/>
      <c r="R54" s="206"/>
      <c r="S54" s="204"/>
      <c r="T54" s="61">
        <f t="shared" si="40"/>
        <v>240.8</v>
      </c>
    </row>
    <row r="55" spans="1:20">
      <c r="A55" s="207" t="str">
        <f t="shared" ref="A55" si="47">A26</f>
        <v>19 - JOINVILLE - SC X CURITIBA - PR</v>
      </c>
      <c r="B55" s="208" t="str">
        <f t="shared" si="33"/>
        <v>23210 - ASSISTÊNCIA TÉCNICA - LOGISTICA</v>
      </c>
      <c r="C55" s="209">
        <f t="shared" si="34"/>
        <v>0</v>
      </c>
      <c r="D55" s="210">
        <f t="shared" si="35"/>
        <v>110</v>
      </c>
      <c r="E55" s="209">
        <f t="shared" si="36"/>
        <v>110</v>
      </c>
      <c r="F55" s="211">
        <f t="shared" si="37"/>
        <v>20.8</v>
      </c>
      <c r="G55" s="212">
        <f t="shared" si="39"/>
        <v>240.8</v>
      </c>
      <c r="H55" s="205"/>
      <c r="I55" s="206"/>
      <c r="J55" s="206"/>
      <c r="K55" s="203"/>
      <c r="L55" s="206"/>
      <c r="M55" s="204"/>
      <c r="N55" s="204"/>
      <c r="O55" s="206"/>
      <c r="P55" s="202">
        <v>240.8</v>
      </c>
      <c r="Q55" s="206"/>
      <c r="R55" s="206"/>
      <c r="S55" s="204"/>
      <c r="T55" s="61">
        <f t="shared" si="40"/>
        <v>240.8</v>
      </c>
    </row>
    <row r="56" spans="1:20">
      <c r="A56" s="207" t="str">
        <f t="shared" ref="A56" si="48">A27</f>
        <v>20 - JOINVILLE - SC X CURITIBA - PR</v>
      </c>
      <c r="B56" s="208" t="str">
        <f t="shared" si="33"/>
        <v>23210 - ASSISTÊNCIA TÉCNICA - LOGISTICA</v>
      </c>
      <c r="C56" s="209">
        <f t="shared" si="34"/>
        <v>0</v>
      </c>
      <c r="D56" s="210">
        <f t="shared" si="35"/>
        <v>110</v>
      </c>
      <c r="E56" s="209">
        <f t="shared" si="36"/>
        <v>110</v>
      </c>
      <c r="F56" s="211">
        <f t="shared" si="37"/>
        <v>20.8</v>
      </c>
      <c r="G56" s="212">
        <f t="shared" si="39"/>
        <v>240.8</v>
      </c>
      <c r="H56" s="205"/>
      <c r="I56" s="206"/>
      <c r="J56" s="206"/>
      <c r="K56" s="206"/>
      <c r="L56" s="206"/>
      <c r="M56" s="204"/>
      <c r="N56" s="204"/>
      <c r="O56" s="206"/>
      <c r="P56" s="206"/>
      <c r="Q56" s="202">
        <v>240.8</v>
      </c>
      <c r="R56" s="206"/>
      <c r="S56" s="204"/>
      <c r="T56" s="61">
        <f t="shared" si="40"/>
        <v>240.8</v>
      </c>
    </row>
    <row r="57" spans="1:20">
      <c r="A57" s="207" t="str">
        <f t="shared" ref="A57" si="49">A28</f>
        <v>21 - JOINVILLE - SC X CURITIBA - PR</v>
      </c>
      <c r="B57" s="208" t="str">
        <f t="shared" si="33"/>
        <v>23210 - ASSISTÊNCIA TÉCNICA - LOGISTICA</v>
      </c>
      <c r="C57" s="209">
        <f t="shared" si="34"/>
        <v>0</v>
      </c>
      <c r="D57" s="210">
        <f t="shared" si="35"/>
        <v>110</v>
      </c>
      <c r="E57" s="209">
        <f t="shared" si="36"/>
        <v>110</v>
      </c>
      <c r="F57" s="211">
        <f t="shared" si="37"/>
        <v>20.8</v>
      </c>
      <c r="G57" s="212">
        <f t="shared" si="39"/>
        <v>240.8</v>
      </c>
      <c r="H57" s="205"/>
      <c r="I57" s="206"/>
      <c r="J57" s="206"/>
      <c r="K57" s="206"/>
      <c r="L57" s="203"/>
      <c r="M57" s="204"/>
      <c r="N57" s="204"/>
      <c r="O57" s="206"/>
      <c r="P57" s="206"/>
      <c r="Q57" s="206"/>
      <c r="R57" s="202">
        <v>240.8</v>
      </c>
      <c r="S57" s="204"/>
      <c r="T57" s="61">
        <f t="shared" si="40"/>
        <v>240.8</v>
      </c>
    </row>
    <row r="58" spans="1:20">
      <c r="A58" s="207" t="str">
        <f t="shared" ref="A58" si="50">A29</f>
        <v>22 - JOINVILLE - SC X CURITIBA - PR</v>
      </c>
      <c r="B58" s="208" t="str">
        <f>B29</f>
        <v>23210 - ASSISTÊNCIA TÉCNICA - LOGISTICA</v>
      </c>
      <c r="C58" s="209">
        <f t="shared" si="34"/>
        <v>0</v>
      </c>
      <c r="D58" s="210">
        <f t="shared" si="35"/>
        <v>110</v>
      </c>
      <c r="E58" s="209">
        <f t="shared" si="36"/>
        <v>110</v>
      </c>
      <c r="F58" s="211">
        <f t="shared" si="37"/>
        <v>20.8</v>
      </c>
      <c r="G58" s="212">
        <f t="shared" si="39"/>
        <v>240.8</v>
      </c>
      <c r="H58" s="205"/>
      <c r="I58" s="206"/>
      <c r="J58" s="206"/>
      <c r="K58" s="206"/>
      <c r="L58" s="206"/>
      <c r="M58" s="204"/>
      <c r="N58" s="204"/>
      <c r="O58" s="206"/>
      <c r="P58" s="206"/>
      <c r="Q58" s="206"/>
      <c r="R58" s="206"/>
      <c r="S58" s="202">
        <v>240.8</v>
      </c>
      <c r="T58" s="61">
        <f t="shared" si="40"/>
        <v>240.8</v>
      </c>
    </row>
    <row r="59" spans="1:20">
      <c r="A59" s="207" t="str">
        <f t="shared" ref="A59" si="51">A30</f>
        <v>23 - JOINVILLE - SC X CURITIBA - PR</v>
      </c>
      <c r="B59" s="208" t="str">
        <f t="shared" ref="B59:B64" si="52">B33</f>
        <v>23210 - ASSISTÊNCIA TÉCNICA - LOGISTICA</v>
      </c>
      <c r="C59" s="209">
        <f t="shared" ref="C59:C64" si="53">L33</f>
        <v>0</v>
      </c>
      <c r="D59" s="210">
        <f t="shared" ref="D59:D64" si="54">P33</f>
        <v>110</v>
      </c>
      <c r="E59" s="209">
        <f t="shared" si="36"/>
        <v>110</v>
      </c>
      <c r="F59" s="211">
        <f t="shared" si="37"/>
        <v>20.8</v>
      </c>
      <c r="G59" s="212">
        <f t="shared" si="39"/>
        <v>240.8</v>
      </c>
      <c r="H59" s="205">
        <v>240.8</v>
      </c>
      <c r="I59" s="206"/>
      <c r="J59" s="206"/>
      <c r="K59" s="206"/>
      <c r="L59" s="206"/>
      <c r="M59" s="203"/>
      <c r="N59" s="204"/>
      <c r="O59" s="206"/>
      <c r="P59" s="206"/>
      <c r="Q59" s="206"/>
      <c r="R59" s="206"/>
      <c r="S59" s="204"/>
      <c r="T59" s="61">
        <f t="shared" si="40"/>
        <v>240.8</v>
      </c>
    </row>
    <row r="60" spans="1:20">
      <c r="A60" s="207" t="str">
        <f t="shared" ref="A60" si="55">A31</f>
        <v>24 - JOINVILLE - SC X CURITIBA - PR</v>
      </c>
      <c r="B60" s="208" t="str">
        <f t="shared" si="52"/>
        <v>23210 - ASSISTÊNCIA TÉCNICA - LOGISTICA</v>
      </c>
      <c r="C60" s="209">
        <f t="shared" si="53"/>
        <v>0</v>
      </c>
      <c r="D60" s="210">
        <f t="shared" si="54"/>
        <v>110</v>
      </c>
      <c r="E60" s="209">
        <f t="shared" si="36"/>
        <v>110</v>
      </c>
      <c r="F60" s="211">
        <f t="shared" si="37"/>
        <v>20.8</v>
      </c>
      <c r="G60" s="212">
        <f t="shared" si="39"/>
        <v>240.8</v>
      </c>
      <c r="H60" s="205"/>
      <c r="I60" s="205">
        <v>240.8</v>
      </c>
      <c r="J60" s="206"/>
      <c r="K60" s="206"/>
      <c r="L60" s="206"/>
      <c r="M60" s="204"/>
      <c r="N60" s="204"/>
      <c r="O60" s="206"/>
      <c r="P60" s="206"/>
      <c r="Q60" s="206"/>
      <c r="R60" s="206"/>
      <c r="S60" s="204"/>
      <c r="T60" s="61">
        <f t="shared" si="40"/>
        <v>240.8</v>
      </c>
    </row>
    <row r="61" spans="1:20">
      <c r="A61" s="207" t="str">
        <f t="shared" ref="A61" si="56">A32</f>
        <v>25 - JOINVILLE - SC X CURITIBA - PR</v>
      </c>
      <c r="B61" s="208" t="str">
        <f t="shared" si="52"/>
        <v>23210 - ASSISTÊNCIA TÉCNICA - LOGISTICA</v>
      </c>
      <c r="C61" s="209">
        <f t="shared" si="53"/>
        <v>0</v>
      </c>
      <c r="D61" s="210">
        <f t="shared" si="54"/>
        <v>110</v>
      </c>
      <c r="E61" s="209">
        <f t="shared" si="36"/>
        <v>110</v>
      </c>
      <c r="F61" s="211">
        <f t="shared" si="37"/>
        <v>20.8</v>
      </c>
      <c r="G61" s="212">
        <f t="shared" si="39"/>
        <v>240.8</v>
      </c>
      <c r="H61" s="205"/>
      <c r="I61" s="206"/>
      <c r="J61" s="205">
        <v>240.8</v>
      </c>
      <c r="K61" s="206"/>
      <c r="L61" s="206"/>
      <c r="M61" s="204"/>
      <c r="N61" s="203"/>
      <c r="O61" s="206"/>
      <c r="P61" s="206"/>
      <c r="Q61" s="206"/>
      <c r="R61" s="206"/>
      <c r="S61" s="204"/>
      <c r="T61" s="61">
        <f t="shared" si="40"/>
        <v>240.8</v>
      </c>
    </row>
    <row r="62" spans="1:20">
      <c r="A62" s="207" t="str">
        <f t="shared" ref="A62" si="57">A33</f>
        <v>26 - JOINVILLE - SC X CURITIBA - PR</v>
      </c>
      <c r="B62" s="208" t="str">
        <f t="shared" si="52"/>
        <v>23210 - ASSISTÊNCIA TÉCNICA - LOGISTICA</v>
      </c>
      <c r="C62" s="209">
        <f t="shared" si="53"/>
        <v>0</v>
      </c>
      <c r="D62" s="210">
        <f t="shared" si="54"/>
        <v>110</v>
      </c>
      <c r="E62" s="209">
        <f t="shared" si="36"/>
        <v>110</v>
      </c>
      <c r="F62" s="211">
        <f t="shared" si="37"/>
        <v>20.8</v>
      </c>
      <c r="G62" s="212">
        <f t="shared" si="39"/>
        <v>240.8</v>
      </c>
      <c r="H62" s="205"/>
      <c r="I62" s="206"/>
      <c r="J62" s="206"/>
      <c r="K62" s="205">
        <v>240.8</v>
      </c>
      <c r="L62" s="206"/>
      <c r="M62" s="204"/>
      <c r="N62" s="204"/>
      <c r="O62" s="206"/>
      <c r="P62" s="202"/>
      <c r="Q62" s="206"/>
      <c r="R62" s="206"/>
      <c r="S62" s="204"/>
      <c r="T62" s="61">
        <f t="shared" si="40"/>
        <v>240.8</v>
      </c>
    </row>
    <row r="63" spans="1:20">
      <c r="A63" s="207" t="str">
        <f t="shared" ref="A63" si="58">A34</f>
        <v>27 - JOINVILLE - SC X CURITIBA - PR</v>
      </c>
      <c r="B63" s="208" t="str">
        <f t="shared" si="52"/>
        <v>23210 - ASSISTÊNCIA TÉCNICA - LOGISTICA</v>
      </c>
      <c r="C63" s="209">
        <f t="shared" si="53"/>
        <v>0</v>
      </c>
      <c r="D63" s="210">
        <f t="shared" si="54"/>
        <v>110</v>
      </c>
      <c r="E63" s="209">
        <f t="shared" si="36"/>
        <v>110</v>
      </c>
      <c r="F63" s="211">
        <f t="shared" si="37"/>
        <v>20.8</v>
      </c>
      <c r="G63" s="212">
        <f t="shared" si="39"/>
        <v>240.8</v>
      </c>
      <c r="H63" s="205"/>
      <c r="I63" s="206"/>
      <c r="J63" s="206"/>
      <c r="K63" s="206"/>
      <c r="L63" s="205">
        <v>240.8</v>
      </c>
      <c r="M63" s="204"/>
      <c r="N63" s="204"/>
      <c r="O63" s="202"/>
      <c r="P63" s="206"/>
      <c r="Q63" s="206"/>
      <c r="R63" s="206"/>
      <c r="S63" s="204"/>
      <c r="T63" s="61">
        <f t="shared" si="40"/>
        <v>240.8</v>
      </c>
    </row>
    <row r="64" spans="1:20">
      <c r="A64" s="207" t="str">
        <f t="shared" ref="A64" si="59">A35</f>
        <v>28 - JOINVILLE - SC X CURITIBA - PR</v>
      </c>
      <c r="B64" s="208" t="str">
        <f t="shared" si="52"/>
        <v>23210 - ASSISTÊNCIA TÉCNICA - LOGISTICA</v>
      </c>
      <c r="C64" s="209">
        <f t="shared" si="53"/>
        <v>0</v>
      </c>
      <c r="D64" s="210">
        <f t="shared" si="54"/>
        <v>110</v>
      </c>
      <c r="E64" s="209">
        <f t="shared" si="36"/>
        <v>110</v>
      </c>
      <c r="F64" s="211">
        <f t="shared" si="37"/>
        <v>20.8</v>
      </c>
      <c r="G64" s="212">
        <f t="shared" si="39"/>
        <v>240.8</v>
      </c>
      <c r="H64" s="205"/>
      <c r="I64" s="206"/>
      <c r="J64" s="206"/>
      <c r="K64" s="206"/>
      <c r="L64" s="206"/>
      <c r="M64" s="205">
        <v>240.8</v>
      </c>
      <c r="N64" s="202"/>
      <c r="O64" s="206"/>
      <c r="P64" s="206"/>
      <c r="Q64" s="206"/>
      <c r="R64" s="206"/>
      <c r="S64" s="204"/>
      <c r="T64" s="61">
        <f t="shared" si="40"/>
        <v>240.8</v>
      </c>
    </row>
    <row r="65" spans="1:24">
      <c r="A65" s="207" t="str">
        <f t="shared" ref="A65" si="60">A36</f>
        <v>29 - JOINVILLE - SC X CURITIBA - PR</v>
      </c>
      <c r="B65" s="208" t="str">
        <f t="shared" ref="B65:B66" si="61">B39</f>
        <v>23210 - ASSISTÊNCIA TÉCNICA - LOGISTICA</v>
      </c>
      <c r="C65" s="209">
        <f t="shared" ref="C65:C67" si="62">L39</f>
        <v>0</v>
      </c>
      <c r="D65" s="210">
        <f t="shared" ref="D65:D67" si="63">P39</f>
        <v>110</v>
      </c>
      <c r="E65" s="209">
        <f t="shared" si="36"/>
        <v>110</v>
      </c>
      <c r="F65" s="211">
        <f t="shared" si="37"/>
        <v>20.8</v>
      </c>
      <c r="G65" s="212">
        <f t="shared" si="39"/>
        <v>240.8</v>
      </c>
      <c r="H65" s="205"/>
      <c r="I65" s="206"/>
      <c r="J65" s="206"/>
      <c r="K65" s="206"/>
      <c r="L65" s="206"/>
      <c r="M65" s="202"/>
      <c r="N65" s="205">
        <v>240.8</v>
      </c>
      <c r="O65" s="206"/>
      <c r="P65" s="203"/>
      <c r="Q65" s="206"/>
      <c r="R65" s="206"/>
      <c r="S65" s="204"/>
      <c r="T65" s="61">
        <f t="shared" si="40"/>
        <v>240.8</v>
      </c>
    </row>
    <row r="66" spans="1:24">
      <c r="A66" s="207" t="str">
        <f t="shared" ref="A66" si="64">A37</f>
        <v>30 - JOINVILLE - SC X CURITIBA - PR</v>
      </c>
      <c r="B66" s="208" t="str">
        <f t="shared" si="61"/>
        <v>23210 - ASSISTÊNCIA TÉCNICA - LOGISTICA</v>
      </c>
      <c r="C66" s="209">
        <f t="shared" si="62"/>
        <v>0</v>
      </c>
      <c r="D66" s="210">
        <f t="shared" si="63"/>
        <v>110</v>
      </c>
      <c r="E66" s="209">
        <f t="shared" si="36"/>
        <v>110</v>
      </c>
      <c r="F66" s="211">
        <f t="shared" si="37"/>
        <v>20.8</v>
      </c>
      <c r="G66" s="212">
        <f t="shared" si="39"/>
        <v>240.8</v>
      </c>
      <c r="H66" s="205"/>
      <c r="I66" s="206"/>
      <c r="J66" s="206"/>
      <c r="K66" s="206"/>
      <c r="L66" s="202"/>
      <c r="M66" s="204"/>
      <c r="N66" s="204"/>
      <c r="O66" s="205">
        <v>240.8</v>
      </c>
      <c r="P66" s="206"/>
      <c r="Q66" s="206"/>
      <c r="R66" s="206"/>
      <c r="S66" s="204"/>
      <c r="T66" s="61">
        <f t="shared" si="40"/>
        <v>240.8</v>
      </c>
    </row>
    <row r="67" spans="1:24">
      <c r="A67" s="207" t="str">
        <f t="shared" ref="A67" si="65">A38</f>
        <v>31 - JOINVILLE - SC X CURITIBA - PR</v>
      </c>
      <c r="B67" s="208" t="str">
        <f t="shared" ref="B67:B68" si="66">B39</f>
        <v>23210 - ASSISTÊNCIA TÉCNICA - LOGISTICA</v>
      </c>
      <c r="C67" s="209">
        <f t="shared" si="62"/>
        <v>0</v>
      </c>
      <c r="D67" s="210">
        <f t="shared" si="63"/>
        <v>110</v>
      </c>
      <c r="E67" s="209">
        <f t="shared" si="36"/>
        <v>110</v>
      </c>
      <c r="F67" s="211">
        <f t="shared" si="37"/>
        <v>20.8</v>
      </c>
      <c r="G67" s="212">
        <f t="shared" si="39"/>
        <v>240.8</v>
      </c>
      <c r="H67" s="205"/>
      <c r="I67" s="206"/>
      <c r="J67" s="206"/>
      <c r="K67" s="202"/>
      <c r="L67" s="206"/>
      <c r="M67" s="204"/>
      <c r="N67" s="204"/>
      <c r="O67" s="206"/>
      <c r="P67" s="205">
        <v>240.8</v>
      </c>
      <c r="Q67" s="203"/>
      <c r="R67" s="206"/>
      <c r="S67" s="204"/>
      <c r="T67" s="61">
        <f t="shared" si="40"/>
        <v>240.8</v>
      </c>
    </row>
    <row r="68" spans="1:24">
      <c r="A68" s="207" t="str">
        <f t="shared" ref="A68" si="67">A39</f>
        <v>32 - JOINVILLE - SC X CURITIBA - PR</v>
      </c>
      <c r="B68" s="208" t="str">
        <f t="shared" si="66"/>
        <v>23210 - ASSISTÊNCIA TÉCNICA - LOGISTICA</v>
      </c>
      <c r="C68" s="209">
        <f t="shared" ref="C68" si="68">L40</f>
        <v>0</v>
      </c>
      <c r="D68" s="210">
        <f t="shared" ref="D68" si="69">P40</f>
        <v>110</v>
      </c>
      <c r="E68" s="209">
        <f t="shared" si="36"/>
        <v>110</v>
      </c>
      <c r="F68" s="211">
        <f t="shared" si="37"/>
        <v>20.8</v>
      </c>
      <c r="G68" s="212">
        <f t="shared" si="39"/>
        <v>240.8</v>
      </c>
      <c r="H68" s="205"/>
      <c r="I68" s="206"/>
      <c r="J68" s="202"/>
      <c r="K68" s="206"/>
      <c r="L68" s="206"/>
      <c r="M68" s="204"/>
      <c r="N68" s="204"/>
      <c r="O68" s="206"/>
      <c r="P68" s="206"/>
      <c r="Q68" s="205">
        <v>240.8</v>
      </c>
      <c r="R68" s="206"/>
      <c r="S68" s="204"/>
      <c r="T68" s="61">
        <f t="shared" si="40"/>
        <v>240.8</v>
      </c>
    </row>
    <row r="69" spans="1:24">
      <c r="A69" s="207" t="str">
        <f t="shared" ref="A69" si="70">A40</f>
        <v>33 - JOINVILLE - SC X CURITIBA - PR</v>
      </c>
      <c r="B69" s="208" t="str">
        <f>B39</f>
        <v>23210 - ASSISTÊNCIA TÉCNICA - LOGISTICA</v>
      </c>
      <c r="C69" s="209">
        <f>L39</f>
        <v>0</v>
      </c>
      <c r="D69" s="210">
        <f>P39</f>
        <v>110</v>
      </c>
      <c r="E69" s="209">
        <f t="shared" si="36"/>
        <v>110</v>
      </c>
      <c r="F69" s="211">
        <f t="shared" si="37"/>
        <v>20.8</v>
      </c>
      <c r="G69" s="212">
        <f t="shared" si="39"/>
        <v>240.8</v>
      </c>
      <c r="H69" s="205"/>
      <c r="I69" s="202"/>
      <c r="J69" s="206"/>
      <c r="K69" s="206"/>
      <c r="L69" s="206"/>
      <c r="M69" s="204"/>
      <c r="N69" s="204"/>
      <c r="O69" s="206"/>
      <c r="P69" s="206"/>
      <c r="Q69" s="206"/>
      <c r="R69" s="205">
        <v>240.8</v>
      </c>
      <c r="S69" s="204"/>
      <c r="T69" s="61">
        <f t="shared" si="40"/>
        <v>240.8</v>
      </c>
    </row>
    <row r="70" spans="1:24">
      <c r="A70" s="207" t="str">
        <f t="shared" ref="A70" si="71">A41</f>
        <v>34 - JOINVILLE - SC X CURITIBA - PR</v>
      </c>
      <c r="B70" s="208" t="str">
        <f>B40</f>
        <v>23210 - ASSISTÊNCIA TÉCNICA - LOGISTICA</v>
      </c>
      <c r="C70" s="209">
        <f>L40</f>
        <v>0</v>
      </c>
      <c r="D70" s="210">
        <f>P40</f>
        <v>110</v>
      </c>
      <c r="E70" s="209">
        <f t="shared" si="36"/>
        <v>110</v>
      </c>
      <c r="F70" s="211">
        <f t="shared" si="37"/>
        <v>20.8</v>
      </c>
      <c r="G70" s="212">
        <f t="shared" si="39"/>
        <v>240.8</v>
      </c>
      <c r="H70" s="202"/>
      <c r="I70" s="206"/>
      <c r="J70" s="206"/>
      <c r="K70" s="206"/>
      <c r="L70" s="206"/>
      <c r="M70" s="204"/>
      <c r="N70" s="204"/>
      <c r="O70" s="206"/>
      <c r="P70" s="206"/>
      <c r="Q70" s="206"/>
      <c r="R70" s="203"/>
      <c r="S70" s="205">
        <v>240.8</v>
      </c>
      <c r="T70" s="61">
        <f t="shared" si="40"/>
        <v>240.8</v>
      </c>
    </row>
    <row r="71" spans="1:24" s="23" customFormat="1" ht="18">
      <c r="B71" s="80"/>
      <c r="C71" s="48"/>
      <c r="D71" s="48"/>
      <c r="E71" s="48"/>
      <c r="F71" s="59"/>
      <c r="G71" s="59"/>
      <c r="H71" s="59"/>
      <c r="I71" s="60"/>
      <c r="J71" s="60"/>
      <c r="K71" s="60"/>
      <c r="L71" s="48"/>
      <c r="M71" s="48"/>
      <c r="N71" s="60"/>
      <c r="O71" s="60"/>
      <c r="P71" s="60"/>
      <c r="Q71" s="60"/>
      <c r="R71" s="48"/>
      <c r="S71" s="48"/>
      <c r="T71" s="48"/>
      <c r="U71" s="48"/>
      <c r="V71" s="48"/>
      <c r="W71" s="48"/>
      <c r="X71" s="48"/>
    </row>
    <row r="72" spans="1:24" s="23" customFormat="1" ht="18">
      <c r="B72" s="80"/>
      <c r="C72" s="48"/>
      <c r="D72" s="48"/>
      <c r="E72" s="48"/>
      <c r="F72" s="59"/>
      <c r="G72" s="59"/>
      <c r="H72" s="59"/>
      <c r="I72" s="60"/>
      <c r="J72" s="60"/>
      <c r="K72" s="60"/>
      <c r="L72" s="48"/>
      <c r="M72" s="48"/>
      <c r="N72" s="60"/>
      <c r="O72" s="60"/>
      <c r="P72" s="60"/>
      <c r="Q72" s="60"/>
      <c r="R72" s="48"/>
      <c r="S72" s="48"/>
      <c r="T72" s="48"/>
      <c r="U72" s="48"/>
      <c r="V72" s="48"/>
      <c r="W72" s="48"/>
      <c r="X72" s="48"/>
    </row>
    <row r="73" spans="1:24" s="23" customFormat="1" ht="18">
      <c r="B73" s="80"/>
      <c r="C73" s="48"/>
      <c r="D73" s="57" t="s">
        <v>138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60"/>
      <c r="Q73" s="60"/>
      <c r="R73" s="48"/>
      <c r="S73" s="48"/>
      <c r="T73" s="48"/>
      <c r="U73" s="48"/>
      <c r="V73" s="48"/>
      <c r="W73" s="48"/>
      <c r="X73" s="48"/>
    </row>
    <row r="74" spans="1:24" ht="19.5">
      <c r="A74" s="201" t="s">
        <v>320</v>
      </c>
      <c r="B74" s="127" t="s">
        <v>108</v>
      </c>
      <c r="C74" s="112"/>
      <c r="D74" s="114" t="s">
        <v>75</v>
      </c>
      <c r="E74" s="114" t="s">
        <v>76</v>
      </c>
      <c r="F74" s="114" t="s">
        <v>77</v>
      </c>
      <c r="G74" s="114" t="s">
        <v>78</v>
      </c>
      <c r="H74" s="114" t="s">
        <v>79</v>
      </c>
      <c r="I74" s="114" t="s">
        <v>80</v>
      </c>
      <c r="J74" s="114" t="s">
        <v>81</v>
      </c>
      <c r="K74" s="114" t="s">
        <v>82</v>
      </c>
      <c r="L74" s="114" t="s">
        <v>83</v>
      </c>
      <c r="M74" s="114" t="s">
        <v>84</v>
      </c>
      <c r="N74" s="114" t="s">
        <v>85</v>
      </c>
      <c r="O74" s="114" t="s">
        <v>86</v>
      </c>
      <c r="P74"/>
    </row>
    <row r="75" spans="1:24">
      <c r="A75" s="94" t="s">
        <v>275</v>
      </c>
      <c r="B75" s="124" t="s">
        <v>102</v>
      </c>
      <c r="C75" s="276" t="s">
        <v>280</v>
      </c>
      <c r="D75" s="248">
        <f>SUM(D76:D99)</f>
        <v>218.20486626984129</v>
      </c>
      <c r="E75" s="248">
        <f t="shared" ref="E75:G75" si="72">SUM(E76:E99)</f>
        <v>218.20486626984129</v>
      </c>
      <c r="F75" s="248">
        <f t="shared" si="72"/>
        <v>218.20486626984129</v>
      </c>
      <c r="G75" s="248">
        <f t="shared" si="72"/>
        <v>218.20486626984129</v>
      </c>
      <c r="H75" s="248">
        <f t="shared" ref="H75" si="73">SUM(H76:H99)</f>
        <v>218.20486626984129</v>
      </c>
      <c r="I75" s="248">
        <f t="shared" ref="I75:J75" si="74">SUM(I76:I99)</f>
        <v>218.20486626984129</v>
      </c>
      <c r="J75" s="248">
        <f t="shared" si="74"/>
        <v>218.20486626984129</v>
      </c>
      <c r="K75" s="248">
        <f t="shared" ref="K75" si="75">SUM(K76:K99)</f>
        <v>218.20486626984129</v>
      </c>
      <c r="L75" s="248">
        <f t="shared" ref="L75:M75" si="76">SUM(L76:L99)</f>
        <v>218.20486626984129</v>
      </c>
      <c r="M75" s="248">
        <f t="shared" si="76"/>
        <v>218.20486626984129</v>
      </c>
      <c r="N75" s="248">
        <f t="shared" ref="N75" si="77">SUM(N76:N99)</f>
        <v>218.20486626984129</v>
      </c>
      <c r="O75" s="248">
        <f>SUM(O76:O99)</f>
        <v>218.20486626984129</v>
      </c>
      <c r="P75"/>
    </row>
    <row r="76" spans="1:24">
      <c r="A76" s="207" t="str">
        <f t="shared" ref="A76:B87" si="78">A18</f>
        <v>11 - JOINVILLE - SC X CURITIBA - PR</v>
      </c>
      <c r="B76" s="208" t="str">
        <f t="shared" si="78"/>
        <v>23210 - ASSISTÊNCIA TÉCNICA - LOGISTICA</v>
      </c>
      <c r="C76" s="209">
        <f t="shared" ref="C76:C99" si="79">O18</f>
        <v>109.10243313492064</v>
      </c>
      <c r="D76" s="61">
        <v>109.10243313492064</v>
      </c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>
        <f>SUM(D76:O76)</f>
        <v>109.10243313492064</v>
      </c>
    </row>
    <row r="77" spans="1:24">
      <c r="A77" s="207" t="str">
        <f t="shared" ref="A77" si="80">A19</f>
        <v>12 - JOINVILLE - SC X CURITIBA - PR</v>
      </c>
      <c r="B77" s="208" t="str">
        <f t="shared" si="78"/>
        <v>23210 - ASSISTÊNCIA TÉCNICA - LOGISTICA</v>
      </c>
      <c r="C77" s="209">
        <f t="shared" si="79"/>
        <v>109.10243313492064</v>
      </c>
      <c r="D77" s="61"/>
      <c r="E77" s="61">
        <v>109.10243313492064</v>
      </c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>
        <f t="shared" ref="P77:P99" si="81">SUM(D77:O77)</f>
        <v>109.10243313492064</v>
      </c>
    </row>
    <row r="78" spans="1:24">
      <c r="A78" s="207" t="str">
        <f t="shared" ref="A78" si="82">A20</f>
        <v>13 - JOINVILLE - SC X CURITIBA - PR</v>
      </c>
      <c r="B78" s="208" t="str">
        <f t="shared" si="78"/>
        <v>23210 - ASSISTÊNCIA TÉCNICA - LOGISTICA</v>
      </c>
      <c r="C78" s="209">
        <f t="shared" si="79"/>
        <v>109.10243313492064</v>
      </c>
      <c r="D78" s="61"/>
      <c r="E78" s="61"/>
      <c r="F78" s="61">
        <v>109.10243313492064</v>
      </c>
      <c r="G78" s="61"/>
      <c r="H78" s="61"/>
      <c r="I78" s="61"/>
      <c r="J78" s="61"/>
      <c r="K78" s="61"/>
      <c r="L78" s="61"/>
      <c r="M78" s="61"/>
      <c r="N78" s="61"/>
      <c r="O78" s="61"/>
      <c r="P78" s="61">
        <f t="shared" si="81"/>
        <v>109.10243313492064</v>
      </c>
    </row>
    <row r="79" spans="1:24">
      <c r="A79" s="207" t="str">
        <f t="shared" ref="A79" si="83">A21</f>
        <v>14 - JOINVILLE - SC X CURITIBA - PR</v>
      </c>
      <c r="B79" s="208" t="str">
        <f t="shared" si="78"/>
        <v>23210 - ASSISTÊNCIA TÉCNICA - LOGISTICA</v>
      </c>
      <c r="C79" s="209">
        <f t="shared" si="79"/>
        <v>109.10243313492064</v>
      </c>
      <c r="D79" s="61"/>
      <c r="E79" s="61"/>
      <c r="F79" s="61"/>
      <c r="G79" s="61">
        <v>109.10243313492064</v>
      </c>
      <c r="H79" s="61"/>
      <c r="I79" s="61"/>
      <c r="J79" s="61"/>
      <c r="K79" s="61"/>
      <c r="L79" s="61"/>
      <c r="M79" s="61"/>
      <c r="N79" s="61"/>
      <c r="O79" s="61"/>
      <c r="P79" s="61">
        <f t="shared" si="81"/>
        <v>109.10243313492064</v>
      </c>
    </row>
    <row r="80" spans="1:24">
      <c r="A80" s="207" t="str">
        <f t="shared" ref="A80" si="84">A22</f>
        <v>15 - JOINVILLE - SC X CURITIBA - PR</v>
      </c>
      <c r="B80" s="208" t="str">
        <f t="shared" si="78"/>
        <v>23210 - ASSISTÊNCIA TÉCNICA - LOGISTICA</v>
      </c>
      <c r="C80" s="209">
        <f t="shared" si="79"/>
        <v>109.10243313492064</v>
      </c>
      <c r="D80" s="61"/>
      <c r="E80" s="61"/>
      <c r="F80" s="61"/>
      <c r="G80" s="61"/>
      <c r="H80" s="61">
        <v>109.10243313492064</v>
      </c>
      <c r="I80" s="61"/>
      <c r="J80" s="61"/>
      <c r="K80" s="61"/>
      <c r="L80" s="61"/>
      <c r="M80" s="61"/>
      <c r="N80" s="61"/>
      <c r="O80" s="61"/>
      <c r="P80" s="61">
        <f t="shared" si="81"/>
        <v>109.10243313492064</v>
      </c>
    </row>
    <row r="81" spans="1:16">
      <c r="A81" s="207" t="str">
        <f t="shared" ref="A81" si="85">A23</f>
        <v>16 - JOINVILLE - SC X CURITIBA - PR</v>
      </c>
      <c r="B81" s="208" t="str">
        <f t="shared" si="78"/>
        <v>23210 - ASSISTÊNCIA TÉCNICA - LOGISTICA</v>
      </c>
      <c r="C81" s="209">
        <f t="shared" si="79"/>
        <v>109.10243313492064</v>
      </c>
      <c r="D81" s="61"/>
      <c r="E81" s="61"/>
      <c r="F81" s="61"/>
      <c r="G81" s="61"/>
      <c r="H81" s="61"/>
      <c r="I81" s="61">
        <v>109.10243313492064</v>
      </c>
      <c r="J81" s="61"/>
      <c r="K81" s="61"/>
      <c r="L81" s="61"/>
      <c r="M81" s="61"/>
      <c r="N81" s="61"/>
      <c r="O81" s="61"/>
      <c r="P81" s="61">
        <f t="shared" si="81"/>
        <v>109.10243313492064</v>
      </c>
    </row>
    <row r="82" spans="1:16">
      <c r="A82" s="207" t="str">
        <f t="shared" ref="A82" si="86">A24</f>
        <v>17 - JOINVILLE - SC X CURITIBA - PR</v>
      </c>
      <c r="B82" s="208" t="str">
        <f t="shared" si="78"/>
        <v>23210 - ASSISTÊNCIA TÉCNICA - LOGISTICA</v>
      </c>
      <c r="C82" s="209">
        <f t="shared" si="79"/>
        <v>109.10243313492064</v>
      </c>
      <c r="D82" s="61"/>
      <c r="E82" s="61"/>
      <c r="F82" s="61"/>
      <c r="G82" s="61"/>
      <c r="H82" s="61"/>
      <c r="I82" s="61"/>
      <c r="J82" s="61">
        <v>109.10243313492064</v>
      </c>
      <c r="K82" s="61"/>
      <c r="L82" s="61"/>
      <c r="M82" s="61"/>
      <c r="N82" s="61"/>
      <c r="O82" s="61"/>
      <c r="P82" s="61">
        <f t="shared" si="81"/>
        <v>109.10243313492064</v>
      </c>
    </row>
    <row r="83" spans="1:16">
      <c r="A83" s="207" t="str">
        <f t="shared" ref="A83" si="87">A25</f>
        <v>18 - JOINVILLE - SC X CURITIBA - PR</v>
      </c>
      <c r="B83" s="208" t="str">
        <f t="shared" si="78"/>
        <v>23210 - ASSISTÊNCIA TÉCNICA - LOGISTICA</v>
      </c>
      <c r="C83" s="209">
        <f t="shared" si="79"/>
        <v>109.10243313492064</v>
      </c>
      <c r="D83" s="61"/>
      <c r="E83" s="61"/>
      <c r="F83" s="61"/>
      <c r="G83" s="61"/>
      <c r="H83" s="61"/>
      <c r="I83" s="61"/>
      <c r="J83" s="61"/>
      <c r="K83" s="61">
        <v>109.10243313492064</v>
      </c>
      <c r="L83" s="61"/>
      <c r="M83" s="61"/>
      <c r="N83" s="61"/>
      <c r="O83" s="61"/>
      <c r="P83" s="61">
        <f t="shared" si="81"/>
        <v>109.10243313492064</v>
      </c>
    </row>
    <row r="84" spans="1:16">
      <c r="A84" s="207" t="str">
        <f t="shared" ref="A84" si="88">A26</f>
        <v>19 - JOINVILLE - SC X CURITIBA - PR</v>
      </c>
      <c r="B84" s="208" t="str">
        <f t="shared" si="78"/>
        <v>23210 - ASSISTÊNCIA TÉCNICA - LOGISTICA</v>
      </c>
      <c r="C84" s="209">
        <f t="shared" si="79"/>
        <v>109.10243313492064</v>
      </c>
      <c r="D84" s="61"/>
      <c r="E84" s="62"/>
      <c r="F84" s="62"/>
      <c r="G84" s="62"/>
      <c r="H84" s="61"/>
      <c r="I84" s="62"/>
      <c r="J84" s="62"/>
      <c r="K84" s="61"/>
      <c r="L84" s="61">
        <v>109.10243313492064</v>
      </c>
      <c r="M84" s="62"/>
      <c r="N84" s="62"/>
      <c r="O84" s="62"/>
      <c r="P84" s="61">
        <f t="shared" si="81"/>
        <v>109.10243313492064</v>
      </c>
    </row>
    <row r="85" spans="1:16">
      <c r="A85" s="207" t="str">
        <f t="shared" ref="A85" si="89">A27</f>
        <v>20 - JOINVILLE - SC X CURITIBA - PR</v>
      </c>
      <c r="B85" s="208" t="str">
        <f t="shared" si="78"/>
        <v>23210 - ASSISTÊNCIA TÉCNICA - LOGISTICA</v>
      </c>
      <c r="C85" s="209">
        <f t="shared" si="79"/>
        <v>109.10243313492064</v>
      </c>
      <c r="D85" s="61"/>
      <c r="E85" s="62"/>
      <c r="F85" s="62"/>
      <c r="G85" s="62"/>
      <c r="H85" s="61"/>
      <c r="I85" s="62"/>
      <c r="J85" s="62"/>
      <c r="K85" s="62"/>
      <c r="L85" s="61"/>
      <c r="M85" s="61">
        <v>109.10243313492064</v>
      </c>
      <c r="N85" s="62"/>
      <c r="O85" s="62"/>
      <c r="P85" s="61">
        <f t="shared" si="81"/>
        <v>109.10243313492064</v>
      </c>
    </row>
    <row r="86" spans="1:16">
      <c r="A86" s="207" t="str">
        <f t="shared" ref="A86" si="90">A28</f>
        <v>21 - JOINVILLE - SC X CURITIBA - PR</v>
      </c>
      <c r="B86" s="208" t="str">
        <f t="shared" si="78"/>
        <v>23210 - ASSISTÊNCIA TÉCNICA - LOGISTICA</v>
      </c>
      <c r="C86" s="209">
        <f t="shared" si="79"/>
        <v>109.10243313492064</v>
      </c>
      <c r="D86" s="61"/>
      <c r="E86" s="62"/>
      <c r="F86" s="62"/>
      <c r="G86" s="62"/>
      <c r="H86" s="62"/>
      <c r="I86" s="61"/>
      <c r="J86" s="62"/>
      <c r="K86" s="62"/>
      <c r="L86" s="62"/>
      <c r="M86" s="61"/>
      <c r="N86" s="61">
        <v>109.10243313492064</v>
      </c>
      <c r="O86" s="62"/>
      <c r="P86" s="61">
        <f t="shared" si="81"/>
        <v>109.10243313492064</v>
      </c>
    </row>
    <row r="87" spans="1:16">
      <c r="A87" s="207" t="str">
        <f t="shared" ref="A87" si="91">A29</f>
        <v>22 - JOINVILLE - SC X CURITIBA - PR</v>
      </c>
      <c r="B87" s="208" t="str">
        <f t="shared" si="78"/>
        <v>23210 - ASSISTÊNCIA TÉCNICA - LOGISTICA</v>
      </c>
      <c r="C87" s="209">
        <f t="shared" si="79"/>
        <v>109.10243313492064</v>
      </c>
      <c r="D87" s="61"/>
      <c r="E87" s="62"/>
      <c r="F87" s="62"/>
      <c r="G87" s="62"/>
      <c r="H87" s="62"/>
      <c r="I87" s="61"/>
      <c r="J87" s="62"/>
      <c r="K87" s="62"/>
      <c r="L87" s="62"/>
      <c r="M87" s="62"/>
      <c r="N87" s="61"/>
      <c r="O87" s="61">
        <v>109.10243313492064</v>
      </c>
      <c r="P87" s="61">
        <f t="shared" si="81"/>
        <v>109.10243313492064</v>
      </c>
    </row>
    <row r="88" spans="1:16">
      <c r="A88" s="207" t="str">
        <f t="shared" ref="A88" si="92">A30</f>
        <v>23 - JOINVILLE - SC X CURITIBA - PR</v>
      </c>
      <c r="B88" s="208" t="str">
        <f t="shared" ref="B88:B92" si="93">B33</f>
        <v>23210 - ASSISTÊNCIA TÉCNICA - LOGISTICA</v>
      </c>
      <c r="C88" s="209">
        <f t="shared" si="79"/>
        <v>109.10243313492064</v>
      </c>
      <c r="D88" s="61">
        <v>109.10243313492064</v>
      </c>
      <c r="E88" s="62"/>
      <c r="F88" s="62"/>
      <c r="G88" s="62"/>
      <c r="H88" s="62"/>
      <c r="I88" s="62"/>
      <c r="J88" s="61"/>
      <c r="K88" s="62"/>
      <c r="L88" s="62"/>
      <c r="M88" s="62"/>
      <c r="N88" s="62"/>
      <c r="O88" s="61"/>
      <c r="P88" s="61">
        <f t="shared" si="81"/>
        <v>109.10243313492064</v>
      </c>
    </row>
    <row r="89" spans="1:16">
      <c r="A89" s="207" t="str">
        <f t="shared" ref="A89" si="94">A31</f>
        <v>24 - JOINVILLE - SC X CURITIBA - PR</v>
      </c>
      <c r="B89" s="208" t="str">
        <f t="shared" si="93"/>
        <v>23210 - ASSISTÊNCIA TÉCNICA - LOGISTICA</v>
      </c>
      <c r="C89" s="209">
        <f t="shared" si="79"/>
        <v>109.10243313492064</v>
      </c>
      <c r="D89" s="61"/>
      <c r="E89" s="61">
        <v>109.10243313492064</v>
      </c>
      <c r="F89" s="62"/>
      <c r="G89" s="62"/>
      <c r="H89" s="62"/>
      <c r="I89" s="62"/>
      <c r="J89" s="61"/>
      <c r="K89" s="62"/>
      <c r="L89" s="62"/>
      <c r="M89" s="62"/>
      <c r="N89" s="62"/>
      <c r="O89" s="62"/>
      <c r="P89" s="61">
        <f t="shared" si="81"/>
        <v>109.10243313492064</v>
      </c>
    </row>
    <row r="90" spans="1:16">
      <c r="A90" s="207" t="str">
        <f t="shared" ref="A90" si="95">A32</f>
        <v>25 - JOINVILLE - SC X CURITIBA - PR</v>
      </c>
      <c r="B90" s="208" t="str">
        <f t="shared" si="93"/>
        <v>23210 - ASSISTÊNCIA TÉCNICA - LOGISTICA</v>
      </c>
      <c r="C90" s="209">
        <f t="shared" si="79"/>
        <v>109.10243313492064</v>
      </c>
      <c r="D90" s="61"/>
      <c r="E90" s="62"/>
      <c r="F90" s="61">
        <v>109.10243313492064</v>
      </c>
      <c r="G90" s="62"/>
      <c r="H90" s="62"/>
      <c r="I90" s="62"/>
      <c r="J90" s="62"/>
      <c r="K90" s="61"/>
      <c r="L90" s="62"/>
      <c r="M90" s="62"/>
      <c r="N90" s="62"/>
      <c r="O90" s="62"/>
      <c r="P90" s="61">
        <f t="shared" si="81"/>
        <v>109.10243313492064</v>
      </c>
    </row>
    <row r="91" spans="1:16">
      <c r="A91" s="207" t="str">
        <f t="shared" ref="A91" si="96">A33</f>
        <v>26 - JOINVILLE - SC X CURITIBA - PR</v>
      </c>
      <c r="B91" s="208" t="str">
        <f t="shared" si="93"/>
        <v>23210 - ASSISTÊNCIA TÉCNICA - LOGISTICA</v>
      </c>
      <c r="C91" s="209">
        <f t="shared" si="79"/>
        <v>109.10243313492064</v>
      </c>
      <c r="D91" s="61"/>
      <c r="E91" s="62"/>
      <c r="F91" s="62"/>
      <c r="G91" s="61">
        <v>109.10243313492064</v>
      </c>
      <c r="H91" s="62"/>
      <c r="I91" s="62"/>
      <c r="J91" s="62"/>
      <c r="K91" s="61"/>
      <c r="L91" s="62"/>
      <c r="M91" s="62"/>
      <c r="N91" s="62"/>
      <c r="O91" s="62"/>
      <c r="P91" s="61">
        <f t="shared" si="81"/>
        <v>109.10243313492064</v>
      </c>
    </row>
    <row r="92" spans="1:16">
      <c r="A92" s="207" t="str">
        <f t="shared" ref="A92" si="97">A34</f>
        <v>27 - JOINVILLE - SC X CURITIBA - PR</v>
      </c>
      <c r="B92" s="208" t="str">
        <f t="shared" si="93"/>
        <v>23210 - ASSISTÊNCIA TÉCNICA - LOGISTICA</v>
      </c>
      <c r="C92" s="209">
        <f t="shared" si="79"/>
        <v>109.10243313492064</v>
      </c>
      <c r="D92" s="61"/>
      <c r="E92" s="62"/>
      <c r="F92" s="62"/>
      <c r="G92" s="62"/>
      <c r="H92" s="61">
        <v>109.10243313492064</v>
      </c>
      <c r="I92" s="62"/>
      <c r="J92" s="62"/>
      <c r="K92" s="62"/>
      <c r="L92" s="61"/>
      <c r="M92" s="62"/>
      <c r="N92" s="62"/>
      <c r="O92" s="62"/>
      <c r="P92" s="61">
        <f t="shared" si="81"/>
        <v>109.10243313492064</v>
      </c>
    </row>
    <row r="93" spans="1:16">
      <c r="A93" s="207" t="str">
        <f t="shared" ref="A93" si="98">A35</f>
        <v>28 - JOINVILLE - SC X CURITIBA - PR</v>
      </c>
      <c r="B93" s="208" t="str">
        <f>B38</f>
        <v>23210 - ASSISTÊNCIA TÉCNICA - LOGISTICA</v>
      </c>
      <c r="C93" s="209">
        <f t="shared" si="79"/>
        <v>109.10243313492064</v>
      </c>
      <c r="D93" s="61"/>
      <c r="E93" s="62"/>
      <c r="F93" s="62"/>
      <c r="G93" s="62"/>
      <c r="H93" s="62"/>
      <c r="I93" s="61">
        <v>109.10243313492064</v>
      </c>
      <c r="J93" s="62"/>
      <c r="K93" s="62"/>
      <c r="L93" s="61"/>
      <c r="M93" s="62"/>
      <c r="N93" s="62"/>
      <c r="O93" s="62"/>
      <c r="P93" s="61">
        <f t="shared" si="81"/>
        <v>109.10243313492064</v>
      </c>
    </row>
    <row r="94" spans="1:16">
      <c r="A94" s="207" t="str">
        <f t="shared" ref="A94" si="99">A36</f>
        <v>29 - JOINVILLE - SC X CURITIBA - PR</v>
      </c>
      <c r="B94" s="208" t="str">
        <f>B39</f>
        <v>23210 - ASSISTÊNCIA TÉCNICA - LOGISTICA</v>
      </c>
      <c r="C94" s="209">
        <f t="shared" si="79"/>
        <v>109.10243313492064</v>
      </c>
      <c r="D94" s="61"/>
      <c r="E94" s="62"/>
      <c r="F94" s="62"/>
      <c r="G94" s="62"/>
      <c r="H94" s="62"/>
      <c r="I94" s="61"/>
      <c r="J94" s="61">
        <v>109.10243313492064</v>
      </c>
      <c r="K94" s="62"/>
      <c r="L94" s="61"/>
      <c r="M94" s="62"/>
      <c r="N94" s="62"/>
      <c r="O94" s="62"/>
      <c r="P94" s="61">
        <f t="shared" si="81"/>
        <v>109.10243313492064</v>
      </c>
    </row>
    <row r="95" spans="1:16">
      <c r="A95" s="207" t="str">
        <f t="shared" ref="A95" si="100">A37</f>
        <v>30 - JOINVILLE - SC X CURITIBA - PR</v>
      </c>
      <c r="B95" s="208" t="str">
        <f t="shared" ref="B95:B97" si="101">B38</f>
        <v>23210 - ASSISTÊNCIA TÉCNICA - LOGISTICA</v>
      </c>
      <c r="C95" s="209">
        <f t="shared" si="79"/>
        <v>109.10243313492064</v>
      </c>
      <c r="D95" s="61"/>
      <c r="E95" s="62"/>
      <c r="F95" s="62"/>
      <c r="G95" s="62"/>
      <c r="H95" s="62"/>
      <c r="I95" s="61"/>
      <c r="J95" s="62"/>
      <c r="K95" s="61">
        <v>109.10243313492064</v>
      </c>
      <c r="L95" s="61"/>
      <c r="M95" s="62"/>
      <c r="N95" s="62"/>
      <c r="O95" s="62"/>
      <c r="P95" s="61">
        <f t="shared" si="81"/>
        <v>109.10243313492064</v>
      </c>
    </row>
    <row r="96" spans="1:16">
      <c r="A96" s="207" t="str">
        <f t="shared" ref="A96" si="102">A38</f>
        <v>31 - JOINVILLE - SC X CURITIBA - PR</v>
      </c>
      <c r="B96" s="208" t="str">
        <f t="shared" si="101"/>
        <v>23210 - ASSISTÊNCIA TÉCNICA - LOGISTICA</v>
      </c>
      <c r="C96" s="209">
        <f t="shared" si="79"/>
        <v>109.10243313492064</v>
      </c>
      <c r="D96" s="61"/>
      <c r="E96" s="62"/>
      <c r="F96" s="62"/>
      <c r="G96" s="62"/>
      <c r="H96" s="62"/>
      <c r="I96" s="61"/>
      <c r="J96" s="62"/>
      <c r="K96" s="62"/>
      <c r="L96" s="61">
        <v>109.10243313492064</v>
      </c>
      <c r="M96" s="62"/>
      <c r="N96" s="62"/>
      <c r="O96" s="62"/>
      <c r="P96" s="61">
        <f t="shared" si="81"/>
        <v>109.10243313492064</v>
      </c>
    </row>
    <row r="97" spans="1:24">
      <c r="A97" s="207" t="str">
        <f t="shared" ref="A97" si="103">A39</f>
        <v>32 - JOINVILLE - SC X CURITIBA - PR</v>
      </c>
      <c r="B97" s="208" t="str">
        <f t="shared" si="101"/>
        <v>23210 - ASSISTÊNCIA TÉCNICA - LOGISTICA</v>
      </c>
      <c r="C97" s="209">
        <f t="shared" si="79"/>
        <v>109.10243313492064</v>
      </c>
      <c r="D97" s="61"/>
      <c r="E97" s="62"/>
      <c r="F97" s="62"/>
      <c r="G97" s="62"/>
      <c r="H97" s="62"/>
      <c r="I97" s="61"/>
      <c r="J97" s="62"/>
      <c r="K97" s="62"/>
      <c r="L97" s="61"/>
      <c r="M97" s="61">
        <v>109.10243313492064</v>
      </c>
      <c r="N97" s="62"/>
      <c r="O97" s="62"/>
      <c r="P97" s="61">
        <f t="shared" si="81"/>
        <v>109.10243313492064</v>
      </c>
    </row>
    <row r="98" spans="1:24">
      <c r="A98" s="207" t="str">
        <f t="shared" ref="A98" si="104">A40</f>
        <v>33 - JOINVILLE - SC X CURITIBA - PR</v>
      </c>
      <c r="B98" s="208" t="str">
        <f>B39</f>
        <v>23210 - ASSISTÊNCIA TÉCNICA - LOGISTICA</v>
      </c>
      <c r="C98" s="209">
        <f t="shared" si="79"/>
        <v>109.10243313492064</v>
      </c>
      <c r="D98" s="61"/>
      <c r="E98" s="62"/>
      <c r="F98" s="62"/>
      <c r="G98" s="62"/>
      <c r="H98" s="62"/>
      <c r="I98" s="61"/>
      <c r="J98" s="62"/>
      <c r="K98" s="62"/>
      <c r="L98" s="61"/>
      <c r="M98" s="62"/>
      <c r="N98" s="61">
        <v>109.10243313492064</v>
      </c>
      <c r="O98" s="61"/>
      <c r="P98" s="61">
        <f t="shared" si="81"/>
        <v>109.10243313492064</v>
      </c>
    </row>
    <row r="99" spans="1:24">
      <c r="A99" s="207" t="str">
        <f t="shared" ref="A99" si="105">A41</f>
        <v>34 - JOINVILLE - SC X CURITIBA - PR</v>
      </c>
      <c r="B99" s="208" t="str">
        <f>B41</f>
        <v>23210 - ASSISTÊNCIA TÉCNICA - LOGISTICA</v>
      </c>
      <c r="C99" s="209">
        <f t="shared" si="79"/>
        <v>109.10243313492064</v>
      </c>
      <c r="D99" s="61"/>
      <c r="E99" s="62"/>
      <c r="F99" s="62"/>
      <c r="G99" s="62"/>
      <c r="H99" s="62"/>
      <c r="I99" s="61"/>
      <c r="J99" s="62"/>
      <c r="K99" s="62"/>
      <c r="L99" s="61"/>
      <c r="M99" s="62"/>
      <c r="N99" s="62"/>
      <c r="O99" s="61">
        <v>109.10243313492064</v>
      </c>
      <c r="P99" s="61">
        <f t="shared" si="81"/>
        <v>109.10243313492064</v>
      </c>
    </row>
    <row r="100" spans="1:24" s="23" customFormat="1" ht="18">
      <c r="B100" s="80"/>
      <c r="C100" s="48"/>
      <c r="D100" s="48"/>
      <c r="E100" s="48"/>
      <c r="F100" s="59"/>
      <c r="G100" s="59"/>
      <c r="H100" s="59"/>
      <c r="I100" s="60"/>
      <c r="J100" s="60"/>
      <c r="K100" s="60"/>
      <c r="L100" s="48"/>
      <c r="M100" s="48"/>
      <c r="N100" s="60"/>
      <c r="O100" s="60"/>
      <c r="P100" s="60"/>
      <c r="Q100" s="60"/>
      <c r="R100" s="48"/>
      <c r="S100" s="48"/>
      <c r="T100" s="48"/>
      <c r="U100" s="48"/>
      <c r="V100" s="48"/>
      <c r="W100" s="48"/>
      <c r="X100" s="48"/>
    </row>
    <row r="101" spans="1:24" s="23" customFormat="1" ht="18">
      <c r="B101" s="80"/>
      <c r="C101" s="48"/>
      <c r="D101" s="48"/>
      <c r="E101" s="48"/>
      <c r="F101" s="59"/>
      <c r="G101" s="59"/>
      <c r="H101" s="59"/>
      <c r="I101" s="60"/>
      <c r="J101" s="60"/>
      <c r="K101" s="60"/>
      <c r="L101" s="48"/>
      <c r="M101" s="48"/>
      <c r="N101" s="60"/>
      <c r="O101" s="60"/>
      <c r="P101" s="60"/>
      <c r="Q101" s="60"/>
      <c r="R101" s="48"/>
      <c r="S101" s="48"/>
      <c r="T101" s="48"/>
      <c r="U101" s="48"/>
      <c r="V101" s="48"/>
      <c r="W101" s="48"/>
      <c r="X101" s="48"/>
    </row>
    <row r="102" spans="1:24" s="23" customFormat="1" ht="18">
      <c r="B102" s="80"/>
      <c r="C102" s="48"/>
      <c r="D102" s="57" t="s">
        <v>138</v>
      </c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60"/>
      <c r="Q102" s="60"/>
      <c r="R102" s="48"/>
      <c r="S102" s="48"/>
      <c r="T102" s="48"/>
      <c r="U102" s="48"/>
      <c r="V102" s="48"/>
      <c r="W102" s="48"/>
      <c r="X102" s="48"/>
    </row>
    <row r="103" spans="1:24" ht="19.5">
      <c r="A103" s="201" t="s">
        <v>322</v>
      </c>
      <c r="B103" s="127" t="s">
        <v>109</v>
      </c>
      <c r="C103" s="112"/>
      <c r="D103" s="114" t="s">
        <v>75</v>
      </c>
      <c r="E103" s="114" t="s">
        <v>76</v>
      </c>
      <c r="F103" s="114" t="s">
        <v>77</v>
      </c>
      <c r="G103" s="114" t="s">
        <v>78</v>
      </c>
      <c r="H103" s="114" t="s">
        <v>79</v>
      </c>
      <c r="I103" s="114" t="s">
        <v>80</v>
      </c>
      <c r="J103" s="114" t="s">
        <v>81</v>
      </c>
      <c r="K103" s="114" t="s">
        <v>82</v>
      </c>
      <c r="L103" s="114" t="s">
        <v>83</v>
      </c>
      <c r="M103" s="114" t="s">
        <v>84</v>
      </c>
      <c r="N103" s="114" t="s">
        <v>85</v>
      </c>
      <c r="O103" s="114" t="s">
        <v>86</v>
      </c>
      <c r="P103"/>
    </row>
    <row r="104" spans="1:24">
      <c r="A104" s="94" t="s">
        <v>275</v>
      </c>
      <c r="B104" s="124" t="s">
        <v>102</v>
      </c>
      <c r="C104" s="128" t="s">
        <v>281</v>
      </c>
      <c r="D104" s="248">
        <f>SUM(D105:D124)</f>
        <v>0</v>
      </c>
      <c r="E104" s="248">
        <f>SUM(E105:E124)</f>
        <v>0</v>
      </c>
      <c r="F104" s="248">
        <f t="shared" ref="F104" si="106">SUM(F105:F124)</f>
        <v>0</v>
      </c>
      <c r="G104" s="248">
        <f t="shared" ref="G104" si="107">SUM(G105:G124)</f>
        <v>0</v>
      </c>
      <c r="H104" s="248">
        <f t="shared" ref="H104" si="108">SUM(H105:H124)</f>
        <v>0</v>
      </c>
      <c r="I104" s="248">
        <f t="shared" ref="I104" si="109">SUM(I105:I124)</f>
        <v>0</v>
      </c>
      <c r="J104" s="248">
        <f t="shared" ref="J104" si="110">SUM(J105:J124)</f>
        <v>0</v>
      </c>
      <c r="K104" s="248">
        <f t="shared" ref="K104" si="111">SUM(K105:K124)</f>
        <v>0</v>
      </c>
      <c r="L104" s="248">
        <f t="shared" ref="L104" si="112">SUM(L105:L124)</f>
        <v>0</v>
      </c>
      <c r="M104" s="248">
        <f t="shared" ref="M104" si="113">SUM(M105:M124)</f>
        <v>0</v>
      </c>
      <c r="N104" s="248">
        <f t="shared" ref="N104" si="114">SUM(N105:N124)</f>
        <v>0</v>
      </c>
      <c r="O104" s="248">
        <f>SUM(O105:O124)</f>
        <v>0</v>
      </c>
      <c r="P104" s="64" t="s">
        <v>92</v>
      </c>
    </row>
    <row r="105" spans="1:24">
      <c r="A105" s="207" t="str">
        <f t="shared" ref="A105:B116" si="115">A18</f>
        <v>11 - JOINVILLE - SC X CURITIBA - PR</v>
      </c>
      <c r="B105" s="208" t="str">
        <f t="shared" si="115"/>
        <v>23210 - ASSISTÊNCIA TÉCNICA - LOGISTICA</v>
      </c>
      <c r="C105" s="209" t="str">
        <f t="shared" ref="C105:C116" si="116">W18</f>
        <v>0</v>
      </c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>
        <f>SUM(D105:O105)</f>
        <v>0</v>
      </c>
    </row>
    <row r="106" spans="1:24">
      <c r="A106" s="207" t="str">
        <f t="shared" si="115"/>
        <v>12 - JOINVILLE - SC X CURITIBA - PR</v>
      </c>
      <c r="B106" s="208" t="str">
        <f t="shared" si="115"/>
        <v>23210 - ASSISTÊNCIA TÉCNICA - LOGISTICA</v>
      </c>
      <c r="C106" s="209" t="str">
        <f t="shared" si="116"/>
        <v>0</v>
      </c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1">
        <f t="shared" ref="P106:P124" si="117">SUM(D106:O106)</f>
        <v>0</v>
      </c>
    </row>
    <row r="107" spans="1:24">
      <c r="A107" s="207" t="str">
        <f t="shared" si="115"/>
        <v>13 - JOINVILLE - SC X CURITIBA - PR</v>
      </c>
      <c r="B107" s="208" t="str">
        <f t="shared" si="115"/>
        <v>23210 - ASSISTÊNCIA TÉCNICA - LOGISTICA</v>
      </c>
      <c r="C107" s="209" t="str">
        <f t="shared" si="116"/>
        <v>0</v>
      </c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1">
        <f t="shared" si="117"/>
        <v>0</v>
      </c>
    </row>
    <row r="108" spans="1:24">
      <c r="A108" s="207" t="str">
        <f t="shared" si="115"/>
        <v>14 - JOINVILLE - SC X CURITIBA - PR</v>
      </c>
      <c r="B108" s="208" t="str">
        <f t="shared" si="115"/>
        <v>23210 - ASSISTÊNCIA TÉCNICA - LOGISTICA</v>
      </c>
      <c r="C108" s="209" t="str">
        <f t="shared" si="116"/>
        <v>0</v>
      </c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1">
        <f t="shared" si="117"/>
        <v>0</v>
      </c>
    </row>
    <row r="109" spans="1:24">
      <c r="A109" s="207" t="str">
        <f t="shared" si="115"/>
        <v>15 - JOINVILLE - SC X CURITIBA - PR</v>
      </c>
      <c r="B109" s="208" t="str">
        <f t="shared" si="115"/>
        <v>23210 - ASSISTÊNCIA TÉCNICA - LOGISTICA</v>
      </c>
      <c r="C109" s="209" t="str">
        <f t="shared" si="116"/>
        <v>0</v>
      </c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1">
        <f t="shared" si="117"/>
        <v>0</v>
      </c>
    </row>
    <row r="110" spans="1:24">
      <c r="A110" s="207" t="str">
        <f t="shared" si="115"/>
        <v>16 - JOINVILLE - SC X CURITIBA - PR</v>
      </c>
      <c r="B110" s="208" t="str">
        <f t="shared" si="115"/>
        <v>23210 - ASSISTÊNCIA TÉCNICA - LOGISTICA</v>
      </c>
      <c r="C110" s="209" t="str">
        <f t="shared" si="116"/>
        <v>0</v>
      </c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1">
        <f t="shared" si="117"/>
        <v>0</v>
      </c>
    </row>
    <row r="111" spans="1:24">
      <c r="A111" s="207" t="str">
        <f t="shared" si="115"/>
        <v>17 - JOINVILLE - SC X CURITIBA - PR</v>
      </c>
      <c r="B111" s="208" t="str">
        <f t="shared" si="115"/>
        <v>23210 - ASSISTÊNCIA TÉCNICA - LOGISTICA</v>
      </c>
      <c r="C111" s="209" t="str">
        <f t="shared" si="116"/>
        <v>0</v>
      </c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1">
        <f t="shared" si="117"/>
        <v>0</v>
      </c>
    </row>
    <row r="112" spans="1:24">
      <c r="A112" s="207" t="str">
        <f t="shared" si="115"/>
        <v>18 - JOINVILLE - SC X CURITIBA - PR</v>
      </c>
      <c r="B112" s="208" t="str">
        <f t="shared" si="115"/>
        <v>23210 - ASSISTÊNCIA TÉCNICA - LOGISTICA</v>
      </c>
      <c r="C112" s="209" t="str">
        <f t="shared" si="116"/>
        <v>0</v>
      </c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1">
        <f t="shared" si="117"/>
        <v>0</v>
      </c>
    </row>
    <row r="113" spans="1:24">
      <c r="A113" s="207" t="str">
        <f t="shared" si="115"/>
        <v>19 - JOINVILLE - SC X CURITIBA - PR</v>
      </c>
      <c r="B113" s="208" t="str">
        <f t="shared" si="115"/>
        <v>23210 - ASSISTÊNCIA TÉCNICA - LOGISTICA</v>
      </c>
      <c r="C113" s="209" t="str">
        <f t="shared" si="116"/>
        <v>0</v>
      </c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1">
        <f t="shared" si="117"/>
        <v>0</v>
      </c>
    </row>
    <row r="114" spans="1:24">
      <c r="A114" s="207" t="str">
        <f t="shared" si="115"/>
        <v>20 - JOINVILLE - SC X CURITIBA - PR</v>
      </c>
      <c r="B114" s="208" t="str">
        <f t="shared" si="115"/>
        <v>23210 - ASSISTÊNCIA TÉCNICA - LOGISTICA</v>
      </c>
      <c r="C114" s="209" t="str">
        <f t="shared" si="116"/>
        <v>0</v>
      </c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1">
        <f t="shared" si="117"/>
        <v>0</v>
      </c>
    </row>
    <row r="115" spans="1:24">
      <c r="A115" s="207" t="str">
        <f t="shared" si="115"/>
        <v>21 - JOINVILLE - SC X CURITIBA - PR</v>
      </c>
      <c r="B115" s="208" t="str">
        <f t="shared" si="115"/>
        <v>23210 - ASSISTÊNCIA TÉCNICA - LOGISTICA</v>
      </c>
      <c r="C115" s="209" t="str">
        <f t="shared" si="116"/>
        <v>0</v>
      </c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1">
        <f t="shared" si="117"/>
        <v>0</v>
      </c>
    </row>
    <row r="116" spans="1:24">
      <c r="A116" s="207" t="str">
        <f t="shared" si="115"/>
        <v>22 - JOINVILLE - SC X CURITIBA - PR</v>
      </c>
      <c r="B116" s="208" t="str">
        <f t="shared" si="115"/>
        <v>23210 - ASSISTÊNCIA TÉCNICA - LOGISTICA</v>
      </c>
      <c r="C116" s="209" t="str">
        <f t="shared" si="116"/>
        <v>0</v>
      </c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1">
        <f t="shared" si="117"/>
        <v>0</v>
      </c>
    </row>
    <row r="117" spans="1:24">
      <c r="A117" s="207" t="str">
        <f t="shared" ref="A117:B123" si="118">A33</f>
        <v>26 - JOINVILLE - SC X CURITIBA - PR</v>
      </c>
      <c r="B117" s="208" t="str">
        <f t="shared" si="118"/>
        <v>23210 - ASSISTÊNCIA TÉCNICA - LOGISTICA</v>
      </c>
      <c r="C117" s="209" t="str">
        <f t="shared" ref="C117:C123" si="119">W33</f>
        <v>0</v>
      </c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1">
        <f t="shared" si="117"/>
        <v>0</v>
      </c>
    </row>
    <row r="118" spans="1:24">
      <c r="A118" s="207" t="str">
        <f t="shared" si="118"/>
        <v>27 - JOINVILLE - SC X CURITIBA - PR</v>
      </c>
      <c r="B118" s="208" t="str">
        <f t="shared" si="118"/>
        <v>23210 - ASSISTÊNCIA TÉCNICA - LOGISTICA</v>
      </c>
      <c r="C118" s="209" t="str">
        <f t="shared" si="119"/>
        <v>0</v>
      </c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1">
        <f t="shared" si="117"/>
        <v>0</v>
      </c>
    </row>
    <row r="119" spans="1:24">
      <c r="A119" s="207" t="str">
        <f t="shared" si="118"/>
        <v>28 - JOINVILLE - SC X CURITIBA - PR</v>
      </c>
      <c r="B119" s="208" t="str">
        <f t="shared" si="118"/>
        <v>23210 - ASSISTÊNCIA TÉCNICA - LOGISTICA</v>
      </c>
      <c r="C119" s="209" t="str">
        <f t="shared" si="119"/>
        <v>0</v>
      </c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1">
        <f t="shared" si="117"/>
        <v>0</v>
      </c>
    </row>
    <row r="120" spans="1:24">
      <c r="A120" s="207" t="str">
        <f t="shared" si="118"/>
        <v>29 - JOINVILLE - SC X CURITIBA - PR</v>
      </c>
      <c r="B120" s="208" t="str">
        <f t="shared" si="118"/>
        <v>23210 - ASSISTÊNCIA TÉCNICA - LOGISTICA</v>
      </c>
      <c r="C120" s="209" t="str">
        <f t="shared" si="119"/>
        <v>0</v>
      </c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1">
        <f t="shared" si="117"/>
        <v>0</v>
      </c>
    </row>
    <row r="121" spans="1:24">
      <c r="A121" s="207" t="str">
        <f t="shared" si="118"/>
        <v>30 - JOINVILLE - SC X CURITIBA - PR</v>
      </c>
      <c r="B121" s="208" t="str">
        <f t="shared" si="118"/>
        <v>23210 - ASSISTÊNCIA TÉCNICA - LOGISTICA</v>
      </c>
      <c r="C121" s="209" t="str">
        <f t="shared" si="119"/>
        <v>0</v>
      </c>
      <c r="D121" s="125"/>
      <c r="E121" s="125"/>
      <c r="F121" s="125"/>
      <c r="G121" s="125"/>
      <c r="H121" s="125"/>
      <c r="I121" s="126"/>
      <c r="J121" s="126"/>
      <c r="K121" s="125"/>
      <c r="L121" s="125"/>
      <c r="M121" s="125"/>
      <c r="N121" s="125"/>
      <c r="O121" s="126"/>
      <c r="P121" s="61">
        <f t="shared" si="117"/>
        <v>0</v>
      </c>
    </row>
    <row r="122" spans="1:24">
      <c r="A122" s="207" t="str">
        <f t="shared" si="118"/>
        <v>31 - JOINVILLE - SC X CURITIBA - PR</v>
      </c>
      <c r="B122" s="208" t="str">
        <f t="shared" si="118"/>
        <v>23210 - ASSISTÊNCIA TÉCNICA - LOGISTICA</v>
      </c>
      <c r="C122" s="209" t="str">
        <f t="shared" si="119"/>
        <v>0</v>
      </c>
      <c r="D122" s="125"/>
      <c r="E122" s="125"/>
      <c r="F122" s="125"/>
      <c r="G122" s="125"/>
      <c r="H122" s="125"/>
      <c r="I122" s="126"/>
      <c r="J122" s="126"/>
      <c r="K122" s="125"/>
      <c r="L122" s="125"/>
      <c r="M122" s="125"/>
      <c r="N122" s="125"/>
      <c r="O122" s="126"/>
      <c r="P122" s="61">
        <f t="shared" si="117"/>
        <v>0</v>
      </c>
    </row>
    <row r="123" spans="1:24">
      <c r="A123" s="207" t="str">
        <f t="shared" si="118"/>
        <v>32 - JOINVILLE - SC X CURITIBA - PR</v>
      </c>
      <c r="B123" s="208" t="str">
        <f t="shared" si="118"/>
        <v>23210 - ASSISTÊNCIA TÉCNICA - LOGISTICA</v>
      </c>
      <c r="C123" s="209" t="str">
        <f t="shared" si="119"/>
        <v>0</v>
      </c>
      <c r="D123" s="125"/>
      <c r="E123" s="125"/>
      <c r="F123" s="125"/>
      <c r="G123" s="125"/>
      <c r="H123" s="125"/>
      <c r="I123" s="126"/>
      <c r="J123" s="126"/>
      <c r="K123" s="125"/>
      <c r="L123" s="125"/>
      <c r="M123" s="125"/>
      <c r="N123" s="125"/>
      <c r="O123" s="126"/>
      <c r="P123" s="61">
        <f t="shared" si="117"/>
        <v>0</v>
      </c>
    </row>
    <row r="124" spans="1:24">
      <c r="A124" s="207" t="str">
        <f>A41</f>
        <v>34 - JOINVILLE - SC X CURITIBA - PR</v>
      </c>
      <c r="B124" s="208" t="str">
        <f>B41</f>
        <v>23210 - ASSISTÊNCIA TÉCNICA - LOGISTICA</v>
      </c>
      <c r="C124" s="209" t="str">
        <f>W41</f>
        <v>0</v>
      </c>
      <c r="D124" s="125"/>
      <c r="E124" s="125"/>
      <c r="F124" s="125"/>
      <c r="G124" s="125"/>
      <c r="H124" s="125"/>
      <c r="I124" s="126"/>
      <c r="J124" s="126"/>
      <c r="K124" s="125"/>
      <c r="L124" s="125"/>
      <c r="M124" s="125"/>
      <c r="N124" s="125"/>
      <c r="O124" s="126"/>
      <c r="P124" s="61">
        <f t="shared" si="117"/>
        <v>0</v>
      </c>
    </row>
    <row r="125" spans="1:24" s="23" customFormat="1" ht="18">
      <c r="B125" s="80"/>
      <c r="C125" s="48"/>
      <c r="D125" s="48"/>
      <c r="E125" s="48"/>
      <c r="F125" s="59"/>
      <c r="G125" s="59"/>
      <c r="H125" s="59"/>
      <c r="I125" s="60"/>
      <c r="J125" s="60"/>
      <c r="K125" s="60"/>
      <c r="L125" s="48"/>
      <c r="M125" s="48"/>
      <c r="N125" s="60"/>
      <c r="O125" s="60"/>
      <c r="P125" s="60"/>
      <c r="Q125" s="60"/>
      <c r="R125" s="48"/>
      <c r="S125" s="48"/>
      <c r="T125" s="48"/>
      <c r="U125" s="48"/>
      <c r="V125" s="48"/>
      <c r="W125" s="48"/>
      <c r="X125" s="48"/>
    </row>
    <row r="126" spans="1:24" s="23" customFormat="1" ht="18">
      <c r="B126" s="80"/>
      <c r="C126" s="48"/>
      <c r="D126" s="48"/>
      <c r="E126" s="48"/>
      <c r="F126" s="59"/>
      <c r="G126" s="59"/>
      <c r="H126" s="59"/>
      <c r="I126" s="60"/>
      <c r="J126" s="60"/>
      <c r="K126" s="60"/>
      <c r="L126" s="48"/>
      <c r="M126" s="48"/>
      <c r="N126" s="60"/>
      <c r="O126" s="60"/>
      <c r="P126" s="60"/>
      <c r="Q126" s="60"/>
      <c r="R126" s="48"/>
      <c r="S126" s="48"/>
      <c r="T126" s="48"/>
      <c r="U126" s="48"/>
      <c r="V126" s="48"/>
      <c r="W126" s="48"/>
      <c r="X126" s="48"/>
    </row>
    <row r="127" spans="1:24" s="23" customFormat="1" ht="18">
      <c r="B127" s="80"/>
      <c r="C127" s="48"/>
      <c r="D127" s="48"/>
      <c r="E127" s="48"/>
      <c r="F127" s="57" t="s">
        <v>138</v>
      </c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48"/>
      <c r="S127" s="48"/>
      <c r="T127" s="48"/>
      <c r="U127" s="48"/>
      <c r="V127" s="48"/>
      <c r="W127" s="48"/>
      <c r="X127" s="48"/>
    </row>
    <row r="128" spans="1:24" ht="19.5">
      <c r="A128" s="201" t="s">
        <v>321</v>
      </c>
      <c r="B128" s="127" t="s">
        <v>268</v>
      </c>
      <c r="C128" s="112"/>
      <c r="F128" s="114" t="s">
        <v>75</v>
      </c>
      <c r="G128" s="114" t="s">
        <v>76</v>
      </c>
      <c r="H128" s="114" t="s">
        <v>77</v>
      </c>
      <c r="I128" s="114" t="s">
        <v>78</v>
      </c>
      <c r="J128" s="114" t="s">
        <v>79</v>
      </c>
      <c r="K128" s="114" t="s">
        <v>80</v>
      </c>
      <c r="L128" s="114" t="s">
        <v>81</v>
      </c>
      <c r="M128" s="114" t="s">
        <v>82</v>
      </c>
      <c r="N128" s="114" t="s">
        <v>83</v>
      </c>
      <c r="O128" s="114" t="s">
        <v>84</v>
      </c>
      <c r="P128" s="114" t="s">
        <v>85</v>
      </c>
      <c r="Q128" s="114" t="s">
        <v>86</v>
      </c>
    </row>
    <row r="129" spans="1:18" ht="24">
      <c r="A129" s="94" t="s">
        <v>275</v>
      </c>
      <c r="B129" s="124" t="s">
        <v>102</v>
      </c>
      <c r="C129" s="94" t="s">
        <v>282</v>
      </c>
      <c r="D129" s="94" t="s">
        <v>271</v>
      </c>
      <c r="E129" s="128" t="s">
        <v>273</v>
      </c>
      <c r="F129" s="248">
        <f>SUM(F130:F149)</f>
        <v>0</v>
      </c>
      <c r="G129" s="248">
        <f>SUM(G130:G149)</f>
        <v>0</v>
      </c>
      <c r="H129" s="248">
        <f t="shared" ref="H129" si="120">SUM(H130:H149)</f>
        <v>0</v>
      </c>
      <c r="I129" s="248">
        <f t="shared" ref="I129" si="121">SUM(I130:I149)</f>
        <v>0</v>
      </c>
      <c r="J129" s="248">
        <f t="shared" ref="J129" si="122">SUM(J130:J149)</f>
        <v>0</v>
      </c>
      <c r="K129" s="248">
        <f t="shared" ref="K129" si="123">SUM(K130:K149)</f>
        <v>0</v>
      </c>
      <c r="L129" s="248">
        <f t="shared" ref="L129" si="124">SUM(L130:L149)</f>
        <v>0</v>
      </c>
      <c r="M129" s="248">
        <f t="shared" ref="M129" si="125">SUM(M130:M149)</f>
        <v>0</v>
      </c>
      <c r="N129" s="248">
        <f t="shared" ref="N129" si="126">SUM(N130:N149)</f>
        <v>0</v>
      </c>
      <c r="O129" s="248">
        <f t="shared" ref="O129" si="127">SUM(O130:O149)</f>
        <v>0</v>
      </c>
      <c r="P129" s="248">
        <f t="shared" ref="P129" si="128">SUM(P130:P149)</f>
        <v>0</v>
      </c>
      <c r="Q129" s="248">
        <f>SUM(Q130:Q149)</f>
        <v>0</v>
      </c>
      <c r="R129" s="64" t="s">
        <v>92</v>
      </c>
    </row>
    <row r="130" spans="1:18">
      <c r="A130" s="207" t="str">
        <f t="shared" ref="A130:B141" si="129">A18</f>
        <v>11 - JOINVILLE - SC X CURITIBA - PR</v>
      </c>
      <c r="B130" s="208" t="str">
        <f t="shared" si="129"/>
        <v>23210 - ASSISTÊNCIA TÉCNICA - LOGISTICA</v>
      </c>
      <c r="C130" s="209" t="str">
        <f t="shared" ref="C130:C141" si="130">S18</f>
        <v>0</v>
      </c>
      <c r="D130" s="209">
        <f t="shared" ref="D130:D141" si="131">T18</f>
        <v>0</v>
      </c>
      <c r="E130" s="212">
        <f>SUM(C130:D130)</f>
        <v>0</v>
      </c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>
        <f>SUM(F130:Q130)</f>
        <v>0</v>
      </c>
    </row>
    <row r="131" spans="1:18">
      <c r="A131" s="207" t="str">
        <f t="shared" si="129"/>
        <v>12 - JOINVILLE - SC X CURITIBA - PR</v>
      </c>
      <c r="B131" s="208" t="str">
        <f t="shared" si="129"/>
        <v>23210 - ASSISTÊNCIA TÉCNICA - LOGISTICA</v>
      </c>
      <c r="C131" s="209" t="str">
        <f t="shared" si="130"/>
        <v>0</v>
      </c>
      <c r="D131" s="209">
        <f t="shared" si="131"/>
        <v>0</v>
      </c>
      <c r="E131" s="212">
        <f t="shared" ref="E131:E149" si="132">SUM(C131:D131)</f>
        <v>0</v>
      </c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1">
        <f t="shared" ref="R131:R149" si="133">SUM(F131:Q131)</f>
        <v>0</v>
      </c>
    </row>
    <row r="132" spans="1:18">
      <c r="A132" s="207" t="str">
        <f t="shared" si="129"/>
        <v>13 - JOINVILLE - SC X CURITIBA - PR</v>
      </c>
      <c r="B132" s="208" t="str">
        <f t="shared" si="129"/>
        <v>23210 - ASSISTÊNCIA TÉCNICA - LOGISTICA</v>
      </c>
      <c r="C132" s="209" t="str">
        <f t="shared" si="130"/>
        <v>0</v>
      </c>
      <c r="D132" s="209">
        <f t="shared" si="131"/>
        <v>0</v>
      </c>
      <c r="E132" s="212">
        <f t="shared" si="132"/>
        <v>0</v>
      </c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1">
        <f t="shared" si="133"/>
        <v>0</v>
      </c>
    </row>
    <row r="133" spans="1:18">
      <c r="A133" s="207" t="str">
        <f t="shared" si="129"/>
        <v>14 - JOINVILLE - SC X CURITIBA - PR</v>
      </c>
      <c r="B133" s="208" t="str">
        <f t="shared" si="129"/>
        <v>23210 - ASSISTÊNCIA TÉCNICA - LOGISTICA</v>
      </c>
      <c r="C133" s="209" t="str">
        <f t="shared" si="130"/>
        <v>0</v>
      </c>
      <c r="D133" s="209">
        <f t="shared" si="131"/>
        <v>0</v>
      </c>
      <c r="E133" s="212">
        <f t="shared" si="132"/>
        <v>0</v>
      </c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1">
        <f t="shared" si="133"/>
        <v>0</v>
      </c>
    </row>
    <row r="134" spans="1:18">
      <c r="A134" s="207" t="str">
        <f t="shared" si="129"/>
        <v>15 - JOINVILLE - SC X CURITIBA - PR</v>
      </c>
      <c r="B134" s="208" t="str">
        <f t="shared" si="129"/>
        <v>23210 - ASSISTÊNCIA TÉCNICA - LOGISTICA</v>
      </c>
      <c r="C134" s="209" t="str">
        <f t="shared" si="130"/>
        <v>0</v>
      </c>
      <c r="D134" s="209">
        <f t="shared" si="131"/>
        <v>0</v>
      </c>
      <c r="E134" s="212">
        <f t="shared" si="132"/>
        <v>0</v>
      </c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1">
        <f t="shared" si="133"/>
        <v>0</v>
      </c>
    </row>
    <row r="135" spans="1:18">
      <c r="A135" s="207" t="str">
        <f t="shared" si="129"/>
        <v>16 - JOINVILLE - SC X CURITIBA - PR</v>
      </c>
      <c r="B135" s="208" t="str">
        <f t="shared" si="129"/>
        <v>23210 - ASSISTÊNCIA TÉCNICA - LOGISTICA</v>
      </c>
      <c r="C135" s="209" t="str">
        <f t="shared" si="130"/>
        <v>0</v>
      </c>
      <c r="D135" s="209">
        <f t="shared" si="131"/>
        <v>0</v>
      </c>
      <c r="E135" s="212">
        <f t="shared" si="132"/>
        <v>0</v>
      </c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1">
        <f t="shared" si="133"/>
        <v>0</v>
      </c>
    </row>
    <row r="136" spans="1:18">
      <c r="A136" s="207" t="str">
        <f t="shared" si="129"/>
        <v>17 - JOINVILLE - SC X CURITIBA - PR</v>
      </c>
      <c r="B136" s="208" t="str">
        <f t="shared" si="129"/>
        <v>23210 - ASSISTÊNCIA TÉCNICA - LOGISTICA</v>
      </c>
      <c r="C136" s="209" t="str">
        <f t="shared" si="130"/>
        <v>0</v>
      </c>
      <c r="D136" s="209">
        <f t="shared" si="131"/>
        <v>0</v>
      </c>
      <c r="E136" s="212">
        <f t="shared" si="132"/>
        <v>0</v>
      </c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1">
        <f t="shared" si="133"/>
        <v>0</v>
      </c>
    </row>
    <row r="137" spans="1:18">
      <c r="A137" s="207" t="str">
        <f t="shared" si="129"/>
        <v>18 - JOINVILLE - SC X CURITIBA - PR</v>
      </c>
      <c r="B137" s="208" t="str">
        <f t="shared" si="129"/>
        <v>23210 - ASSISTÊNCIA TÉCNICA - LOGISTICA</v>
      </c>
      <c r="C137" s="209" t="str">
        <f t="shared" si="130"/>
        <v>0</v>
      </c>
      <c r="D137" s="209">
        <f t="shared" si="131"/>
        <v>0</v>
      </c>
      <c r="E137" s="212">
        <f t="shared" si="132"/>
        <v>0</v>
      </c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1">
        <f t="shared" si="133"/>
        <v>0</v>
      </c>
    </row>
    <row r="138" spans="1:18">
      <c r="A138" s="207" t="str">
        <f t="shared" si="129"/>
        <v>19 - JOINVILLE - SC X CURITIBA - PR</v>
      </c>
      <c r="B138" s="208" t="str">
        <f t="shared" si="129"/>
        <v>23210 - ASSISTÊNCIA TÉCNICA - LOGISTICA</v>
      </c>
      <c r="C138" s="209" t="str">
        <f t="shared" si="130"/>
        <v>0</v>
      </c>
      <c r="D138" s="209">
        <f t="shared" si="131"/>
        <v>0</v>
      </c>
      <c r="E138" s="212">
        <f t="shared" si="132"/>
        <v>0</v>
      </c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1">
        <f t="shared" si="133"/>
        <v>0</v>
      </c>
    </row>
    <row r="139" spans="1:18">
      <c r="A139" s="207" t="str">
        <f t="shared" si="129"/>
        <v>20 - JOINVILLE - SC X CURITIBA - PR</v>
      </c>
      <c r="B139" s="208" t="str">
        <f t="shared" si="129"/>
        <v>23210 - ASSISTÊNCIA TÉCNICA - LOGISTICA</v>
      </c>
      <c r="C139" s="209" t="str">
        <f t="shared" si="130"/>
        <v>0</v>
      </c>
      <c r="D139" s="209">
        <f t="shared" si="131"/>
        <v>0</v>
      </c>
      <c r="E139" s="212">
        <f t="shared" si="132"/>
        <v>0</v>
      </c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1">
        <f t="shared" si="133"/>
        <v>0</v>
      </c>
    </row>
    <row r="140" spans="1:18">
      <c r="A140" s="207" t="str">
        <f t="shared" si="129"/>
        <v>21 - JOINVILLE - SC X CURITIBA - PR</v>
      </c>
      <c r="B140" s="208" t="str">
        <f t="shared" si="129"/>
        <v>23210 - ASSISTÊNCIA TÉCNICA - LOGISTICA</v>
      </c>
      <c r="C140" s="209" t="str">
        <f t="shared" si="130"/>
        <v>0</v>
      </c>
      <c r="D140" s="209">
        <f t="shared" si="131"/>
        <v>0</v>
      </c>
      <c r="E140" s="212">
        <f t="shared" si="132"/>
        <v>0</v>
      </c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1">
        <f t="shared" si="133"/>
        <v>0</v>
      </c>
    </row>
    <row r="141" spans="1:18">
      <c r="A141" s="207" t="str">
        <f t="shared" si="129"/>
        <v>22 - JOINVILLE - SC X CURITIBA - PR</v>
      </c>
      <c r="B141" s="208" t="str">
        <f t="shared" si="129"/>
        <v>23210 - ASSISTÊNCIA TÉCNICA - LOGISTICA</v>
      </c>
      <c r="C141" s="209" t="str">
        <f t="shared" si="130"/>
        <v>0</v>
      </c>
      <c r="D141" s="209">
        <f t="shared" si="131"/>
        <v>0</v>
      </c>
      <c r="E141" s="212">
        <f t="shared" si="132"/>
        <v>0</v>
      </c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1">
        <f t="shared" si="133"/>
        <v>0</v>
      </c>
    </row>
    <row r="142" spans="1:18">
      <c r="A142" s="207" t="str">
        <f t="shared" ref="A142:B148" si="134">A33</f>
        <v>26 - JOINVILLE - SC X CURITIBA - PR</v>
      </c>
      <c r="B142" s="208" t="str">
        <f t="shared" si="134"/>
        <v>23210 - ASSISTÊNCIA TÉCNICA - LOGISTICA</v>
      </c>
      <c r="C142" s="209" t="str">
        <f t="shared" ref="C142:D148" si="135">S33</f>
        <v>0</v>
      </c>
      <c r="D142" s="209">
        <f t="shared" si="135"/>
        <v>0</v>
      </c>
      <c r="E142" s="212">
        <f t="shared" si="132"/>
        <v>0</v>
      </c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1">
        <f t="shared" si="133"/>
        <v>0</v>
      </c>
    </row>
    <row r="143" spans="1:18">
      <c r="A143" s="207" t="str">
        <f t="shared" si="134"/>
        <v>27 - JOINVILLE - SC X CURITIBA - PR</v>
      </c>
      <c r="B143" s="208" t="str">
        <f t="shared" si="134"/>
        <v>23210 - ASSISTÊNCIA TÉCNICA - LOGISTICA</v>
      </c>
      <c r="C143" s="209" t="str">
        <f t="shared" si="135"/>
        <v>0</v>
      </c>
      <c r="D143" s="209">
        <f t="shared" si="135"/>
        <v>0</v>
      </c>
      <c r="E143" s="212">
        <f t="shared" si="132"/>
        <v>0</v>
      </c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1">
        <f t="shared" si="133"/>
        <v>0</v>
      </c>
    </row>
    <row r="144" spans="1:18">
      <c r="A144" s="207" t="str">
        <f t="shared" si="134"/>
        <v>28 - JOINVILLE - SC X CURITIBA - PR</v>
      </c>
      <c r="B144" s="208" t="str">
        <f t="shared" si="134"/>
        <v>23210 - ASSISTÊNCIA TÉCNICA - LOGISTICA</v>
      </c>
      <c r="C144" s="209" t="str">
        <f t="shared" si="135"/>
        <v>0</v>
      </c>
      <c r="D144" s="209">
        <f t="shared" si="135"/>
        <v>0</v>
      </c>
      <c r="E144" s="212">
        <f t="shared" si="132"/>
        <v>0</v>
      </c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1">
        <f t="shared" si="133"/>
        <v>0</v>
      </c>
    </row>
    <row r="145" spans="1:40">
      <c r="A145" s="207" t="str">
        <f t="shared" si="134"/>
        <v>29 - JOINVILLE - SC X CURITIBA - PR</v>
      </c>
      <c r="B145" s="208" t="str">
        <f t="shared" si="134"/>
        <v>23210 - ASSISTÊNCIA TÉCNICA - LOGISTICA</v>
      </c>
      <c r="C145" s="209" t="str">
        <f t="shared" si="135"/>
        <v>0</v>
      </c>
      <c r="D145" s="209">
        <f t="shared" si="135"/>
        <v>0</v>
      </c>
      <c r="E145" s="212">
        <f t="shared" si="132"/>
        <v>0</v>
      </c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1">
        <f t="shared" si="133"/>
        <v>0</v>
      </c>
    </row>
    <row r="146" spans="1:40">
      <c r="A146" s="207" t="str">
        <f t="shared" si="134"/>
        <v>30 - JOINVILLE - SC X CURITIBA - PR</v>
      </c>
      <c r="B146" s="208" t="str">
        <f t="shared" si="134"/>
        <v>23210 - ASSISTÊNCIA TÉCNICA - LOGISTICA</v>
      </c>
      <c r="C146" s="209" t="str">
        <f t="shared" si="135"/>
        <v>0</v>
      </c>
      <c r="D146" s="209">
        <f t="shared" si="135"/>
        <v>0</v>
      </c>
      <c r="E146" s="212">
        <f t="shared" si="132"/>
        <v>0</v>
      </c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1">
        <f t="shared" si="133"/>
        <v>0</v>
      </c>
    </row>
    <row r="147" spans="1:40">
      <c r="A147" s="207" t="str">
        <f t="shared" si="134"/>
        <v>31 - JOINVILLE - SC X CURITIBA - PR</v>
      </c>
      <c r="B147" s="208" t="str">
        <f t="shared" si="134"/>
        <v>23210 - ASSISTÊNCIA TÉCNICA - LOGISTICA</v>
      </c>
      <c r="C147" s="209" t="str">
        <f t="shared" si="135"/>
        <v>0</v>
      </c>
      <c r="D147" s="209">
        <f t="shared" si="135"/>
        <v>0</v>
      </c>
      <c r="E147" s="212">
        <f t="shared" si="132"/>
        <v>0</v>
      </c>
      <c r="F147" s="125"/>
      <c r="G147" s="125"/>
      <c r="H147" s="125"/>
      <c r="I147" s="125"/>
      <c r="J147" s="125"/>
      <c r="K147" s="126"/>
      <c r="L147" s="126"/>
      <c r="M147" s="125"/>
      <c r="N147" s="125"/>
      <c r="O147" s="125"/>
      <c r="P147" s="125"/>
      <c r="Q147" s="126"/>
      <c r="R147" s="61">
        <f t="shared" si="133"/>
        <v>0</v>
      </c>
    </row>
    <row r="148" spans="1:40">
      <c r="A148" s="207" t="str">
        <f t="shared" si="134"/>
        <v>32 - JOINVILLE - SC X CURITIBA - PR</v>
      </c>
      <c r="B148" s="208" t="str">
        <f t="shared" si="134"/>
        <v>23210 - ASSISTÊNCIA TÉCNICA - LOGISTICA</v>
      </c>
      <c r="C148" s="209" t="str">
        <f t="shared" si="135"/>
        <v>0</v>
      </c>
      <c r="D148" s="209">
        <f t="shared" si="135"/>
        <v>0</v>
      </c>
      <c r="E148" s="212">
        <f t="shared" si="132"/>
        <v>0</v>
      </c>
      <c r="F148" s="125"/>
      <c r="G148" s="125"/>
      <c r="H148" s="125"/>
      <c r="I148" s="125"/>
      <c r="J148" s="125"/>
      <c r="K148" s="126"/>
      <c r="L148" s="126"/>
      <c r="M148" s="125"/>
      <c r="N148" s="125"/>
      <c r="O148" s="125"/>
      <c r="P148" s="125"/>
      <c r="Q148" s="126"/>
      <c r="R148" s="61">
        <f t="shared" si="133"/>
        <v>0</v>
      </c>
    </row>
    <row r="149" spans="1:40">
      <c r="A149" s="207" t="str">
        <f>A41</f>
        <v>34 - JOINVILLE - SC X CURITIBA - PR</v>
      </c>
      <c r="B149" s="208" t="str">
        <f>B25</f>
        <v>23210 - ASSISTÊNCIA TÉCNICA - LOGISTICA</v>
      </c>
      <c r="C149" s="209" t="str">
        <f>S41</f>
        <v>0</v>
      </c>
      <c r="D149" s="209">
        <f>T41</f>
        <v>0</v>
      </c>
      <c r="E149" s="212">
        <f t="shared" si="132"/>
        <v>0</v>
      </c>
      <c r="F149" s="125"/>
      <c r="G149" s="125"/>
      <c r="H149" s="125"/>
      <c r="I149" s="125"/>
      <c r="J149" s="125"/>
      <c r="K149" s="126"/>
      <c r="L149" s="126"/>
      <c r="M149" s="125"/>
      <c r="N149" s="125"/>
      <c r="O149" s="125"/>
      <c r="P149" s="125"/>
      <c r="Q149" s="126"/>
      <c r="R149" s="61">
        <f t="shared" si="133"/>
        <v>0</v>
      </c>
    </row>
    <row r="150" spans="1:40" s="23" customFormat="1" ht="18">
      <c r="B150" s="80"/>
      <c r="C150" s="48"/>
      <c r="D150" s="48"/>
      <c r="E150" s="48"/>
      <c r="F150" s="59"/>
      <c r="G150" s="59"/>
      <c r="H150" s="59"/>
      <c r="I150" s="60"/>
      <c r="J150" s="60"/>
      <c r="K150" s="60"/>
      <c r="L150" s="48"/>
      <c r="M150" s="48"/>
      <c r="N150" s="60"/>
      <c r="O150" s="60"/>
      <c r="P150" s="60"/>
      <c r="Q150" s="60"/>
      <c r="R150" s="48"/>
      <c r="S150" s="48"/>
      <c r="T150" s="48"/>
      <c r="U150" s="48"/>
      <c r="V150" s="48"/>
      <c r="W150" s="48"/>
      <c r="X150" s="48"/>
    </row>
    <row r="151" spans="1:40" s="23" customFormat="1" ht="18">
      <c r="B151" s="80"/>
      <c r="C151" s="48"/>
      <c r="D151" s="48"/>
      <c r="E151" s="48"/>
      <c r="F151" s="59"/>
      <c r="G151" s="59"/>
      <c r="H151" s="59"/>
      <c r="I151" s="60"/>
      <c r="J151" s="60"/>
      <c r="K151" s="60"/>
      <c r="L151" s="48"/>
      <c r="M151" s="48"/>
      <c r="N151" s="60"/>
      <c r="O151" s="60"/>
      <c r="P151" s="60"/>
      <c r="Q151" s="60"/>
      <c r="R151" s="48"/>
      <c r="S151" s="48"/>
      <c r="T151" s="48"/>
      <c r="U151" s="48"/>
      <c r="V151" s="48"/>
      <c r="W151" s="48"/>
      <c r="X151" s="48"/>
    </row>
    <row r="152" spans="1:40" s="23" customFormat="1" ht="18">
      <c r="B152" s="80"/>
      <c r="C152" s="48"/>
      <c r="D152" s="48"/>
      <c r="E152" s="48"/>
      <c r="F152" s="59"/>
      <c r="G152" s="59"/>
      <c r="H152" s="59"/>
      <c r="I152" s="60"/>
      <c r="J152" s="60"/>
      <c r="K152" s="60"/>
      <c r="L152" s="48"/>
      <c r="M152" s="48"/>
      <c r="N152" s="60"/>
      <c r="O152" s="60"/>
      <c r="P152" s="60"/>
      <c r="Q152" s="60"/>
      <c r="R152" s="48"/>
      <c r="S152" s="48"/>
      <c r="T152" s="48"/>
      <c r="U152" s="48"/>
      <c r="V152" s="48"/>
      <c r="W152" s="48"/>
      <c r="X152" s="48"/>
    </row>
    <row r="153" spans="1:40" ht="22.5">
      <c r="A153" s="142" t="s">
        <v>267</v>
      </c>
      <c r="B153" s="143"/>
      <c r="C153" s="142" t="s">
        <v>110</v>
      </c>
      <c r="D153" s="135"/>
      <c r="E153" s="135"/>
      <c r="K153"/>
      <c r="M153" s="30"/>
      <c r="Q153"/>
    </row>
    <row r="154" spans="1:40" ht="19.5">
      <c r="A154" s="201" t="s">
        <v>323</v>
      </c>
      <c r="F154"/>
      <c r="G154"/>
      <c r="H154"/>
      <c r="I154"/>
      <c r="J154"/>
      <c r="K154"/>
      <c r="N154"/>
      <c r="O154"/>
      <c r="P154"/>
      <c r="Q154"/>
      <c r="AB154" s="57" t="s">
        <v>138</v>
      </c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58"/>
    </row>
    <row r="155" spans="1:40">
      <c r="A155" s="65" t="s">
        <v>240</v>
      </c>
      <c r="B155" s="65"/>
      <c r="C155" s="66" t="s">
        <v>260</v>
      </c>
      <c r="D155" s="67"/>
      <c r="E155" s="67"/>
      <c r="F155" s="67"/>
      <c r="G155" s="68"/>
      <c r="H155" s="81" t="s">
        <v>264</v>
      </c>
      <c r="I155" s="81"/>
      <c r="J155" s="82"/>
      <c r="K155" s="82"/>
      <c r="L155" s="84" t="s">
        <v>263</v>
      </c>
      <c r="M155" s="84"/>
      <c r="N155" s="84"/>
      <c r="O155" s="84"/>
      <c r="P155" s="88" t="s">
        <v>146</v>
      </c>
      <c r="Q155" s="89"/>
      <c r="R155" s="89"/>
      <c r="S155" s="89"/>
      <c r="T155" s="106" t="s">
        <v>145</v>
      </c>
      <c r="U155" s="105"/>
      <c r="V155" s="105"/>
      <c r="W155" s="69" t="s">
        <v>262</v>
      </c>
      <c r="X155" s="69"/>
      <c r="Y155" s="108" t="s">
        <v>265</v>
      </c>
      <c r="Z155" s="107"/>
      <c r="AA155" s="95"/>
      <c r="AB155" s="63" t="s">
        <v>75</v>
      </c>
      <c r="AC155" s="63" t="s">
        <v>76</v>
      </c>
      <c r="AD155" s="63" t="s">
        <v>77</v>
      </c>
      <c r="AE155" s="63" t="s">
        <v>78</v>
      </c>
      <c r="AF155" s="63" t="s">
        <v>79</v>
      </c>
      <c r="AG155" s="63" t="s">
        <v>80</v>
      </c>
      <c r="AH155" s="63" t="s">
        <v>81</v>
      </c>
      <c r="AI155" s="63" t="s">
        <v>82</v>
      </c>
      <c r="AJ155" s="63" t="s">
        <v>83</v>
      </c>
      <c r="AK155" s="63" t="s">
        <v>84</v>
      </c>
      <c r="AL155" s="63" t="s">
        <v>85</v>
      </c>
      <c r="AM155" s="63" t="s">
        <v>86</v>
      </c>
    </row>
    <row r="156" spans="1:40" s="55" customFormat="1" ht="36">
      <c r="A156" s="70" t="s">
        <v>102</v>
      </c>
      <c r="B156" s="70" t="s">
        <v>134</v>
      </c>
      <c r="C156" s="71" t="s">
        <v>139</v>
      </c>
      <c r="D156" s="71" t="s">
        <v>104</v>
      </c>
      <c r="E156" s="71" t="s">
        <v>245</v>
      </c>
      <c r="F156" s="71" t="s">
        <v>105</v>
      </c>
      <c r="G156" s="71" t="s">
        <v>106</v>
      </c>
      <c r="H156" s="83" t="s">
        <v>147</v>
      </c>
      <c r="I156" s="83" t="s">
        <v>241</v>
      </c>
      <c r="J156" s="92" t="s">
        <v>141</v>
      </c>
      <c r="K156" s="92" t="s">
        <v>239</v>
      </c>
      <c r="L156" s="85" t="s">
        <v>237</v>
      </c>
      <c r="M156" s="86" t="s">
        <v>249</v>
      </c>
      <c r="N156" s="87" t="s">
        <v>238</v>
      </c>
      <c r="O156" s="87" t="s">
        <v>261</v>
      </c>
      <c r="P156" s="90" t="s">
        <v>140</v>
      </c>
      <c r="Q156" s="91" t="s">
        <v>242</v>
      </c>
      <c r="R156" s="91" t="s">
        <v>243</v>
      </c>
      <c r="S156" s="91"/>
      <c r="T156" s="103" t="s">
        <v>255</v>
      </c>
      <c r="U156" s="103" t="s">
        <v>128</v>
      </c>
      <c r="V156" s="103" t="s">
        <v>256</v>
      </c>
      <c r="W156" s="93" t="s">
        <v>127</v>
      </c>
      <c r="X156" s="93" t="s">
        <v>258</v>
      </c>
      <c r="Y156" s="94" t="s">
        <v>259</v>
      </c>
      <c r="Z156" s="94" t="s">
        <v>244</v>
      </c>
      <c r="AA156" s="93" t="s">
        <v>266</v>
      </c>
      <c r="AB156" s="249">
        <f>SUM(AB157:AB170)</f>
        <v>0</v>
      </c>
      <c r="AC156" s="249">
        <f t="shared" ref="AC156:AM156" si="136">SUM(AC157:AC170)</f>
        <v>0</v>
      </c>
      <c r="AD156" s="249">
        <f t="shared" si="136"/>
        <v>0</v>
      </c>
      <c r="AE156" s="249">
        <f t="shared" si="136"/>
        <v>0</v>
      </c>
      <c r="AF156" s="249">
        <f t="shared" si="136"/>
        <v>0</v>
      </c>
      <c r="AG156" s="249">
        <f t="shared" si="136"/>
        <v>0</v>
      </c>
      <c r="AH156" s="249">
        <f t="shared" si="136"/>
        <v>0</v>
      </c>
      <c r="AI156" s="249">
        <f t="shared" si="136"/>
        <v>0</v>
      </c>
      <c r="AJ156" s="249">
        <f t="shared" si="136"/>
        <v>0</v>
      </c>
      <c r="AK156" s="249">
        <f t="shared" si="136"/>
        <v>0</v>
      </c>
      <c r="AL156" s="249">
        <f t="shared" si="136"/>
        <v>0</v>
      </c>
      <c r="AM156" s="249">
        <f t="shared" si="136"/>
        <v>0</v>
      </c>
      <c r="AN156" s="64" t="s">
        <v>92</v>
      </c>
    </row>
    <row r="157" spans="1:40" s="56" customFormat="1" ht="12">
      <c r="A157" s="171" t="s">
        <v>111</v>
      </c>
      <c r="B157" s="171" t="s">
        <v>119</v>
      </c>
      <c r="C157" s="172"/>
      <c r="D157" s="173"/>
      <c r="E157" s="173"/>
      <c r="F157" s="174"/>
      <c r="G157" s="174"/>
      <c r="H157" s="174"/>
      <c r="I157" s="174"/>
      <c r="J157" s="118"/>
      <c r="K157" s="175"/>
      <c r="L157" s="174"/>
      <c r="M157" s="176"/>
      <c r="N157" s="176"/>
      <c r="O157" s="176"/>
      <c r="P157" s="174"/>
      <c r="Q157" s="118"/>
      <c r="R157" s="175"/>
      <c r="S157" s="175"/>
      <c r="T157" s="118"/>
      <c r="U157" s="118"/>
      <c r="V157" s="175"/>
      <c r="W157" s="118"/>
      <c r="X157" s="175"/>
      <c r="Y157" s="118"/>
      <c r="Z157" s="118"/>
      <c r="AA157" s="118">
        <f t="shared" ref="AA157:AA170" si="137">IF(A157="","",K157+N157+O157+R157+V157+X157+Y157)</f>
        <v>0</v>
      </c>
      <c r="AB157" s="118"/>
      <c r="AC157" s="118"/>
      <c r="AD157" s="118"/>
      <c r="AE157" s="118"/>
      <c r="AF157" s="118"/>
      <c r="AG157" s="118"/>
      <c r="AH157" s="118"/>
      <c r="AI157" s="118"/>
      <c r="AJ157" s="118"/>
      <c r="AK157" s="118"/>
      <c r="AL157" s="118"/>
      <c r="AM157" s="118"/>
      <c r="AN157" s="119">
        <f>SUM(AB157:AM157)</f>
        <v>0</v>
      </c>
    </row>
    <row r="158" spans="1:40" s="54" customFormat="1" ht="12">
      <c r="A158" s="177"/>
      <c r="B158" s="177"/>
      <c r="C158" s="177"/>
      <c r="D158" s="178"/>
      <c r="E158" s="178"/>
      <c r="F158" s="179"/>
      <c r="G158" s="179"/>
      <c r="H158" s="179"/>
      <c r="I158" s="179"/>
      <c r="J158" s="118"/>
      <c r="K158" s="175"/>
      <c r="L158" s="179"/>
      <c r="M158" s="176"/>
      <c r="N158" s="176"/>
      <c r="O158" s="176"/>
      <c r="P158" s="179"/>
      <c r="Q158" s="118"/>
      <c r="R158" s="180"/>
      <c r="S158" s="180"/>
      <c r="T158" s="119"/>
      <c r="U158" s="118"/>
      <c r="V158" s="180"/>
      <c r="W158" s="118"/>
      <c r="X158" s="175"/>
      <c r="Y158" s="181"/>
      <c r="Z158" s="181"/>
      <c r="AA158" s="118" t="str">
        <f t="shared" si="137"/>
        <v/>
      </c>
      <c r="AB158" s="181"/>
      <c r="AC158" s="181"/>
      <c r="AD158" s="181"/>
      <c r="AE158" s="181"/>
      <c r="AF158" s="181"/>
      <c r="AG158" s="181"/>
      <c r="AH158" s="181"/>
      <c r="AI158" s="181"/>
      <c r="AJ158" s="181"/>
      <c r="AK158" s="181"/>
      <c r="AL158" s="181"/>
      <c r="AM158" s="181"/>
      <c r="AN158" s="119">
        <f t="shared" ref="AN158:AN170" si="138">SUM(AB158:AM158)</f>
        <v>0</v>
      </c>
    </row>
    <row r="159" spans="1:40" s="54" customFormat="1" ht="12">
      <c r="A159" s="177"/>
      <c r="B159" s="177"/>
      <c r="C159" s="177"/>
      <c r="D159" s="178"/>
      <c r="E159" s="178"/>
      <c r="F159" s="179"/>
      <c r="G159" s="179"/>
      <c r="H159" s="179"/>
      <c r="I159" s="179"/>
      <c r="J159" s="118"/>
      <c r="K159" s="175"/>
      <c r="L159" s="179"/>
      <c r="M159" s="176"/>
      <c r="N159" s="176"/>
      <c r="O159" s="176"/>
      <c r="P159" s="179"/>
      <c r="Q159" s="118"/>
      <c r="R159" s="180"/>
      <c r="S159" s="180"/>
      <c r="T159" s="119"/>
      <c r="U159" s="118"/>
      <c r="V159" s="180"/>
      <c r="W159" s="118"/>
      <c r="X159" s="175"/>
      <c r="Y159" s="181"/>
      <c r="Z159" s="181"/>
      <c r="AA159" s="118" t="str">
        <f t="shared" si="137"/>
        <v/>
      </c>
      <c r="AB159" s="181"/>
      <c r="AC159" s="181"/>
      <c r="AD159" s="181"/>
      <c r="AE159" s="181"/>
      <c r="AF159" s="181"/>
      <c r="AG159" s="181"/>
      <c r="AH159" s="181"/>
      <c r="AI159" s="181"/>
      <c r="AJ159" s="181"/>
      <c r="AK159" s="181"/>
      <c r="AL159" s="181"/>
      <c r="AM159" s="181"/>
      <c r="AN159" s="119">
        <f t="shared" si="138"/>
        <v>0</v>
      </c>
    </row>
    <row r="160" spans="1:40" s="54" customFormat="1" ht="12">
      <c r="A160" s="177"/>
      <c r="B160" s="177"/>
      <c r="C160" s="177"/>
      <c r="D160" s="178"/>
      <c r="E160" s="178"/>
      <c r="F160" s="179"/>
      <c r="G160" s="179"/>
      <c r="H160" s="179"/>
      <c r="I160" s="179"/>
      <c r="J160" s="118"/>
      <c r="K160" s="175"/>
      <c r="L160" s="179"/>
      <c r="M160" s="176"/>
      <c r="N160" s="176"/>
      <c r="O160" s="176"/>
      <c r="P160" s="179"/>
      <c r="Q160" s="118"/>
      <c r="R160" s="180"/>
      <c r="S160" s="180"/>
      <c r="T160" s="119"/>
      <c r="U160" s="118"/>
      <c r="V160" s="180"/>
      <c r="W160" s="118"/>
      <c r="X160" s="175"/>
      <c r="Y160" s="181"/>
      <c r="Z160" s="181"/>
      <c r="AA160" s="118" t="str">
        <f t="shared" si="137"/>
        <v/>
      </c>
      <c r="AB160" s="181"/>
      <c r="AC160" s="181"/>
      <c r="AD160" s="181"/>
      <c r="AE160" s="181"/>
      <c r="AF160" s="181"/>
      <c r="AG160" s="181"/>
      <c r="AH160" s="181"/>
      <c r="AI160" s="181"/>
      <c r="AJ160" s="181"/>
      <c r="AK160" s="181"/>
      <c r="AL160" s="181"/>
      <c r="AM160" s="181"/>
      <c r="AN160" s="119">
        <f t="shared" si="138"/>
        <v>0</v>
      </c>
    </row>
    <row r="161" spans="1:40" s="54" customFormat="1" ht="12">
      <c r="A161" s="177"/>
      <c r="B161" s="177"/>
      <c r="C161" s="177"/>
      <c r="D161" s="178"/>
      <c r="E161" s="178"/>
      <c r="F161" s="179"/>
      <c r="G161" s="179"/>
      <c r="H161" s="179"/>
      <c r="I161" s="179"/>
      <c r="J161" s="118"/>
      <c r="K161" s="175"/>
      <c r="L161" s="179"/>
      <c r="M161" s="176"/>
      <c r="N161" s="176"/>
      <c r="O161" s="176"/>
      <c r="P161" s="179"/>
      <c r="Q161" s="118"/>
      <c r="R161" s="180"/>
      <c r="S161" s="180"/>
      <c r="T161" s="119"/>
      <c r="U161" s="118"/>
      <c r="V161" s="180"/>
      <c r="W161" s="118"/>
      <c r="X161" s="175"/>
      <c r="Y161" s="181"/>
      <c r="Z161" s="181"/>
      <c r="AA161" s="118" t="str">
        <f t="shared" si="137"/>
        <v/>
      </c>
      <c r="AB161" s="181"/>
      <c r="AC161" s="181"/>
      <c r="AD161" s="181"/>
      <c r="AE161" s="181"/>
      <c r="AF161" s="181"/>
      <c r="AG161" s="181"/>
      <c r="AH161" s="181"/>
      <c r="AI161" s="181"/>
      <c r="AJ161" s="181"/>
      <c r="AK161" s="181"/>
      <c r="AL161" s="181"/>
      <c r="AM161" s="181"/>
      <c r="AN161" s="119">
        <f t="shared" si="138"/>
        <v>0</v>
      </c>
    </row>
    <row r="162" spans="1:40" s="54" customFormat="1" ht="12">
      <c r="A162" s="177"/>
      <c r="B162" s="177"/>
      <c r="C162" s="177"/>
      <c r="D162" s="178"/>
      <c r="E162" s="178"/>
      <c r="F162" s="179"/>
      <c r="G162" s="179"/>
      <c r="H162" s="179"/>
      <c r="I162" s="179"/>
      <c r="J162" s="118"/>
      <c r="K162" s="175"/>
      <c r="L162" s="179"/>
      <c r="M162" s="176"/>
      <c r="N162" s="176"/>
      <c r="O162" s="176"/>
      <c r="P162" s="179"/>
      <c r="Q162" s="118"/>
      <c r="R162" s="180"/>
      <c r="S162" s="180"/>
      <c r="T162" s="119"/>
      <c r="U162" s="118"/>
      <c r="V162" s="180"/>
      <c r="W162" s="118"/>
      <c r="X162" s="175"/>
      <c r="Y162" s="181"/>
      <c r="Z162" s="181"/>
      <c r="AA162" s="118" t="str">
        <f t="shared" si="137"/>
        <v/>
      </c>
      <c r="AB162" s="181"/>
      <c r="AC162" s="181"/>
      <c r="AD162" s="181"/>
      <c r="AE162" s="181"/>
      <c r="AF162" s="181"/>
      <c r="AG162" s="181"/>
      <c r="AH162" s="181"/>
      <c r="AI162" s="181"/>
      <c r="AJ162" s="181"/>
      <c r="AK162" s="181"/>
      <c r="AL162" s="181"/>
      <c r="AM162" s="181"/>
      <c r="AN162" s="119">
        <f t="shared" si="138"/>
        <v>0</v>
      </c>
    </row>
    <row r="163" spans="1:40" s="54" customFormat="1" ht="12">
      <c r="A163" s="177"/>
      <c r="B163" s="177"/>
      <c r="C163" s="177"/>
      <c r="D163" s="178"/>
      <c r="E163" s="178"/>
      <c r="F163" s="179"/>
      <c r="G163" s="179"/>
      <c r="H163" s="179"/>
      <c r="I163" s="179"/>
      <c r="J163" s="118"/>
      <c r="K163" s="175"/>
      <c r="L163" s="179"/>
      <c r="M163" s="176"/>
      <c r="N163" s="176"/>
      <c r="O163" s="176"/>
      <c r="P163" s="179"/>
      <c r="Q163" s="118"/>
      <c r="R163" s="180"/>
      <c r="S163" s="180"/>
      <c r="T163" s="119"/>
      <c r="U163" s="118"/>
      <c r="V163" s="180"/>
      <c r="W163" s="118"/>
      <c r="X163" s="175"/>
      <c r="Y163" s="181"/>
      <c r="Z163" s="181"/>
      <c r="AA163" s="118" t="str">
        <f t="shared" si="137"/>
        <v/>
      </c>
      <c r="AB163" s="181"/>
      <c r="AC163" s="181"/>
      <c r="AD163" s="181"/>
      <c r="AE163" s="181"/>
      <c r="AF163" s="181"/>
      <c r="AG163" s="181"/>
      <c r="AH163" s="181"/>
      <c r="AI163" s="181"/>
      <c r="AJ163" s="181"/>
      <c r="AK163" s="181"/>
      <c r="AL163" s="181"/>
      <c r="AM163" s="181"/>
      <c r="AN163" s="119">
        <f t="shared" si="138"/>
        <v>0</v>
      </c>
    </row>
    <row r="164" spans="1:40" s="54" customFormat="1" ht="12">
      <c r="A164" s="177"/>
      <c r="B164" s="177"/>
      <c r="C164" s="177"/>
      <c r="D164" s="178"/>
      <c r="E164" s="178"/>
      <c r="F164" s="179"/>
      <c r="G164" s="179"/>
      <c r="H164" s="179"/>
      <c r="I164" s="179"/>
      <c r="J164" s="118"/>
      <c r="K164" s="175"/>
      <c r="L164" s="179"/>
      <c r="M164" s="176"/>
      <c r="N164" s="176"/>
      <c r="O164" s="176"/>
      <c r="P164" s="179"/>
      <c r="Q164" s="118"/>
      <c r="R164" s="180"/>
      <c r="S164" s="180"/>
      <c r="T164" s="119"/>
      <c r="U164" s="118"/>
      <c r="V164" s="180"/>
      <c r="W164" s="118"/>
      <c r="X164" s="175"/>
      <c r="Y164" s="181"/>
      <c r="Z164" s="181"/>
      <c r="AA164" s="118" t="str">
        <f t="shared" si="137"/>
        <v/>
      </c>
      <c r="AB164" s="181"/>
      <c r="AC164" s="181"/>
      <c r="AD164" s="181"/>
      <c r="AE164" s="181"/>
      <c r="AF164" s="181"/>
      <c r="AG164" s="181"/>
      <c r="AH164" s="181"/>
      <c r="AI164" s="181"/>
      <c r="AJ164" s="181"/>
      <c r="AK164" s="181"/>
      <c r="AL164" s="181"/>
      <c r="AM164" s="181"/>
      <c r="AN164" s="119">
        <f t="shared" si="138"/>
        <v>0</v>
      </c>
    </row>
    <row r="165" spans="1:40" s="54" customFormat="1" ht="12">
      <c r="A165" s="177"/>
      <c r="B165" s="177"/>
      <c r="C165" s="177"/>
      <c r="D165" s="178"/>
      <c r="E165" s="178"/>
      <c r="F165" s="179"/>
      <c r="G165" s="179"/>
      <c r="H165" s="179"/>
      <c r="I165" s="179"/>
      <c r="J165" s="118"/>
      <c r="K165" s="175"/>
      <c r="L165" s="179"/>
      <c r="M165" s="176"/>
      <c r="N165" s="176"/>
      <c r="O165" s="176"/>
      <c r="P165" s="179"/>
      <c r="Q165" s="118"/>
      <c r="R165" s="180"/>
      <c r="S165" s="180"/>
      <c r="T165" s="119"/>
      <c r="U165" s="118"/>
      <c r="V165" s="180"/>
      <c r="W165" s="118"/>
      <c r="X165" s="175"/>
      <c r="Y165" s="181"/>
      <c r="Z165" s="181"/>
      <c r="AA165" s="118" t="str">
        <f t="shared" si="137"/>
        <v/>
      </c>
      <c r="AB165" s="181"/>
      <c r="AC165" s="181"/>
      <c r="AD165" s="181"/>
      <c r="AE165" s="181"/>
      <c r="AF165" s="181"/>
      <c r="AG165" s="181"/>
      <c r="AH165" s="181"/>
      <c r="AI165" s="181"/>
      <c r="AJ165" s="181"/>
      <c r="AK165" s="181"/>
      <c r="AL165" s="181"/>
      <c r="AM165" s="181"/>
      <c r="AN165" s="119">
        <f t="shared" si="138"/>
        <v>0</v>
      </c>
    </row>
    <row r="166" spans="1:40" s="54" customFormat="1" ht="12">
      <c r="A166" s="177"/>
      <c r="B166" s="177"/>
      <c r="C166" s="177"/>
      <c r="D166" s="178"/>
      <c r="E166" s="178"/>
      <c r="F166" s="179"/>
      <c r="G166" s="179"/>
      <c r="H166" s="179"/>
      <c r="I166" s="179"/>
      <c r="J166" s="118"/>
      <c r="K166" s="175"/>
      <c r="L166" s="179"/>
      <c r="M166" s="176"/>
      <c r="N166" s="176"/>
      <c r="O166" s="176"/>
      <c r="P166" s="179"/>
      <c r="Q166" s="118"/>
      <c r="R166" s="180"/>
      <c r="S166" s="180"/>
      <c r="T166" s="119"/>
      <c r="U166" s="118"/>
      <c r="V166" s="180"/>
      <c r="W166" s="118"/>
      <c r="X166" s="175"/>
      <c r="Y166" s="181"/>
      <c r="Z166" s="181"/>
      <c r="AA166" s="118" t="str">
        <f t="shared" si="137"/>
        <v/>
      </c>
      <c r="AB166" s="181"/>
      <c r="AC166" s="181"/>
      <c r="AD166" s="181"/>
      <c r="AE166" s="181"/>
      <c r="AF166" s="181"/>
      <c r="AG166" s="181"/>
      <c r="AH166" s="181"/>
      <c r="AI166" s="181"/>
      <c r="AJ166" s="181"/>
      <c r="AK166" s="181"/>
      <c r="AL166" s="181"/>
      <c r="AM166" s="181"/>
      <c r="AN166" s="119">
        <f t="shared" si="138"/>
        <v>0</v>
      </c>
    </row>
    <row r="167" spans="1:40" s="54" customFormat="1" ht="12">
      <c r="A167" s="177"/>
      <c r="B167" s="177"/>
      <c r="C167" s="177"/>
      <c r="D167" s="178"/>
      <c r="E167" s="178"/>
      <c r="F167" s="179"/>
      <c r="G167" s="179"/>
      <c r="H167" s="179"/>
      <c r="I167" s="179"/>
      <c r="J167" s="118"/>
      <c r="K167" s="175"/>
      <c r="L167" s="179"/>
      <c r="M167" s="176"/>
      <c r="N167" s="176"/>
      <c r="O167" s="176"/>
      <c r="P167" s="179"/>
      <c r="Q167" s="118"/>
      <c r="R167" s="180"/>
      <c r="S167" s="180"/>
      <c r="T167" s="119"/>
      <c r="U167" s="118"/>
      <c r="V167" s="180"/>
      <c r="W167" s="118"/>
      <c r="X167" s="175"/>
      <c r="Y167" s="181"/>
      <c r="Z167" s="181"/>
      <c r="AA167" s="118" t="str">
        <f t="shared" si="137"/>
        <v/>
      </c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19">
        <f t="shared" si="138"/>
        <v>0</v>
      </c>
    </row>
    <row r="168" spans="1:40" s="54" customFormat="1" ht="12">
      <c r="A168" s="177"/>
      <c r="B168" s="177"/>
      <c r="C168" s="177"/>
      <c r="D168" s="178"/>
      <c r="E168" s="178"/>
      <c r="F168" s="179"/>
      <c r="G168" s="179"/>
      <c r="H168" s="179"/>
      <c r="I168" s="179"/>
      <c r="J168" s="118"/>
      <c r="K168" s="175"/>
      <c r="L168" s="179"/>
      <c r="M168" s="176"/>
      <c r="N168" s="176"/>
      <c r="O168" s="176"/>
      <c r="P168" s="179"/>
      <c r="Q168" s="118"/>
      <c r="R168" s="180"/>
      <c r="S168" s="180"/>
      <c r="T168" s="119"/>
      <c r="U168" s="118"/>
      <c r="V168" s="180"/>
      <c r="W168" s="118"/>
      <c r="X168" s="175"/>
      <c r="Y168" s="181"/>
      <c r="Z168" s="181"/>
      <c r="AA168" s="118" t="str">
        <f t="shared" si="137"/>
        <v/>
      </c>
      <c r="AB168" s="181"/>
      <c r="AC168" s="181"/>
      <c r="AD168" s="181"/>
      <c r="AE168" s="181"/>
      <c r="AF168" s="181"/>
      <c r="AG168" s="181"/>
      <c r="AH168" s="181"/>
      <c r="AI168" s="181"/>
      <c r="AJ168" s="181"/>
      <c r="AK168" s="181"/>
      <c r="AL168" s="181"/>
      <c r="AM168" s="181"/>
      <c r="AN168" s="119">
        <f t="shared" si="138"/>
        <v>0</v>
      </c>
    </row>
    <row r="169" spans="1:40" s="54" customFormat="1" ht="12">
      <c r="A169" s="177"/>
      <c r="B169" s="177"/>
      <c r="C169" s="177"/>
      <c r="D169" s="178"/>
      <c r="E169" s="178"/>
      <c r="F169" s="179"/>
      <c r="G169" s="179"/>
      <c r="H169" s="179"/>
      <c r="I169" s="179"/>
      <c r="J169" s="118"/>
      <c r="K169" s="175"/>
      <c r="L169" s="179"/>
      <c r="M169" s="176"/>
      <c r="N169" s="176"/>
      <c r="O169" s="176"/>
      <c r="P169" s="179"/>
      <c r="Q169" s="118"/>
      <c r="R169" s="180"/>
      <c r="S169" s="180"/>
      <c r="T169" s="119"/>
      <c r="U169" s="118"/>
      <c r="V169" s="180"/>
      <c r="W169" s="118"/>
      <c r="X169" s="175"/>
      <c r="Y169" s="181"/>
      <c r="Z169" s="181"/>
      <c r="AA169" s="118" t="str">
        <f t="shared" si="137"/>
        <v/>
      </c>
      <c r="AB169" s="181"/>
      <c r="AC169" s="181"/>
      <c r="AD169" s="181"/>
      <c r="AE169" s="181"/>
      <c r="AF169" s="181"/>
      <c r="AG169" s="181"/>
      <c r="AH169" s="181"/>
      <c r="AI169" s="181"/>
      <c r="AJ169" s="181"/>
      <c r="AK169" s="181"/>
      <c r="AL169" s="181"/>
      <c r="AM169" s="181"/>
      <c r="AN169" s="119">
        <f t="shared" si="138"/>
        <v>0</v>
      </c>
    </row>
    <row r="170" spans="1:40" s="54" customFormat="1" ht="12">
      <c r="A170" s="177"/>
      <c r="B170" s="177"/>
      <c r="C170" s="177"/>
      <c r="D170" s="178"/>
      <c r="E170" s="178"/>
      <c r="F170" s="179"/>
      <c r="G170" s="179"/>
      <c r="H170" s="179"/>
      <c r="I170" s="179"/>
      <c r="J170" s="118"/>
      <c r="K170" s="175"/>
      <c r="L170" s="179"/>
      <c r="M170" s="176"/>
      <c r="N170" s="176"/>
      <c r="O170" s="176"/>
      <c r="P170" s="179"/>
      <c r="Q170" s="118"/>
      <c r="R170" s="180"/>
      <c r="S170" s="180"/>
      <c r="T170" s="119"/>
      <c r="U170" s="118"/>
      <c r="V170" s="180"/>
      <c r="W170" s="118"/>
      <c r="X170" s="175"/>
      <c r="Y170" s="181"/>
      <c r="Z170" s="181"/>
      <c r="AA170" s="118" t="str">
        <f t="shared" si="137"/>
        <v/>
      </c>
      <c r="AB170" s="181"/>
      <c r="AC170" s="181"/>
      <c r="AD170" s="181"/>
      <c r="AE170" s="181"/>
      <c r="AF170" s="181"/>
      <c r="AG170" s="181"/>
      <c r="AH170" s="181"/>
      <c r="AI170" s="181"/>
      <c r="AJ170" s="181"/>
      <c r="AK170" s="181"/>
      <c r="AL170" s="181"/>
      <c r="AM170" s="181"/>
      <c r="AN170" s="119">
        <f t="shared" si="138"/>
        <v>0</v>
      </c>
    </row>
    <row r="171" spans="1:40">
      <c r="H171" s="111"/>
      <c r="I171" s="111"/>
      <c r="J171" s="111"/>
      <c r="K171" s="111"/>
      <c r="L171" s="111"/>
      <c r="M171" s="111"/>
      <c r="N171" s="111"/>
      <c r="O171" s="111"/>
      <c r="P171" s="111"/>
      <c r="Q171" s="111"/>
      <c r="R171" s="111"/>
      <c r="S171" s="111"/>
      <c r="T171" s="111"/>
      <c r="U171" s="111"/>
    </row>
    <row r="172" spans="1:40">
      <c r="H172" s="111"/>
      <c r="I172" s="111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</row>
    <row r="173" spans="1:40">
      <c r="H173" s="111"/>
      <c r="I173" s="111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</row>
    <row r="174" spans="1:40">
      <c r="H174" s="111"/>
      <c r="I174" s="111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</row>
    <row r="175" spans="1:40">
      <c r="H175" s="111"/>
      <c r="I175" s="111"/>
      <c r="J175" s="111"/>
      <c r="K175" s="111"/>
      <c r="L175" s="111"/>
      <c r="M175" s="111"/>
      <c r="N175" s="111"/>
      <c r="O175" s="111"/>
      <c r="P175" s="111"/>
      <c r="Q175" s="111"/>
      <c r="R175" s="111"/>
      <c r="S175" s="111"/>
      <c r="T175" s="111"/>
      <c r="U175" s="111"/>
    </row>
  </sheetData>
  <conditionalFormatting sqref="AB43 AC18:AC41">
    <cfRule type="cellIs" dxfId="3" priority="3" operator="equal">
      <formula>"AVALIAR DISTRIBUIÇÃO VALORES"</formula>
    </cfRule>
    <cfRule type="cellIs" dxfId="2" priority="4" operator="equal">
      <formula>"VALORES OK"</formula>
    </cfRule>
  </conditionalFormatting>
  <dataValidations count="2">
    <dataValidation type="decimal" allowBlank="1" showInputMessage="1" showErrorMessage="1" sqref="N157:O170 I157:K170 J18:L41 O18:O41 K42:O43 P18:P43" xr:uid="{431BF771-16F4-4E9F-B715-A434936932F3}">
      <formula1>0</formula1>
      <formula2>100000</formula2>
    </dataValidation>
    <dataValidation type="list" allowBlank="1" showInputMessage="1" showErrorMessage="1" sqref="C100:C102 B155:B170 A157:A170 C153:C154 B18:B41" xr:uid="{B2E76304-0BDD-4ACE-B88B-65E351C282B4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41A60280-1727-45FE-B8FB-4B4004AFA88E}">
          <x14:formula1>
            <xm:f>'ABA SUPORTE VIAGENS'!$C$1:$I$1</xm:f>
          </x14:formula1>
          <xm:sqref>D1:D15 D42:D44 B157:B170 D71:D72 D153:D154 C18:C41</xm:sqref>
        </x14:dataValidation>
        <x14:dataValidation type="list" allowBlank="1" showInputMessage="1" showErrorMessage="1" xr:uid="{22CAE657-A2FB-4D22-B780-6AD82D4871D8}">
          <x14:formula1>
            <xm:f>'ABA SUPORTE VIAGENS'!$AA$1:$AA$2</xm:f>
          </x14:formula1>
          <xm:sqref>J1:V15 T157:T170 N157:P170 L157:L170 U147:V152 U95:V99 T45:U45 P103:P104 G125:O126 U121:V127 R128:R129 G150:O152 I153:U154 J71:U73 U18:U41 P74 M18:M41 O18:O41 V52:V73 J42:O44 Q42:V44 Q18:Q41 P18:P44</xm:sqref>
        </x14:dataValidation>
        <x14:dataValidation type="list" allowBlank="1" showInputMessage="1" showErrorMessage="1" xr:uid="{2738A718-0E99-4022-8F5F-A6C862EFAC0D}">
          <x14:formula1>
            <xm:f>'ABA SUPORTE VIAGENS'!#REF!</xm:f>
          </x14:formula1>
          <xm:sqref>F1:F15 F71:F72 F42:F44</xm:sqref>
        </x14:dataValidation>
        <x14:dataValidation type="list" allowBlank="1" showInputMessage="1" showErrorMessage="1" xr:uid="{0DFCA70C-F053-4239-8801-13928F7DFD60}">
          <x14:formula1>
            <xm:f>'ABA SUPORTE VIAGENS'!$AF$2:$AF$88</xm:f>
          </x14:formula1>
          <xm:sqref>F18:F41</xm:sqref>
        </x14:dataValidation>
        <x14:dataValidation type="list" allowBlank="1" showInputMessage="1" showErrorMessage="1" xr:uid="{8294AF22-123D-4ACF-AE6B-ED1551DA0FB8}">
          <x14:formula1>
            <xm:f>'ABA SUPORTE VIAGENS'!$K:$K</xm:f>
          </x14:formula1>
          <xm:sqref>H1:H15 H42:H43 F157:F170 G153:G154 H71:H72 E125:E127 E150:E152 G18:G41</xm:sqref>
        </x14:dataValidation>
        <x14:dataValidation type="list" allowBlank="1" showInputMessage="1" showErrorMessage="1" xr:uid="{12D24AF6-BBC1-4FF9-8F0E-70115A4F5C0C}">
          <x14:formula1>
            <xm:f>'ABA SUPORTE VIAGENS'!$L:$L</xm:f>
          </x14:formula1>
          <xm:sqref>I1:I15 I42:I43 G157:G170 H153:H154 I71:I72 F125:F126 F150:F152 H18:H41</xm:sqref>
        </x14:dataValidation>
        <x14:dataValidation type="list" allowBlank="1" showInputMessage="1" showErrorMessage="1" xr:uid="{D0E4354E-479E-4396-B413-BC3E91234E8E}">
          <x14:formula1>
            <xm:f>'ABA SUPORTE VIAGENS'!$B:$B</xm:f>
          </x14:formula1>
          <xm:sqref>G1:G15 F153:F154 G71:G72 D125:D127 D150:D152 G42:G44</xm:sqref>
        </x14:dataValidation>
        <x14:dataValidation type="list" allowBlank="1" showInputMessage="1" showErrorMessage="1" xr:uid="{0FE00AA5-2572-495F-A075-C11EE2C37220}">
          <x14:formula1>
            <xm:f>'ABA SUPORTE VIAGENS'!$V:$V</xm:f>
          </x14:formula1>
          <xm:sqref>E18:E41</xm:sqref>
        </x14:dataValidation>
        <x14:dataValidation type="list" allowBlank="1" showInputMessage="1" showErrorMessage="1" xr:uid="{9EB9CE16-7968-49D1-A230-97F922006D29}">
          <x14:formula1>
            <xm:f>'ABA SUPORTE VIAGENS'!$AC:$AC</xm:f>
          </x14:formula1>
          <xm:sqref>H157:H170 I18:I41</xm:sqref>
        </x14:dataValidation>
        <x14:dataValidation type="list" allowBlank="1" showInputMessage="1" showErrorMessage="1" xr:uid="{3488BCE9-2282-4D10-AA03-6FE047E58EF4}">
          <x14:formula1>
            <xm:f>'ABA SUPORTE VIAGENS'!$AC$2:$AC$3</xm:f>
          </x14:formula1>
          <xm:sqref>J42:J43</xm:sqref>
        </x14:dataValidation>
        <x14:dataValidation type="list" allowBlank="1" showInputMessage="1" showErrorMessage="1" xr:uid="{E9E94CBF-2B67-41C8-B6F0-259F09C52510}">
          <x14:formula1>
            <xm:f>'ORÇAMENTO 2026'!$F$3:$F$200</xm:f>
          </x14:formula1>
          <xm:sqref>C42:C43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4B43-9D5E-40E0-8BD3-6E168221F12C}">
  <sheetPr>
    <tabColor theme="5"/>
  </sheetPr>
  <dimension ref="A1:M22"/>
  <sheetViews>
    <sheetView showGridLines="0" topLeftCell="E6" workbookViewId="0">
      <selection activeCell="B21" sqref="B21:M21"/>
    </sheetView>
  </sheetViews>
  <sheetFormatPr defaultColWidth="9.140625" defaultRowHeight="15.75"/>
  <cols>
    <col min="1" max="1" width="89.5703125" style="225" customWidth="1"/>
    <col min="2" max="3" width="18.140625" style="217" bestFit="1" customWidth="1"/>
    <col min="4" max="4" width="19.28515625" style="217" bestFit="1" customWidth="1"/>
    <col min="5" max="6" width="18.140625" style="217" bestFit="1" customWidth="1"/>
    <col min="7" max="8" width="19.85546875" style="217" bestFit="1" customWidth="1"/>
    <col min="9" max="9" width="18.140625" style="217" bestFit="1" customWidth="1"/>
    <col min="10" max="13" width="19.85546875" style="217" bestFit="1" customWidth="1"/>
    <col min="14" max="16384" width="9.140625" style="217"/>
  </cols>
  <sheetData>
    <row r="1" spans="1:13" ht="31.5">
      <c r="A1" s="216" t="s">
        <v>334</v>
      </c>
    </row>
    <row r="2" spans="1:13" customFormat="1" ht="15">
      <c r="A2" s="166"/>
    </row>
    <row r="3" spans="1:13">
      <c r="A3" s="218" t="s">
        <v>332</v>
      </c>
    </row>
    <row r="4" spans="1:13" s="221" customFormat="1">
      <c r="A4" s="219"/>
      <c r="B4" s="220" t="s">
        <v>335</v>
      </c>
      <c r="C4" s="220" t="s">
        <v>336</v>
      </c>
      <c r="D4" s="220" t="s">
        <v>337</v>
      </c>
      <c r="E4" s="220" t="s">
        <v>338</v>
      </c>
      <c r="F4" s="220" t="s">
        <v>339</v>
      </c>
      <c r="G4" s="220" t="s">
        <v>340</v>
      </c>
      <c r="H4" s="220" t="s">
        <v>341</v>
      </c>
      <c r="I4" s="220" t="s">
        <v>342</v>
      </c>
      <c r="J4" s="220" t="s">
        <v>343</v>
      </c>
      <c r="K4" s="220" t="s">
        <v>344</v>
      </c>
      <c r="L4" s="220" t="s">
        <v>345</v>
      </c>
      <c r="M4" s="220" t="s">
        <v>346</v>
      </c>
    </row>
    <row r="5" spans="1:13">
      <c r="A5" s="222" t="s">
        <v>811</v>
      </c>
      <c r="B5" s="272">
        <v>235532.25599999999</v>
      </c>
      <c r="C5" s="272">
        <v>169002.04800000001</v>
      </c>
      <c r="D5" s="272">
        <v>171228.09600000002</v>
      </c>
      <c r="E5" s="272">
        <v>173356.03200000001</v>
      </c>
      <c r="F5" s="272">
        <v>162811.39199999999</v>
      </c>
      <c r="G5" s="272">
        <v>202605.408</v>
      </c>
      <c r="H5" s="272">
        <v>218447.16480000003</v>
      </c>
      <c r="I5" s="272">
        <v>198725.24160000001</v>
      </c>
      <c r="J5" s="272">
        <v>228168.56447999997</v>
      </c>
      <c r="K5" s="272">
        <v>237139.32672000001</v>
      </c>
      <c r="L5" s="272">
        <v>210736.62719999999</v>
      </c>
      <c r="M5" s="272">
        <v>174336.03840000002</v>
      </c>
    </row>
    <row r="6" spans="1:13">
      <c r="A6" s="222" t="s">
        <v>819</v>
      </c>
      <c r="B6" s="272">
        <v>2700</v>
      </c>
      <c r="C6" s="272">
        <v>2700</v>
      </c>
      <c r="D6" s="272">
        <v>2700</v>
      </c>
      <c r="E6" s="272">
        <v>2700</v>
      </c>
      <c r="F6" s="272">
        <v>2700</v>
      </c>
      <c r="G6" s="272">
        <v>2700</v>
      </c>
      <c r="H6" s="272">
        <v>2700</v>
      </c>
      <c r="I6" s="272">
        <v>2700</v>
      </c>
      <c r="J6" s="272">
        <v>2700</v>
      </c>
      <c r="K6" s="272">
        <v>2700</v>
      </c>
      <c r="L6" s="272">
        <v>2700</v>
      </c>
      <c r="M6" s="272">
        <v>2700</v>
      </c>
    </row>
    <row r="7" spans="1:13">
      <c r="A7" s="222" t="s">
        <v>818</v>
      </c>
      <c r="B7" s="272">
        <v>3513</v>
      </c>
      <c r="C7" s="272">
        <v>3215</v>
      </c>
      <c r="D7" s="272">
        <v>3265</v>
      </c>
      <c r="E7" s="272">
        <v>3091</v>
      </c>
      <c r="F7" s="272">
        <v>3015</v>
      </c>
      <c r="G7" s="272">
        <v>2851</v>
      </c>
      <c r="H7" s="272">
        <v>2769</v>
      </c>
      <c r="I7" s="272">
        <v>2643</v>
      </c>
      <c r="J7" s="272">
        <v>2551</v>
      </c>
      <c r="K7" s="272">
        <v>2459</v>
      </c>
      <c r="L7" s="272">
        <v>2311</v>
      </c>
      <c r="M7" s="272">
        <v>2211</v>
      </c>
    </row>
    <row r="8" spans="1:13">
      <c r="A8" s="222" t="s">
        <v>812</v>
      </c>
      <c r="B8" s="272">
        <v>9813.844000000001</v>
      </c>
      <c r="C8" s="272">
        <v>7041.7519999999995</v>
      </c>
      <c r="D8" s="272">
        <v>7134.5040000000008</v>
      </c>
      <c r="E8" s="272">
        <v>7223.1680000000006</v>
      </c>
      <c r="F8" s="272">
        <v>6783.8080000000009</v>
      </c>
      <c r="G8" s="272">
        <v>8441.8919999999998</v>
      </c>
      <c r="H8" s="272">
        <v>9101.9652000000006</v>
      </c>
      <c r="I8" s="272">
        <v>8280.2183999999997</v>
      </c>
      <c r="J8" s="272">
        <v>9507.0235200000006</v>
      </c>
      <c r="K8" s="272">
        <v>9880.8052800000005</v>
      </c>
      <c r="L8" s="272">
        <v>8780.6928000000007</v>
      </c>
      <c r="M8" s="272">
        <v>7264.0016000000005</v>
      </c>
    </row>
    <row r="9" spans="1:13">
      <c r="A9" s="271"/>
      <c r="B9" s="273"/>
      <c r="C9" s="273"/>
      <c r="D9" s="273"/>
      <c r="E9" s="273"/>
      <c r="F9" s="273"/>
      <c r="G9" s="273"/>
      <c r="H9" s="273"/>
      <c r="I9" s="273"/>
      <c r="J9" s="273"/>
      <c r="K9" s="273"/>
      <c r="L9" s="273"/>
      <c r="M9" s="273"/>
    </row>
    <row r="10" spans="1:13" customFormat="1" ht="15">
      <c r="A10" s="166"/>
    </row>
    <row r="11" spans="1:13" customFormat="1">
      <c r="A11" s="222" t="s">
        <v>348</v>
      </c>
      <c r="B11" s="274">
        <v>3.3218367232639925</v>
      </c>
      <c r="C11" s="274">
        <v>3.3218367232639925</v>
      </c>
      <c r="D11" s="274">
        <v>3.3218367232639925</v>
      </c>
      <c r="E11" s="274">
        <v>3.5211469266598323</v>
      </c>
      <c r="F11" s="274">
        <v>3.5211469266598323</v>
      </c>
      <c r="G11" s="274">
        <v>3.5211469266598323</v>
      </c>
      <c r="H11" s="274">
        <v>3.5211469266598323</v>
      </c>
      <c r="I11" s="274">
        <v>3.5211469266598323</v>
      </c>
      <c r="J11" s="274">
        <v>3.5211469266598323</v>
      </c>
      <c r="K11" s="274">
        <v>3.5211469266598323</v>
      </c>
      <c r="L11" s="274">
        <v>3.5211469266598323</v>
      </c>
      <c r="M11" s="274">
        <v>3.5211469266598323</v>
      </c>
    </row>
    <row r="12" spans="1:13" customFormat="1">
      <c r="A12" s="222" t="s">
        <v>820</v>
      </c>
      <c r="B12" s="274">
        <v>46.28</v>
      </c>
      <c r="C12" s="274">
        <v>46.28</v>
      </c>
      <c r="D12" s="274">
        <v>46.28</v>
      </c>
      <c r="E12" s="274">
        <v>49.058754938920799</v>
      </c>
      <c r="F12" s="274">
        <v>49.058754938920799</v>
      </c>
      <c r="G12" s="274">
        <v>49.058754938920799</v>
      </c>
      <c r="H12" s="274">
        <v>49.058754938920799</v>
      </c>
      <c r="I12" s="274">
        <v>49.058754938920799</v>
      </c>
      <c r="J12" s="274">
        <v>49.058754938920799</v>
      </c>
      <c r="K12" s="274">
        <v>49.058754938920799</v>
      </c>
      <c r="L12" s="274">
        <v>49.058754938920799</v>
      </c>
      <c r="M12" s="274">
        <v>49.058754938920799</v>
      </c>
    </row>
    <row r="13" spans="1:13">
      <c r="A13" s="222" t="s">
        <v>821</v>
      </c>
      <c r="B13" s="274">
        <v>48.11</v>
      </c>
      <c r="C13" s="274">
        <v>48.11</v>
      </c>
      <c r="D13" s="274">
        <v>48.11</v>
      </c>
      <c r="E13" s="274">
        <v>51.001046640552751</v>
      </c>
      <c r="F13" s="274">
        <v>51.001046640552751</v>
      </c>
      <c r="G13" s="274">
        <v>51.001046640552751</v>
      </c>
      <c r="H13" s="274">
        <v>51.001046640552751</v>
      </c>
      <c r="I13" s="274">
        <v>51.001046640552751</v>
      </c>
      <c r="J13" s="274">
        <v>51.001046640552751</v>
      </c>
      <c r="K13" s="274">
        <v>51.001046640552751</v>
      </c>
      <c r="L13" s="274">
        <v>51.001046640552751</v>
      </c>
      <c r="M13" s="274">
        <v>51.001046640552751</v>
      </c>
    </row>
    <row r="14" spans="1:13">
      <c r="A14" s="222" t="s">
        <v>347</v>
      </c>
      <c r="B14" s="274">
        <v>12.88</v>
      </c>
      <c r="C14" s="274">
        <v>12.88</v>
      </c>
      <c r="D14" s="274">
        <v>12.88</v>
      </c>
      <c r="E14" s="274">
        <v>12.88</v>
      </c>
      <c r="F14" s="274">
        <v>12.88</v>
      </c>
      <c r="G14" s="274">
        <v>12.88</v>
      </c>
      <c r="H14" s="274">
        <v>12.88</v>
      </c>
      <c r="I14" s="274">
        <v>12.88</v>
      </c>
      <c r="J14" s="274">
        <v>12.88</v>
      </c>
      <c r="K14" s="274">
        <v>12.88</v>
      </c>
      <c r="L14" s="274">
        <v>12.88</v>
      </c>
      <c r="M14" s="274">
        <v>12.88</v>
      </c>
    </row>
    <row r="15" spans="1:13" customFormat="1" ht="15">
      <c r="A15" s="166"/>
    </row>
    <row r="16" spans="1:13" customFormat="1">
      <c r="A16" s="222" t="s">
        <v>822</v>
      </c>
      <c r="B16" s="275">
        <f>B5*B11</f>
        <v>782399.6974940158</v>
      </c>
      <c r="C16" s="275">
        <f t="shared" ref="C16:M16" si="0">C5*C11</f>
        <v>561397.20935322403</v>
      </c>
      <c r="D16" s="275">
        <f t="shared" si="0"/>
        <v>568791.77734737238</v>
      </c>
      <c r="E16" s="275">
        <f t="shared" si="0"/>
        <v>610412.05929474358</v>
      </c>
      <c r="F16" s="275">
        <f t="shared" si="0"/>
        <v>573282.83256600914</v>
      </c>
      <c r="G16" s="275">
        <f t="shared" si="0"/>
        <v>713403.40970386134</v>
      </c>
      <c r="H16" s="275">
        <f t="shared" si="0"/>
        <v>769184.56297307403</v>
      </c>
      <c r="I16" s="275">
        <f t="shared" si="0"/>
        <v>699740.77370957274</v>
      </c>
      <c r="J16" s="275">
        <f t="shared" si="0"/>
        <v>803415.03957913769</v>
      </c>
      <c r="K16" s="275">
        <f t="shared" si="0"/>
        <v>835002.41147030995</v>
      </c>
      <c r="L16" s="275">
        <f t="shared" si="0"/>
        <v>742034.62719993875</v>
      </c>
      <c r="M16" s="275">
        <f t="shared" si="0"/>
        <v>613862.80581821059</v>
      </c>
    </row>
    <row r="17" spans="1:13" customFormat="1">
      <c r="A17" s="222" t="s">
        <v>823</v>
      </c>
      <c r="B17" s="275">
        <f>B6*B12</f>
        <v>124956</v>
      </c>
      <c r="C17" s="275">
        <f t="shared" ref="C17:M17" si="1">C6*C12</f>
        <v>124956</v>
      </c>
      <c r="D17" s="275">
        <f t="shared" si="1"/>
        <v>124956</v>
      </c>
      <c r="E17" s="275">
        <f t="shared" si="1"/>
        <v>132458.63833508617</v>
      </c>
      <c r="F17" s="275">
        <f t="shared" si="1"/>
        <v>132458.63833508617</v>
      </c>
      <c r="G17" s="275">
        <f t="shared" si="1"/>
        <v>132458.63833508617</v>
      </c>
      <c r="H17" s="275">
        <f t="shared" si="1"/>
        <v>132458.63833508617</v>
      </c>
      <c r="I17" s="275">
        <f t="shared" si="1"/>
        <v>132458.63833508617</v>
      </c>
      <c r="J17" s="275">
        <f t="shared" si="1"/>
        <v>132458.63833508617</v>
      </c>
      <c r="K17" s="275">
        <f t="shared" si="1"/>
        <v>132458.63833508617</v>
      </c>
      <c r="L17" s="275">
        <f t="shared" si="1"/>
        <v>132458.63833508617</v>
      </c>
      <c r="M17" s="275">
        <f t="shared" si="1"/>
        <v>132458.63833508617</v>
      </c>
    </row>
    <row r="18" spans="1:13">
      <c r="A18" s="222" t="s">
        <v>824</v>
      </c>
      <c r="B18" s="275">
        <f>B7*B13</f>
        <v>169010.43</v>
      </c>
      <c r="C18" s="275">
        <f t="shared" ref="C18:M18" si="2">C7*C13</f>
        <v>154673.65</v>
      </c>
      <c r="D18" s="275">
        <f t="shared" si="2"/>
        <v>157079.15</v>
      </c>
      <c r="E18" s="275">
        <f t="shared" si="2"/>
        <v>157644.23516594854</v>
      </c>
      <c r="F18" s="275">
        <f t="shared" si="2"/>
        <v>153768.15562126655</v>
      </c>
      <c r="G18" s="275">
        <f t="shared" si="2"/>
        <v>145403.98397221588</v>
      </c>
      <c r="H18" s="275">
        <f t="shared" si="2"/>
        <v>141221.89814769058</v>
      </c>
      <c r="I18" s="275">
        <f t="shared" si="2"/>
        <v>134795.76627098091</v>
      </c>
      <c r="J18" s="275">
        <f t="shared" si="2"/>
        <v>130103.66998005006</v>
      </c>
      <c r="K18" s="275">
        <f t="shared" si="2"/>
        <v>125411.57368911922</v>
      </c>
      <c r="L18" s="275">
        <f t="shared" si="2"/>
        <v>117863.4187863174</v>
      </c>
      <c r="M18" s="275">
        <f t="shared" si="2"/>
        <v>112763.31412226213</v>
      </c>
    </row>
    <row r="19" spans="1:13">
      <c r="A19" s="222" t="s">
        <v>825</v>
      </c>
      <c r="B19" s="275">
        <f>B8*B14</f>
        <v>126402.31072000002</v>
      </c>
      <c r="C19" s="275">
        <f t="shared" ref="C19:M19" si="3">C8*C14</f>
        <v>90697.765759999995</v>
      </c>
      <c r="D19" s="275">
        <f t="shared" si="3"/>
        <v>91892.411520000023</v>
      </c>
      <c r="E19" s="275">
        <f t="shared" si="3"/>
        <v>93034.403840000014</v>
      </c>
      <c r="F19" s="275">
        <f t="shared" si="3"/>
        <v>87375.447040000014</v>
      </c>
      <c r="G19" s="275">
        <f t="shared" si="3"/>
        <v>108731.56896</v>
      </c>
      <c r="H19" s="275">
        <f t="shared" si="3"/>
        <v>117233.31177600002</v>
      </c>
      <c r="I19" s="275">
        <f t="shared" si="3"/>
        <v>106649.212992</v>
      </c>
      <c r="J19" s="275">
        <f t="shared" si="3"/>
        <v>122450.46293760002</v>
      </c>
      <c r="K19" s="275">
        <f t="shared" si="3"/>
        <v>127264.77200640002</v>
      </c>
      <c r="L19" s="275">
        <f t="shared" si="3"/>
        <v>113095.32326400002</v>
      </c>
      <c r="M19" s="275">
        <f t="shared" si="3"/>
        <v>93560.340608000013</v>
      </c>
    </row>
    <row r="20" spans="1:13" customFormat="1" ht="15">
      <c r="A20" s="166"/>
    </row>
    <row r="21" spans="1:13">
      <c r="A21" s="223" t="s">
        <v>349</v>
      </c>
      <c r="B21" s="224">
        <f>SUM(B16:B19)</f>
        <v>1202768.4382140157</v>
      </c>
      <c r="C21" s="224">
        <f t="shared" ref="C21:M21" si="4">SUM(C16:C19)</f>
        <v>931724.62511322403</v>
      </c>
      <c r="D21" s="224">
        <f t="shared" si="4"/>
        <v>942719.33886737237</v>
      </c>
      <c r="E21" s="224">
        <f t="shared" si="4"/>
        <v>993549.33663577831</v>
      </c>
      <c r="F21" s="224">
        <f t="shared" si="4"/>
        <v>946885.07356236188</v>
      </c>
      <c r="G21" s="224">
        <f t="shared" si="4"/>
        <v>1099997.6009711635</v>
      </c>
      <c r="H21" s="224">
        <f t="shared" si="4"/>
        <v>1160098.4112318507</v>
      </c>
      <c r="I21" s="224">
        <f t="shared" si="4"/>
        <v>1073644.3913076399</v>
      </c>
      <c r="J21" s="224">
        <f t="shared" si="4"/>
        <v>1188427.8108318739</v>
      </c>
      <c r="K21" s="224">
        <f t="shared" si="4"/>
        <v>1220137.3955009154</v>
      </c>
      <c r="L21" s="224">
        <f t="shared" si="4"/>
        <v>1105452.0075853423</v>
      </c>
      <c r="M21" s="224">
        <f t="shared" si="4"/>
        <v>952645.098883559</v>
      </c>
    </row>
    <row r="22" spans="1:13">
      <c r="B22" s="226"/>
      <c r="C22" s="226"/>
      <c r="D22" s="226"/>
      <c r="E22" s="226"/>
      <c r="F22" s="226"/>
      <c r="G22" s="226"/>
      <c r="H22" s="226"/>
      <c r="I22" s="226"/>
      <c r="J22" s="226"/>
      <c r="K22" s="226"/>
      <c r="L22" s="226"/>
      <c r="M22" s="226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59D9-954A-4CD9-9F3B-FB9CF0ED0E03}">
  <sheetPr filterMode="1">
    <tabColor theme="5"/>
  </sheetPr>
  <dimension ref="A1:AL567"/>
  <sheetViews>
    <sheetView showGridLines="0" tabSelected="1" workbookViewId="0">
      <selection activeCell="N15" sqref="N15"/>
    </sheetView>
  </sheetViews>
  <sheetFormatPr defaultColWidth="13.5703125" defaultRowHeight="15"/>
  <cols>
    <col min="1" max="1" width="13.5703125" style="227"/>
    <col min="2" max="2" width="17" hidden="1" customWidth="1"/>
    <col min="3" max="13" width="0" hidden="1" customWidth="1"/>
  </cols>
  <sheetData>
    <row r="1" spans="1:37">
      <c r="A1" s="327" t="s">
        <v>840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</row>
    <row r="2" spans="1:37">
      <c r="A2" s="228"/>
      <c r="B2" s="328" t="s">
        <v>350</v>
      </c>
      <c r="C2" s="328"/>
      <c r="D2" s="328"/>
      <c r="E2" s="328"/>
      <c r="F2" s="229"/>
      <c r="G2" s="229"/>
      <c r="H2" s="230"/>
      <c r="I2" s="230"/>
      <c r="J2" s="230"/>
      <c r="K2" s="230"/>
      <c r="L2" s="230"/>
      <c r="M2" s="230"/>
      <c r="N2" s="230"/>
    </row>
    <row r="4" spans="1:37">
      <c r="A4" s="231" t="s">
        <v>351</v>
      </c>
      <c r="B4" s="232" t="s">
        <v>335</v>
      </c>
      <c r="C4" s="232"/>
      <c r="D4" s="232"/>
      <c r="E4" s="232" t="s">
        <v>76</v>
      </c>
      <c r="F4" s="232"/>
      <c r="G4" s="232"/>
      <c r="H4" s="232" t="s">
        <v>77</v>
      </c>
      <c r="I4" s="232"/>
      <c r="J4" s="232"/>
      <c r="K4" s="232" t="s">
        <v>78</v>
      </c>
      <c r="L4" s="232"/>
      <c r="M4" s="232"/>
      <c r="N4" s="232" t="s">
        <v>79</v>
      </c>
      <c r="O4" s="232"/>
      <c r="P4" s="232"/>
      <c r="Q4" s="232" t="s">
        <v>80</v>
      </c>
      <c r="R4" s="232"/>
      <c r="S4" s="232"/>
      <c r="T4" s="232" t="s">
        <v>81</v>
      </c>
      <c r="U4" s="232"/>
      <c r="V4" s="232"/>
      <c r="W4" s="232" t="s">
        <v>82</v>
      </c>
      <c r="X4" s="232"/>
      <c r="Y4" s="232"/>
      <c r="Z4" s="232" t="s">
        <v>83</v>
      </c>
      <c r="AA4" s="232"/>
      <c r="AB4" s="232"/>
      <c r="AC4" s="232" t="s">
        <v>84</v>
      </c>
      <c r="AD4" s="232"/>
      <c r="AE4" s="232"/>
      <c r="AF4" s="232" t="s">
        <v>85</v>
      </c>
      <c r="AG4" s="232"/>
      <c r="AH4" s="232"/>
      <c r="AI4" s="232" t="s">
        <v>86</v>
      </c>
      <c r="AJ4" s="232"/>
      <c r="AK4" s="232"/>
    </row>
    <row r="5" spans="1:37" s="30" customFormat="1">
      <c r="A5" s="233"/>
      <c r="B5" s="233" t="s">
        <v>352</v>
      </c>
      <c r="C5" s="233" t="s">
        <v>353</v>
      </c>
      <c r="D5" s="233" t="s">
        <v>354</v>
      </c>
      <c r="E5" s="233" t="s">
        <v>352</v>
      </c>
      <c r="F5" s="233" t="s">
        <v>353</v>
      </c>
      <c r="G5" s="233" t="s">
        <v>354</v>
      </c>
      <c r="H5" s="233" t="s">
        <v>352</v>
      </c>
      <c r="I5" s="233" t="s">
        <v>353</v>
      </c>
      <c r="J5" s="233" t="s">
        <v>354</v>
      </c>
      <c r="K5" s="233" t="s">
        <v>352</v>
      </c>
      <c r="L5" s="233" t="s">
        <v>353</v>
      </c>
      <c r="M5" s="233" t="s">
        <v>354</v>
      </c>
      <c r="N5" s="233" t="s">
        <v>352</v>
      </c>
      <c r="O5" s="233" t="s">
        <v>353</v>
      </c>
      <c r="P5" s="233" t="s">
        <v>354</v>
      </c>
      <c r="Q5" s="233" t="s">
        <v>352</v>
      </c>
      <c r="R5" s="233" t="s">
        <v>353</v>
      </c>
      <c r="S5" s="233" t="s">
        <v>354</v>
      </c>
      <c r="T5" s="233" t="s">
        <v>352</v>
      </c>
      <c r="U5" s="233" t="s">
        <v>353</v>
      </c>
      <c r="V5" s="233" t="s">
        <v>354</v>
      </c>
      <c r="W5" s="233" t="s">
        <v>352</v>
      </c>
      <c r="X5" s="233" t="s">
        <v>353</v>
      </c>
      <c r="Y5" s="233" t="s">
        <v>354</v>
      </c>
      <c r="Z5" s="233" t="s">
        <v>352</v>
      </c>
      <c r="AA5" s="233" t="s">
        <v>353</v>
      </c>
      <c r="AB5" s="233" t="s">
        <v>354</v>
      </c>
      <c r="AC5" s="233" t="s">
        <v>352</v>
      </c>
      <c r="AD5" s="233" t="s">
        <v>353</v>
      </c>
      <c r="AE5" s="233" t="s">
        <v>354</v>
      </c>
      <c r="AF5" s="233" t="s">
        <v>352</v>
      </c>
      <c r="AG5" s="233" t="s">
        <v>353</v>
      </c>
      <c r="AH5" s="233" t="s">
        <v>354</v>
      </c>
      <c r="AI5" s="233" t="s">
        <v>352</v>
      </c>
      <c r="AJ5" s="233" t="s">
        <v>353</v>
      </c>
      <c r="AK5" s="233" t="s">
        <v>354</v>
      </c>
    </row>
    <row r="6" spans="1:37" hidden="1">
      <c r="A6" s="234" t="s">
        <v>355</v>
      </c>
      <c r="B6" s="235"/>
      <c r="C6" s="235"/>
      <c r="D6" s="236">
        <f>B6*C6</f>
        <v>0</v>
      </c>
      <c r="E6" s="235"/>
      <c r="F6" s="235"/>
      <c r="G6" s="236">
        <f>E6*F6</f>
        <v>0</v>
      </c>
      <c r="H6" s="235"/>
      <c r="I6" s="235"/>
      <c r="J6" s="236">
        <f>H6*I6</f>
        <v>0</v>
      </c>
      <c r="K6" s="235"/>
      <c r="L6" s="235"/>
      <c r="M6" s="236">
        <f>K6*L6</f>
        <v>0</v>
      </c>
      <c r="N6" s="235"/>
      <c r="O6" s="235"/>
      <c r="P6" s="236">
        <f>N6*O6</f>
        <v>0</v>
      </c>
      <c r="Q6" s="235"/>
      <c r="R6" s="235"/>
      <c r="S6" s="236">
        <f>Q6*R6</f>
        <v>0</v>
      </c>
      <c r="T6" s="235"/>
      <c r="U6" s="235"/>
      <c r="V6" s="236">
        <f>T6*U6</f>
        <v>0</v>
      </c>
      <c r="W6" s="235"/>
      <c r="X6" s="235"/>
      <c r="Y6" s="236">
        <f>W6*X6</f>
        <v>0</v>
      </c>
      <c r="Z6" s="235"/>
      <c r="AA6" s="235"/>
      <c r="AB6" s="236">
        <f>Z6*AA6</f>
        <v>0</v>
      </c>
      <c r="AC6" s="235"/>
      <c r="AD6" s="235"/>
      <c r="AE6" s="236">
        <f>AC6*AD6</f>
        <v>0</v>
      </c>
      <c r="AF6" s="235"/>
      <c r="AG6" s="235"/>
      <c r="AH6" s="236">
        <f>AF6*AG6</f>
        <v>0</v>
      </c>
      <c r="AI6" s="235"/>
      <c r="AJ6" s="235"/>
      <c r="AK6" s="236">
        <f>AI6*AJ6</f>
        <v>0</v>
      </c>
    </row>
    <row r="7" spans="1:37" hidden="1">
      <c r="A7" s="234" t="s">
        <v>356</v>
      </c>
      <c r="B7" s="235"/>
      <c r="C7" s="235"/>
      <c r="D7" s="236">
        <f t="shared" ref="D7:D66" si="0">B7*C7</f>
        <v>0</v>
      </c>
      <c r="E7" s="235"/>
      <c r="F7" s="235"/>
      <c r="G7" s="236">
        <f t="shared" ref="G7:G66" si="1">E7*F7</f>
        <v>0</v>
      </c>
      <c r="H7" s="235"/>
      <c r="I7" s="235"/>
      <c r="J7" s="236">
        <f t="shared" ref="J7:J66" si="2">H7*I7</f>
        <v>0</v>
      </c>
      <c r="K7" s="235"/>
      <c r="L7" s="235"/>
      <c r="M7" s="236">
        <f t="shared" ref="M7:M66" si="3">K7*L7</f>
        <v>0</v>
      </c>
      <c r="N7" s="235"/>
      <c r="O7" s="235"/>
      <c r="P7" s="236">
        <f t="shared" ref="P7:P66" si="4">N7*O7</f>
        <v>0</v>
      </c>
      <c r="Q7" s="235"/>
      <c r="R7" s="235"/>
      <c r="S7" s="236">
        <f t="shared" ref="S7:S66" si="5">Q7*R7</f>
        <v>0</v>
      </c>
      <c r="T7" s="235"/>
      <c r="U7" s="235"/>
      <c r="V7" s="236">
        <f t="shared" ref="V7:V66" si="6">T7*U7</f>
        <v>0</v>
      </c>
      <c r="W7" s="235"/>
      <c r="X7" s="235"/>
      <c r="Y7" s="236">
        <f t="shared" ref="Y7:Y66" si="7">W7*X7</f>
        <v>0</v>
      </c>
      <c r="Z7" s="235"/>
      <c r="AA7" s="235"/>
      <c r="AB7" s="236">
        <f t="shared" ref="AB7:AB66" si="8">Z7*AA7</f>
        <v>0</v>
      </c>
      <c r="AC7" s="235"/>
      <c r="AD7" s="235"/>
      <c r="AE7" s="236">
        <f t="shared" ref="AE7:AE66" si="9">AC7*AD7</f>
        <v>0</v>
      </c>
      <c r="AF7" s="235"/>
      <c r="AG7" s="235"/>
      <c r="AH7" s="236">
        <f t="shared" ref="AH7:AH66" si="10">AF7*AG7</f>
        <v>0</v>
      </c>
      <c r="AI7" s="235"/>
      <c r="AJ7" s="235"/>
      <c r="AK7" s="236">
        <f t="shared" ref="AK7:AK66" si="11">AI7*AJ7</f>
        <v>0</v>
      </c>
    </row>
    <row r="8" spans="1:37" hidden="1">
      <c r="A8" s="234" t="s">
        <v>357</v>
      </c>
      <c r="B8" s="235"/>
      <c r="C8" s="235"/>
      <c r="D8" s="236">
        <f t="shared" si="0"/>
        <v>0</v>
      </c>
      <c r="E8" s="235"/>
      <c r="F8" s="235"/>
      <c r="G8" s="236">
        <f t="shared" si="1"/>
        <v>0</v>
      </c>
      <c r="H8" s="235"/>
      <c r="I8" s="235"/>
      <c r="J8" s="236">
        <f t="shared" si="2"/>
        <v>0</v>
      </c>
      <c r="K8" s="235"/>
      <c r="L8" s="235"/>
      <c r="M8" s="236">
        <f t="shared" si="3"/>
        <v>0</v>
      </c>
      <c r="N8" s="235"/>
      <c r="O8" s="235"/>
      <c r="P8" s="236">
        <f t="shared" si="4"/>
        <v>0</v>
      </c>
      <c r="Q8" s="235"/>
      <c r="R8" s="235"/>
      <c r="S8" s="236">
        <f t="shared" si="5"/>
        <v>0</v>
      </c>
      <c r="T8" s="235"/>
      <c r="U8" s="235"/>
      <c r="V8" s="236">
        <f t="shared" si="6"/>
        <v>0</v>
      </c>
      <c r="W8" s="235"/>
      <c r="X8" s="235"/>
      <c r="Y8" s="236">
        <f t="shared" si="7"/>
        <v>0</v>
      </c>
      <c r="Z8" s="235"/>
      <c r="AA8" s="235"/>
      <c r="AB8" s="236">
        <f t="shared" si="8"/>
        <v>0</v>
      </c>
      <c r="AC8" s="235"/>
      <c r="AD8" s="235"/>
      <c r="AE8" s="236">
        <f t="shared" si="9"/>
        <v>0</v>
      </c>
      <c r="AF8" s="235"/>
      <c r="AG8" s="235"/>
      <c r="AH8" s="236">
        <f t="shared" si="10"/>
        <v>0</v>
      </c>
      <c r="AI8" s="235"/>
      <c r="AJ8" s="235"/>
      <c r="AK8" s="236">
        <f t="shared" si="11"/>
        <v>0</v>
      </c>
    </row>
    <row r="9" spans="1:37" hidden="1">
      <c r="A9" s="234" t="s">
        <v>358</v>
      </c>
      <c r="B9" s="235"/>
      <c r="C9" s="235"/>
      <c r="D9" s="236">
        <f t="shared" si="0"/>
        <v>0</v>
      </c>
      <c r="E9" s="235"/>
      <c r="F9" s="235"/>
      <c r="G9" s="236">
        <f t="shared" si="1"/>
        <v>0</v>
      </c>
      <c r="H9" s="235"/>
      <c r="I9" s="235"/>
      <c r="J9" s="236">
        <f t="shared" si="2"/>
        <v>0</v>
      </c>
      <c r="K9" s="235"/>
      <c r="L9" s="235"/>
      <c r="M9" s="236">
        <f t="shared" si="3"/>
        <v>0</v>
      </c>
      <c r="N9" s="235"/>
      <c r="O9" s="235"/>
      <c r="P9" s="236">
        <f t="shared" si="4"/>
        <v>0</v>
      </c>
      <c r="Q9" s="235"/>
      <c r="R9" s="235"/>
      <c r="S9" s="236">
        <f t="shared" si="5"/>
        <v>0</v>
      </c>
      <c r="T9" s="235"/>
      <c r="U9" s="235"/>
      <c r="V9" s="236">
        <f t="shared" si="6"/>
        <v>0</v>
      </c>
      <c r="W9" s="235"/>
      <c r="X9" s="235"/>
      <c r="Y9" s="236">
        <f t="shared" si="7"/>
        <v>0</v>
      </c>
      <c r="Z9" s="235"/>
      <c r="AA9" s="235"/>
      <c r="AB9" s="236">
        <f t="shared" si="8"/>
        <v>0</v>
      </c>
      <c r="AC9" s="235"/>
      <c r="AD9" s="235"/>
      <c r="AE9" s="236">
        <f t="shared" si="9"/>
        <v>0</v>
      </c>
      <c r="AF9" s="235"/>
      <c r="AG9" s="235"/>
      <c r="AH9" s="236">
        <f t="shared" si="10"/>
        <v>0</v>
      </c>
      <c r="AI9" s="235"/>
      <c r="AJ9" s="235"/>
      <c r="AK9" s="236">
        <f t="shared" si="11"/>
        <v>0</v>
      </c>
    </row>
    <row r="10" spans="1:37" hidden="1">
      <c r="A10" s="234" t="s">
        <v>359</v>
      </c>
      <c r="B10" s="235"/>
      <c r="C10" s="235"/>
      <c r="D10" s="236">
        <f t="shared" si="0"/>
        <v>0</v>
      </c>
      <c r="E10" s="235"/>
      <c r="F10" s="235"/>
      <c r="G10" s="236">
        <f t="shared" si="1"/>
        <v>0</v>
      </c>
      <c r="H10" s="235"/>
      <c r="I10" s="235"/>
      <c r="J10" s="236">
        <f t="shared" si="2"/>
        <v>0</v>
      </c>
      <c r="K10" s="235"/>
      <c r="L10" s="235"/>
      <c r="M10" s="236">
        <f t="shared" si="3"/>
        <v>0</v>
      </c>
      <c r="N10" s="235"/>
      <c r="O10" s="235"/>
      <c r="P10" s="236">
        <f t="shared" si="4"/>
        <v>0</v>
      </c>
      <c r="Q10" s="235"/>
      <c r="R10" s="235"/>
      <c r="S10" s="236">
        <f t="shared" si="5"/>
        <v>0</v>
      </c>
      <c r="T10" s="235"/>
      <c r="U10" s="235"/>
      <c r="V10" s="236">
        <f t="shared" si="6"/>
        <v>0</v>
      </c>
      <c r="W10" s="235"/>
      <c r="X10" s="235"/>
      <c r="Y10" s="236">
        <f t="shared" si="7"/>
        <v>0</v>
      </c>
      <c r="Z10" s="235"/>
      <c r="AA10" s="235"/>
      <c r="AB10" s="236">
        <f t="shared" si="8"/>
        <v>0</v>
      </c>
      <c r="AC10" s="235"/>
      <c r="AD10" s="235"/>
      <c r="AE10" s="236">
        <f t="shared" si="9"/>
        <v>0</v>
      </c>
      <c r="AF10" s="235"/>
      <c r="AG10" s="235"/>
      <c r="AH10" s="236">
        <f t="shared" si="10"/>
        <v>0</v>
      </c>
      <c r="AI10" s="235"/>
      <c r="AJ10" s="235"/>
      <c r="AK10" s="236">
        <f t="shared" si="11"/>
        <v>0</v>
      </c>
    </row>
    <row r="11" spans="1:37" hidden="1">
      <c r="A11" s="234" t="s">
        <v>360</v>
      </c>
      <c r="B11" s="235"/>
      <c r="C11" s="235"/>
      <c r="D11" s="236">
        <f t="shared" si="0"/>
        <v>0</v>
      </c>
      <c r="E11" s="235"/>
      <c r="F11" s="235"/>
      <c r="G11" s="236">
        <f t="shared" si="1"/>
        <v>0</v>
      </c>
      <c r="H11" s="235"/>
      <c r="I11" s="235"/>
      <c r="J11" s="236">
        <f t="shared" si="2"/>
        <v>0</v>
      </c>
      <c r="K11" s="235"/>
      <c r="L11" s="235"/>
      <c r="M11" s="236">
        <f t="shared" si="3"/>
        <v>0</v>
      </c>
      <c r="N11" s="235"/>
      <c r="O11" s="235"/>
      <c r="P11" s="236">
        <f t="shared" si="4"/>
        <v>0</v>
      </c>
      <c r="Q11" s="235"/>
      <c r="R11" s="235"/>
      <c r="S11" s="236">
        <f t="shared" si="5"/>
        <v>0</v>
      </c>
      <c r="T11" s="235"/>
      <c r="U11" s="235"/>
      <c r="V11" s="236">
        <f t="shared" si="6"/>
        <v>0</v>
      </c>
      <c r="W11" s="235"/>
      <c r="X11" s="235"/>
      <c r="Y11" s="236">
        <f t="shared" si="7"/>
        <v>0</v>
      </c>
      <c r="Z11" s="235"/>
      <c r="AA11" s="235"/>
      <c r="AB11" s="236">
        <f t="shared" si="8"/>
        <v>0</v>
      </c>
      <c r="AC11" s="235"/>
      <c r="AD11" s="235"/>
      <c r="AE11" s="236">
        <f t="shared" si="9"/>
        <v>0</v>
      </c>
      <c r="AF11" s="235"/>
      <c r="AG11" s="235"/>
      <c r="AH11" s="236">
        <f t="shared" si="10"/>
        <v>0</v>
      </c>
      <c r="AI11" s="235"/>
      <c r="AJ11" s="235"/>
      <c r="AK11" s="236">
        <f t="shared" si="11"/>
        <v>0</v>
      </c>
    </row>
    <row r="12" spans="1:37" hidden="1">
      <c r="A12" s="234" t="s">
        <v>361</v>
      </c>
      <c r="B12" s="235"/>
      <c r="C12" s="235"/>
      <c r="D12" s="236">
        <f t="shared" si="0"/>
        <v>0</v>
      </c>
      <c r="E12" s="235"/>
      <c r="F12" s="235"/>
      <c r="G12" s="236">
        <f t="shared" si="1"/>
        <v>0</v>
      </c>
      <c r="H12" s="235"/>
      <c r="I12" s="235"/>
      <c r="J12" s="236">
        <f t="shared" si="2"/>
        <v>0</v>
      </c>
      <c r="K12" s="235"/>
      <c r="L12" s="235"/>
      <c r="M12" s="236">
        <f t="shared" si="3"/>
        <v>0</v>
      </c>
      <c r="N12" s="235"/>
      <c r="O12" s="235"/>
      <c r="P12" s="236">
        <f t="shared" si="4"/>
        <v>0</v>
      </c>
      <c r="Q12" s="235"/>
      <c r="R12" s="235"/>
      <c r="S12" s="236">
        <f t="shared" si="5"/>
        <v>0</v>
      </c>
      <c r="T12" s="235"/>
      <c r="U12" s="235"/>
      <c r="V12" s="236">
        <f t="shared" si="6"/>
        <v>0</v>
      </c>
      <c r="W12" s="235"/>
      <c r="X12" s="235"/>
      <c r="Y12" s="236">
        <f t="shared" si="7"/>
        <v>0</v>
      </c>
      <c r="Z12" s="235"/>
      <c r="AA12" s="235"/>
      <c r="AB12" s="236">
        <f t="shared" si="8"/>
        <v>0</v>
      </c>
      <c r="AC12" s="235"/>
      <c r="AD12" s="235"/>
      <c r="AE12" s="236">
        <f t="shared" si="9"/>
        <v>0</v>
      </c>
      <c r="AF12" s="235"/>
      <c r="AG12" s="235"/>
      <c r="AH12" s="236">
        <f t="shared" si="10"/>
        <v>0</v>
      </c>
      <c r="AI12" s="235"/>
      <c r="AJ12" s="235"/>
      <c r="AK12" s="236">
        <f t="shared" si="11"/>
        <v>0</v>
      </c>
    </row>
    <row r="13" spans="1:37">
      <c r="A13" s="320" t="s">
        <v>362</v>
      </c>
      <c r="B13" s="235">
        <v>100</v>
      </c>
      <c r="C13" s="235">
        <v>62</v>
      </c>
      <c r="D13" s="236">
        <f t="shared" si="0"/>
        <v>6200</v>
      </c>
      <c r="E13" s="235">
        <v>130</v>
      </c>
      <c r="F13" s="235">
        <v>62</v>
      </c>
      <c r="G13" s="236">
        <f t="shared" si="1"/>
        <v>8060</v>
      </c>
      <c r="H13" s="235">
        <v>130</v>
      </c>
      <c r="I13" s="235">
        <v>62</v>
      </c>
      <c r="J13" s="236">
        <f t="shared" si="2"/>
        <v>8060</v>
      </c>
      <c r="K13" s="235">
        <v>130</v>
      </c>
      <c r="L13" s="235">
        <v>62</v>
      </c>
      <c r="M13" s="236">
        <f t="shared" si="3"/>
        <v>8060</v>
      </c>
      <c r="N13" s="235">
        <v>130</v>
      </c>
      <c r="O13" s="235">
        <v>62</v>
      </c>
      <c r="P13" s="236">
        <f t="shared" si="4"/>
        <v>8060</v>
      </c>
      <c r="Q13" s="235">
        <v>130</v>
      </c>
      <c r="R13" s="235">
        <v>62</v>
      </c>
      <c r="S13" s="236">
        <f t="shared" si="5"/>
        <v>8060</v>
      </c>
      <c r="T13" s="235">
        <v>130</v>
      </c>
      <c r="U13" s="235">
        <v>62</v>
      </c>
      <c r="V13" s="236">
        <f t="shared" si="6"/>
        <v>8060</v>
      </c>
      <c r="W13" s="235">
        <v>130</v>
      </c>
      <c r="X13" s="235">
        <v>62</v>
      </c>
      <c r="Y13" s="236">
        <f t="shared" si="7"/>
        <v>8060</v>
      </c>
      <c r="Z13" s="235">
        <v>130</v>
      </c>
      <c r="AA13" s="235">
        <v>62</v>
      </c>
      <c r="AB13" s="236">
        <f t="shared" si="8"/>
        <v>8060</v>
      </c>
      <c r="AC13" s="235">
        <v>130</v>
      </c>
      <c r="AD13" s="235">
        <v>62</v>
      </c>
      <c r="AE13" s="236">
        <f t="shared" si="9"/>
        <v>8060</v>
      </c>
      <c r="AF13" s="235">
        <v>130</v>
      </c>
      <c r="AG13" s="235">
        <v>62</v>
      </c>
      <c r="AH13" s="236">
        <f t="shared" si="10"/>
        <v>8060</v>
      </c>
      <c r="AI13" s="235">
        <v>130</v>
      </c>
      <c r="AJ13" s="235">
        <v>62</v>
      </c>
      <c r="AK13" s="236">
        <f t="shared" si="11"/>
        <v>8060</v>
      </c>
    </row>
    <row r="14" spans="1:37" hidden="1">
      <c r="A14" s="234" t="s">
        <v>363</v>
      </c>
      <c r="B14" s="235"/>
      <c r="C14" s="235"/>
      <c r="D14" s="236">
        <f t="shared" si="0"/>
        <v>0</v>
      </c>
      <c r="E14" s="235"/>
      <c r="F14" s="235"/>
      <c r="G14" s="236">
        <f t="shared" si="1"/>
        <v>0</v>
      </c>
      <c r="H14" s="235"/>
      <c r="I14" s="235"/>
      <c r="J14" s="236">
        <f t="shared" si="2"/>
        <v>0</v>
      </c>
      <c r="K14" s="235"/>
      <c r="L14" s="235"/>
      <c r="M14" s="236">
        <f t="shared" si="3"/>
        <v>0</v>
      </c>
      <c r="N14" s="235"/>
      <c r="O14" s="235"/>
      <c r="P14" s="236">
        <f t="shared" si="4"/>
        <v>0</v>
      </c>
      <c r="Q14" s="235"/>
      <c r="R14" s="235"/>
      <c r="S14" s="236">
        <f t="shared" si="5"/>
        <v>0</v>
      </c>
      <c r="T14" s="235"/>
      <c r="U14" s="235"/>
      <c r="V14" s="236">
        <f t="shared" si="6"/>
        <v>0</v>
      </c>
      <c r="W14" s="235"/>
      <c r="X14" s="235"/>
      <c r="Y14" s="236">
        <f t="shared" si="7"/>
        <v>0</v>
      </c>
      <c r="Z14" s="235"/>
      <c r="AA14" s="235"/>
      <c r="AB14" s="236">
        <f t="shared" si="8"/>
        <v>0</v>
      </c>
      <c r="AC14" s="235"/>
      <c r="AD14" s="235"/>
      <c r="AE14" s="236">
        <f t="shared" si="9"/>
        <v>0</v>
      </c>
      <c r="AF14" s="235"/>
      <c r="AG14" s="235"/>
      <c r="AH14" s="236">
        <f t="shared" si="10"/>
        <v>0</v>
      </c>
      <c r="AI14" s="235"/>
      <c r="AJ14" s="235"/>
      <c r="AK14" s="236">
        <f t="shared" si="11"/>
        <v>0</v>
      </c>
    </row>
    <row r="15" spans="1:37">
      <c r="A15" s="320" t="s">
        <v>364</v>
      </c>
      <c r="B15" s="235">
        <v>10000</v>
      </c>
      <c r="C15" s="235">
        <v>7.33</v>
      </c>
      <c r="D15" s="236">
        <f t="shared" si="0"/>
        <v>73300</v>
      </c>
      <c r="E15" s="235">
        <v>19672</v>
      </c>
      <c r="F15" s="235">
        <v>7.33</v>
      </c>
      <c r="G15" s="236">
        <f t="shared" si="1"/>
        <v>144195.76</v>
      </c>
      <c r="H15" s="235">
        <v>15773</v>
      </c>
      <c r="I15" s="235">
        <v>7.33</v>
      </c>
      <c r="J15" s="236">
        <f t="shared" si="2"/>
        <v>115616.09</v>
      </c>
      <c r="K15" s="235">
        <v>16041</v>
      </c>
      <c r="L15" s="235">
        <v>7.33</v>
      </c>
      <c r="M15" s="236">
        <f t="shared" si="3"/>
        <v>117580.53</v>
      </c>
      <c r="N15" s="235">
        <v>24624</v>
      </c>
      <c r="O15" s="235">
        <v>7.33</v>
      </c>
      <c r="P15" s="236">
        <f t="shared" si="4"/>
        <v>180493.92</v>
      </c>
      <c r="Q15" s="235">
        <v>13900</v>
      </c>
      <c r="R15" s="235">
        <v>7.33</v>
      </c>
      <c r="S15" s="236">
        <f t="shared" si="5"/>
        <v>101887</v>
      </c>
      <c r="T15" s="235">
        <v>16908</v>
      </c>
      <c r="U15" s="235">
        <v>7.33</v>
      </c>
      <c r="V15" s="236">
        <f t="shared" si="6"/>
        <v>123935.64</v>
      </c>
      <c r="W15" s="235">
        <v>14662</v>
      </c>
      <c r="X15" s="235">
        <v>7.33</v>
      </c>
      <c r="Y15" s="236">
        <f t="shared" si="7"/>
        <v>107472.46</v>
      </c>
      <c r="Z15" s="235">
        <v>17986</v>
      </c>
      <c r="AA15" s="235">
        <v>7.33</v>
      </c>
      <c r="AB15" s="236">
        <f t="shared" si="8"/>
        <v>131837.38</v>
      </c>
      <c r="AC15" s="235">
        <v>21845</v>
      </c>
      <c r="AD15" s="235">
        <v>7.33</v>
      </c>
      <c r="AE15" s="236">
        <f t="shared" si="9"/>
        <v>160123.85</v>
      </c>
      <c r="AF15" s="235">
        <v>18523</v>
      </c>
      <c r="AG15" s="235">
        <v>7.33</v>
      </c>
      <c r="AH15" s="236">
        <f t="shared" si="10"/>
        <v>135773.59</v>
      </c>
      <c r="AI15" s="235">
        <v>13957</v>
      </c>
      <c r="AJ15" s="235">
        <v>7.33</v>
      </c>
      <c r="AK15" s="236">
        <f t="shared" si="11"/>
        <v>102304.81</v>
      </c>
    </row>
    <row r="16" spans="1:37" hidden="1">
      <c r="A16" s="234" t="s">
        <v>365</v>
      </c>
      <c r="B16" s="235"/>
      <c r="C16" s="235"/>
      <c r="D16" s="236">
        <f t="shared" si="0"/>
        <v>0</v>
      </c>
      <c r="E16" s="235"/>
      <c r="F16" s="235"/>
      <c r="G16" s="236">
        <f t="shared" si="1"/>
        <v>0</v>
      </c>
      <c r="H16" s="235"/>
      <c r="I16" s="235"/>
      <c r="J16" s="236">
        <f t="shared" si="2"/>
        <v>0</v>
      </c>
      <c r="K16" s="235"/>
      <c r="L16" s="235"/>
      <c r="M16" s="236">
        <f t="shared" si="3"/>
        <v>0</v>
      </c>
      <c r="N16" s="235"/>
      <c r="O16" s="235"/>
      <c r="P16" s="236">
        <f t="shared" si="4"/>
        <v>0</v>
      </c>
      <c r="Q16" s="235"/>
      <c r="R16" s="235"/>
      <c r="S16" s="236">
        <f t="shared" si="5"/>
        <v>0</v>
      </c>
      <c r="T16" s="235"/>
      <c r="U16" s="235"/>
      <c r="V16" s="236">
        <f t="shared" si="6"/>
        <v>0</v>
      </c>
      <c r="W16" s="235"/>
      <c r="X16" s="235"/>
      <c r="Y16" s="236">
        <f t="shared" si="7"/>
        <v>0</v>
      </c>
      <c r="Z16" s="235"/>
      <c r="AA16" s="235"/>
      <c r="AB16" s="236">
        <f t="shared" si="8"/>
        <v>0</v>
      </c>
      <c r="AC16" s="235"/>
      <c r="AD16" s="235"/>
      <c r="AE16" s="236">
        <f t="shared" si="9"/>
        <v>0</v>
      </c>
      <c r="AF16" s="235"/>
      <c r="AG16" s="235"/>
      <c r="AH16" s="236">
        <f t="shared" si="10"/>
        <v>0</v>
      </c>
      <c r="AI16" s="235"/>
      <c r="AJ16" s="235"/>
      <c r="AK16" s="236">
        <f t="shared" si="11"/>
        <v>0</v>
      </c>
    </row>
    <row r="17" spans="1:37">
      <c r="A17" s="320" t="s">
        <v>366</v>
      </c>
      <c r="B17" s="235">
        <v>5450</v>
      </c>
      <c r="C17" s="235">
        <v>4.9800000000000004</v>
      </c>
      <c r="D17" s="236">
        <f t="shared" si="0"/>
        <v>27141.000000000004</v>
      </c>
      <c r="E17" s="235">
        <v>5450</v>
      </c>
      <c r="F17" s="235">
        <v>4.9800000000000004</v>
      </c>
      <c r="G17" s="236">
        <f t="shared" si="1"/>
        <v>27141.000000000004</v>
      </c>
      <c r="H17" s="235">
        <v>5450</v>
      </c>
      <c r="I17" s="235">
        <v>4.9800000000000004</v>
      </c>
      <c r="J17" s="236">
        <f t="shared" si="2"/>
        <v>27141.000000000004</v>
      </c>
      <c r="K17" s="235">
        <v>5450</v>
      </c>
      <c r="L17" s="235">
        <v>4.9800000000000004</v>
      </c>
      <c r="M17" s="236">
        <f t="shared" si="3"/>
        <v>27141.000000000004</v>
      </c>
      <c r="N17" s="235">
        <v>5450</v>
      </c>
      <c r="O17" s="235">
        <v>4.9800000000000004</v>
      </c>
      <c r="P17" s="236">
        <f t="shared" si="4"/>
        <v>27141.000000000004</v>
      </c>
      <c r="Q17" s="235">
        <v>5450</v>
      </c>
      <c r="R17" s="235">
        <v>4.9800000000000004</v>
      </c>
      <c r="S17" s="236">
        <f t="shared" si="5"/>
        <v>27141.000000000004</v>
      </c>
      <c r="T17" s="235">
        <v>5450</v>
      </c>
      <c r="U17" s="235">
        <v>4.9800000000000004</v>
      </c>
      <c r="V17" s="236">
        <f t="shared" si="6"/>
        <v>27141.000000000004</v>
      </c>
      <c r="W17" s="235">
        <v>5450</v>
      </c>
      <c r="X17" s="235">
        <v>4.9800000000000004</v>
      </c>
      <c r="Y17" s="236">
        <f t="shared" si="7"/>
        <v>27141.000000000004</v>
      </c>
      <c r="Z17" s="235">
        <v>5450</v>
      </c>
      <c r="AA17" s="235">
        <v>4.9800000000000004</v>
      </c>
      <c r="AB17" s="236">
        <f t="shared" si="8"/>
        <v>27141.000000000004</v>
      </c>
      <c r="AC17" s="235">
        <v>5450</v>
      </c>
      <c r="AD17" s="235">
        <v>4.9800000000000004</v>
      </c>
      <c r="AE17" s="236">
        <f t="shared" si="9"/>
        <v>27141.000000000004</v>
      </c>
      <c r="AF17" s="235">
        <v>5450</v>
      </c>
      <c r="AG17" s="235">
        <v>4.9800000000000004</v>
      </c>
      <c r="AH17" s="236">
        <f t="shared" si="10"/>
        <v>27141.000000000004</v>
      </c>
      <c r="AI17" s="235">
        <v>5450</v>
      </c>
      <c r="AJ17" s="235">
        <v>4.9800000000000004</v>
      </c>
      <c r="AK17" s="236">
        <f t="shared" si="11"/>
        <v>27141.000000000004</v>
      </c>
    </row>
    <row r="18" spans="1:37" hidden="1">
      <c r="A18" s="234" t="s">
        <v>367</v>
      </c>
      <c r="B18" s="235"/>
      <c r="C18" s="235"/>
      <c r="D18" s="236">
        <f t="shared" si="0"/>
        <v>0</v>
      </c>
      <c r="E18" s="235"/>
      <c r="F18" s="235"/>
      <c r="G18" s="236">
        <f t="shared" si="1"/>
        <v>0</v>
      </c>
      <c r="H18" s="235"/>
      <c r="I18" s="235"/>
      <c r="J18" s="236">
        <f t="shared" si="2"/>
        <v>0</v>
      </c>
      <c r="K18" s="235"/>
      <c r="L18" s="235"/>
      <c r="M18" s="236">
        <f t="shared" si="3"/>
        <v>0</v>
      </c>
      <c r="N18" s="235"/>
      <c r="O18" s="235"/>
      <c r="P18" s="236">
        <f t="shared" si="4"/>
        <v>0</v>
      </c>
      <c r="Q18" s="235"/>
      <c r="R18" s="235"/>
      <c r="S18" s="236">
        <f t="shared" si="5"/>
        <v>0</v>
      </c>
      <c r="T18" s="235"/>
      <c r="U18" s="235"/>
      <c r="V18" s="236">
        <f t="shared" si="6"/>
        <v>0</v>
      </c>
      <c r="W18" s="235"/>
      <c r="X18" s="235"/>
      <c r="Y18" s="236">
        <f t="shared" si="7"/>
        <v>0</v>
      </c>
      <c r="Z18" s="235"/>
      <c r="AA18" s="235"/>
      <c r="AB18" s="236">
        <f t="shared" si="8"/>
        <v>0</v>
      </c>
      <c r="AC18" s="235"/>
      <c r="AD18" s="235"/>
      <c r="AE18" s="236">
        <f t="shared" si="9"/>
        <v>0</v>
      </c>
      <c r="AF18" s="235"/>
      <c r="AG18" s="235"/>
      <c r="AH18" s="236">
        <f t="shared" si="10"/>
        <v>0</v>
      </c>
      <c r="AI18" s="235"/>
      <c r="AJ18" s="235"/>
      <c r="AK18" s="236">
        <f t="shared" si="11"/>
        <v>0</v>
      </c>
    </row>
    <row r="19" spans="1:37" hidden="1">
      <c r="A19" s="234" t="s">
        <v>368</v>
      </c>
      <c r="B19" s="235"/>
      <c r="C19" s="235"/>
      <c r="D19" s="236">
        <f t="shared" si="0"/>
        <v>0</v>
      </c>
      <c r="E19" s="235"/>
      <c r="F19" s="235"/>
      <c r="G19" s="236">
        <f t="shared" si="1"/>
        <v>0</v>
      </c>
      <c r="H19" s="235"/>
      <c r="I19" s="235"/>
      <c r="J19" s="236">
        <f t="shared" si="2"/>
        <v>0</v>
      </c>
      <c r="K19" s="235"/>
      <c r="L19" s="235"/>
      <c r="M19" s="236">
        <f t="shared" si="3"/>
        <v>0</v>
      </c>
      <c r="N19" s="235"/>
      <c r="O19" s="235"/>
      <c r="P19" s="236">
        <f t="shared" si="4"/>
        <v>0</v>
      </c>
      <c r="Q19" s="235"/>
      <c r="R19" s="235"/>
      <c r="S19" s="236">
        <f t="shared" si="5"/>
        <v>0</v>
      </c>
      <c r="T19" s="235"/>
      <c r="U19" s="235"/>
      <c r="V19" s="236">
        <f t="shared" si="6"/>
        <v>0</v>
      </c>
      <c r="W19" s="235"/>
      <c r="X19" s="235"/>
      <c r="Y19" s="236">
        <f t="shared" si="7"/>
        <v>0</v>
      </c>
      <c r="Z19" s="235"/>
      <c r="AA19" s="235"/>
      <c r="AB19" s="236">
        <f t="shared" si="8"/>
        <v>0</v>
      </c>
      <c r="AC19" s="235"/>
      <c r="AD19" s="235"/>
      <c r="AE19" s="236">
        <f t="shared" si="9"/>
        <v>0</v>
      </c>
      <c r="AF19" s="235"/>
      <c r="AG19" s="235"/>
      <c r="AH19" s="236">
        <f t="shared" si="10"/>
        <v>0</v>
      </c>
      <c r="AI19" s="235"/>
      <c r="AJ19" s="235"/>
      <c r="AK19" s="236">
        <f t="shared" si="11"/>
        <v>0</v>
      </c>
    </row>
    <row r="20" spans="1:37" hidden="1">
      <c r="A20" s="234" t="s">
        <v>285</v>
      </c>
      <c r="B20" s="235"/>
      <c r="C20" s="235"/>
      <c r="D20" s="236">
        <f t="shared" si="0"/>
        <v>0</v>
      </c>
      <c r="E20" s="235"/>
      <c r="F20" s="235"/>
      <c r="G20" s="236">
        <f t="shared" si="1"/>
        <v>0</v>
      </c>
      <c r="H20" s="235"/>
      <c r="I20" s="235"/>
      <c r="J20" s="236">
        <f t="shared" si="2"/>
        <v>0</v>
      </c>
      <c r="K20" s="235"/>
      <c r="L20" s="235"/>
      <c r="M20" s="236">
        <f t="shared" si="3"/>
        <v>0</v>
      </c>
      <c r="N20" s="235"/>
      <c r="O20" s="235"/>
      <c r="P20" s="236">
        <f t="shared" si="4"/>
        <v>0</v>
      </c>
      <c r="Q20" s="235"/>
      <c r="R20" s="235"/>
      <c r="S20" s="236">
        <f t="shared" si="5"/>
        <v>0</v>
      </c>
      <c r="T20" s="235"/>
      <c r="U20" s="235"/>
      <c r="V20" s="236">
        <f t="shared" si="6"/>
        <v>0</v>
      </c>
      <c r="W20" s="235"/>
      <c r="X20" s="235"/>
      <c r="Y20" s="236">
        <f t="shared" si="7"/>
        <v>0</v>
      </c>
      <c r="Z20" s="235"/>
      <c r="AA20" s="235"/>
      <c r="AB20" s="236">
        <f t="shared" si="8"/>
        <v>0</v>
      </c>
      <c r="AC20" s="235"/>
      <c r="AD20" s="235"/>
      <c r="AE20" s="236">
        <f t="shared" si="9"/>
        <v>0</v>
      </c>
      <c r="AF20" s="235"/>
      <c r="AG20" s="235"/>
      <c r="AH20" s="236">
        <f t="shared" si="10"/>
        <v>0</v>
      </c>
      <c r="AI20" s="235"/>
      <c r="AJ20" s="235"/>
      <c r="AK20" s="236">
        <f t="shared" si="11"/>
        <v>0</v>
      </c>
    </row>
    <row r="21" spans="1:37" hidden="1">
      <c r="A21" s="234" t="s">
        <v>369</v>
      </c>
      <c r="B21" s="235"/>
      <c r="C21" s="235"/>
      <c r="D21" s="236">
        <f t="shared" si="0"/>
        <v>0</v>
      </c>
      <c r="E21" s="235"/>
      <c r="F21" s="235"/>
      <c r="G21" s="236">
        <f t="shared" si="1"/>
        <v>0</v>
      </c>
      <c r="H21" s="235"/>
      <c r="I21" s="235"/>
      <c r="J21" s="236">
        <f t="shared" si="2"/>
        <v>0</v>
      </c>
      <c r="K21" s="235"/>
      <c r="L21" s="235"/>
      <c r="M21" s="236">
        <f t="shared" si="3"/>
        <v>0</v>
      </c>
      <c r="N21" s="235"/>
      <c r="O21" s="235"/>
      <c r="P21" s="236">
        <f t="shared" si="4"/>
        <v>0</v>
      </c>
      <c r="Q21" s="235"/>
      <c r="R21" s="235"/>
      <c r="S21" s="236">
        <f t="shared" si="5"/>
        <v>0</v>
      </c>
      <c r="T21" s="235"/>
      <c r="U21" s="235"/>
      <c r="V21" s="236">
        <f t="shared" si="6"/>
        <v>0</v>
      </c>
      <c r="W21" s="235"/>
      <c r="X21" s="235"/>
      <c r="Y21" s="236">
        <f t="shared" si="7"/>
        <v>0</v>
      </c>
      <c r="Z21" s="235"/>
      <c r="AA21" s="235"/>
      <c r="AB21" s="236">
        <f t="shared" si="8"/>
        <v>0</v>
      </c>
      <c r="AC21" s="235"/>
      <c r="AD21" s="235"/>
      <c r="AE21" s="236">
        <f t="shared" si="9"/>
        <v>0</v>
      </c>
      <c r="AF21" s="235"/>
      <c r="AG21" s="235"/>
      <c r="AH21" s="236">
        <f t="shared" si="10"/>
        <v>0</v>
      </c>
      <c r="AI21" s="235"/>
      <c r="AJ21" s="235"/>
      <c r="AK21" s="236">
        <f t="shared" si="11"/>
        <v>0</v>
      </c>
    </row>
    <row r="22" spans="1:37" hidden="1">
      <c r="A22" s="234" t="s">
        <v>370</v>
      </c>
      <c r="B22" s="235"/>
      <c r="C22" s="235"/>
      <c r="D22" s="236">
        <f t="shared" si="0"/>
        <v>0</v>
      </c>
      <c r="E22" s="235"/>
      <c r="F22" s="235"/>
      <c r="G22" s="236">
        <f t="shared" si="1"/>
        <v>0</v>
      </c>
      <c r="H22" s="235"/>
      <c r="I22" s="235"/>
      <c r="J22" s="236">
        <f t="shared" si="2"/>
        <v>0</v>
      </c>
      <c r="K22" s="235"/>
      <c r="L22" s="235"/>
      <c r="M22" s="236">
        <f t="shared" si="3"/>
        <v>0</v>
      </c>
      <c r="N22" s="235"/>
      <c r="O22" s="235"/>
      <c r="P22" s="236">
        <f t="shared" si="4"/>
        <v>0</v>
      </c>
      <c r="Q22" s="235"/>
      <c r="R22" s="235"/>
      <c r="S22" s="236">
        <f t="shared" si="5"/>
        <v>0</v>
      </c>
      <c r="T22" s="235"/>
      <c r="U22" s="235"/>
      <c r="V22" s="236">
        <f t="shared" si="6"/>
        <v>0</v>
      </c>
      <c r="W22" s="235"/>
      <c r="X22" s="235"/>
      <c r="Y22" s="236">
        <f t="shared" si="7"/>
        <v>0</v>
      </c>
      <c r="Z22" s="235"/>
      <c r="AA22" s="235"/>
      <c r="AB22" s="236">
        <f t="shared" si="8"/>
        <v>0</v>
      </c>
      <c r="AC22" s="235"/>
      <c r="AD22" s="235"/>
      <c r="AE22" s="236">
        <f t="shared" si="9"/>
        <v>0</v>
      </c>
      <c r="AF22" s="235"/>
      <c r="AG22" s="235"/>
      <c r="AH22" s="236">
        <f t="shared" si="10"/>
        <v>0</v>
      </c>
      <c r="AI22" s="235"/>
      <c r="AJ22" s="235"/>
      <c r="AK22" s="236">
        <f t="shared" si="11"/>
        <v>0</v>
      </c>
    </row>
    <row r="23" spans="1:37" hidden="1">
      <c r="A23" s="234" t="s">
        <v>371</v>
      </c>
      <c r="B23" s="235"/>
      <c r="C23" s="235"/>
      <c r="D23" s="236">
        <f t="shared" si="0"/>
        <v>0</v>
      </c>
      <c r="E23" s="235"/>
      <c r="F23" s="235"/>
      <c r="G23" s="236">
        <f t="shared" si="1"/>
        <v>0</v>
      </c>
      <c r="H23" s="235"/>
      <c r="I23" s="235"/>
      <c r="J23" s="236">
        <f t="shared" si="2"/>
        <v>0</v>
      </c>
      <c r="K23" s="235"/>
      <c r="L23" s="235"/>
      <c r="M23" s="236">
        <f t="shared" si="3"/>
        <v>0</v>
      </c>
      <c r="N23" s="235"/>
      <c r="O23" s="235"/>
      <c r="P23" s="236">
        <f t="shared" si="4"/>
        <v>0</v>
      </c>
      <c r="Q23" s="235"/>
      <c r="R23" s="235"/>
      <c r="S23" s="236">
        <f t="shared" si="5"/>
        <v>0</v>
      </c>
      <c r="T23" s="235"/>
      <c r="U23" s="235"/>
      <c r="V23" s="236">
        <f t="shared" si="6"/>
        <v>0</v>
      </c>
      <c r="W23" s="235"/>
      <c r="X23" s="235"/>
      <c r="Y23" s="236">
        <f t="shared" si="7"/>
        <v>0</v>
      </c>
      <c r="Z23" s="235"/>
      <c r="AA23" s="235"/>
      <c r="AB23" s="236">
        <f t="shared" si="8"/>
        <v>0</v>
      </c>
      <c r="AC23" s="235"/>
      <c r="AD23" s="235"/>
      <c r="AE23" s="236">
        <f t="shared" si="9"/>
        <v>0</v>
      </c>
      <c r="AF23" s="235"/>
      <c r="AG23" s="235"/>
      <c r="AH23" s="236">
        <f t="shared" si="10"/>
        <v>0</v>
      </c>
      <c r="AI23" s="235"/>
      <c r="AJ23" s="235"/>
      <c r="AK23" s="236">
        <f t="shared" si="11"/>
        <v>0</v>
      </c>
    </row>
    <row r="24" spans="1:37" hidden="1">
      <c r="A24" s="234" t="s">
        <v>372</v>
      </c>
      <c r="B24" s="235"/>
      <c r="C24" s="235"/>
      <c r="D24" s="236">
        <f t="shared" si="0"/>
        <v>0</v>
      </c>
      <c r="E24" s="235"/>
      <c r="F24" s="235"/>
      <c r="G24" s="236">
        <f t="shared" si="1"/>
        <v>0</v>
      </c>
      <c r="H24" s="235"/>
      <c r="I24" s="235"/>
      <c r="J24" s="236">
        <f t="shared" si="2"/>
        <v>0</v>
      </c>
      <c r="K24" s="235"/>
      <c r="L24" s="235"/>
      <c r="M24" s="236">
        <f t="shared" si="3"/>
        <v>0</v>
      </c>
      <c r="N24" s="235"/>
      <c r="O24" s="235"/>
      <c r="P24" s="236">
        <f t="shared" si="4"/>
        <v>0</v>
      </c>
      <c r="Q24" s="235"/>
      <c r="R24" s="235"/>
      <c r="S24" s="236">
        <f t="shared" si="5"/>
        <v>0</v>
      </c>
      <c r="T24" s="235"/>
      <c r="U24" s="235"/>
      <c r="V24" s="236">
        <f t="shared" si="6"/>
        <v>0</v>
      </c>
      <c r="W24" s="235"/>
      <c r="X24" s="235"/>
      <c r="Y24" s="236">
        <f t="shared" si="7"/>
        <v>0</v>
      </c>
      <c r="Z24" s="235"/>
      <c r="AA24" s="235"/>
      <c r="AB24" s="236">
        <f t="shared" si="8"/>
        <v>0</v>
      </c>
      <c r="AC24" s="235"/>
      <c r="AD24" s="235"/>
      <c r="AE24" s="236">
        <f t="shared" si="9"/>
        <v>0</v>
      </c>
      <c r="AF24" s="235"/>
      <c r="AG24" s="235"/>
      <c r="AH24" s="236">
        <f t="shared" si="10"/>
        <v>0</v>
      </c>
      <c r="AI24" s="235"/>
      <c r="AJ24" s="235"/>
      <c r="AK24" s="236">
        <f t="shared" si="11"/>
        <v>0</v>
      </c>
    </row>
    <row r="25" spans="1:37" hidden="1">
      <c r="A25" s="234" t="s">
        <v>373</v>
      </c>
      <c r="B25" s="235"/>
      <c r="C25" s="235"/>
      <c r="D25" s="236">
        <f t="shared" si="0"/>
        <v>0</v>
      </c>
      <c r="E25" s="235"/>
      <c r="F25" s="235"/>
      <c r="G25" s="236">
        <f t="shared" si="1"/>
        <v>0</v>
      </c>
      <c r="H25" s="235"/>
      <c r="I25" s="235"/>
      <c r="J25" s="236">
        <f t="shared" si="2"/>
        <v>0</v>
      </c>
      <c r="K25" s="235"/>
      <c r="L25" s="235"/>
      <c r="M25" s="236">
        <f t="shared" si="3"/>
        <v>0</v>
      </c>
      <c r="N25" s="235"/>
      <c r="O25" s="235"/>
      <c r="P25" s="236">
        <f t="shared" si="4"/>
        <v>0</v>
      </c>
      <c r="Q25" s="235"/>
      <c r="R25" s="235"/>
      <c r="S25" s="236">
        <f t="shared" si="5"/>
        <v>0</v>
      </c>
      <c r="T25" s="235"/>
      <c r="U25" s="235"/>
      <c r="V25" s="236">
        <f t="shared" si="6"/>
        <v>0</v>
      </c>
      <c r="W25" s="235"/>
      <c r="X25" s="235"/>
      <c r="Y25" s="236">
        <f t="shared" si="7"/>
        <v>0</v>
      </c>
      <c r="Z25" s="235"/>
      <c r="AA25" s="235"/>
      <c r="AB25" s="236">
        <f t="shared" si="8"/>
        <v>0</v>
      </c>
      <c r="AC25" s="235"/>
      <c r="AD25" s="235"/>
      <c r="AE25" s="236">
        <f t="shared" si="9"/>
        <v>0</v>
      </c>
      <c r="AF25" s="235"/>
      <c r="AG25" s="235"/>
      <c r="AH25" s="236">
        <f t="shared" si="10"/>
        <v>0</v>
      </c>
      <c r="AI25" s="235"/>
      <c r="AJ25" s="235"/>
      <c r="AK25" s="236">
        <f t="shared" si="11"/>
        <v>0</v>
      </c>
    </row>
    <row r="26" spans="1:37" hidden="1">
      <c r="A26" s="234" t="s">
        <v>374</v>
      </c>
      <c r="B26" s="235"/>
      <c r="C26" s="235"/>
      <c r="D26" s="236">
        <f t="shared" si="0"/>
        <v>0</v>
      </c>
      <c r="E26" s="235"/>
      <c r="F26" s="235"/>
      <c r="G26" s="236">
        <f t="shared" si="1"/>
        <v>0</v>
      </c>
      <c r="H26" s="235"/>
      <c r="I26" s="235"/>
      <c r="J26" s="236">
        <f t="shared" si="2"/>
        <v>0</v>
      </c>
      <c r="K26" s="235"/>
      <c r="L26" s="235"/>
      <c r="M26" s="236">
        <f t="shared" si="3"/>
        <v>0</v>
      </c>
      <c r="N26" s="235"/>
      <c r="O26" s="235"/>
      <c r="P26" s="236">
        <f t="shared" si="4"/>
        <v>0</v>
      </c>
      <c r="Q26" s="235"/>
      <c r="R26" s="235"/>
      <c r="S26" s="236">
        <f t="shared" si="5"/>
        <v>0</v>
      </c>
      <c r="T26" s="235"/>
      <c r="U26" s="235"/>
      <c r="V26" s="236">
        <f t="shared" si="6"/>
        <v>0</v>
      </c>
      <c r="W26" s="235"/>
      <c r="X26" s="235"/>
      <c r="Y26" s="236">
        <f t="shared" si="7"/>
        <v>0</v>
      </c>
      <c r="Z26" s="235"/>
      <c r="AA26" s="235"/>
      <c r="AB26" s="236">
        <f t="shared" si="8"/>
        <v>0</v>
      </c>
      <c r="AC26" s="235"/>
      <c r="AD26" s="235"/>
      <c r="AE26" s="236">
        <f t="shared" si="9"/>
        <v>0</v>
      </c>
      <c r="AF26" s="235"/>
      <c r="AG26" s="235"/>
      <c r="AH26" s="236">
        <f t="shared" si="10"/>
        <v>0</v>
      </c>
      <c r="AI26" s="235"/>
      <c r="AJ26" s="235"/>
      <c r="AK26" s="236">
        <f t="shared" si="11"/>
        <v>0</v>
      </c>
    </row>
    <row r="27" spans="1:37" hidden="1">
      <c r="A27" s="234" t="s">
        <v>375</v>
      </c>
      <c r="B27" s="235"/>
      <c r="C27" s="235"/>
      <c r="D27" s="236">
        <f t="shared" si="0"/>
        <v>0</v>
      </c>
      <c r="E27" s="235"/>
      <c r="F27" s="235"/>
      <c r="G27" s="236">
        <f t="shared" si="1"/>
        <v>0</v>
      </c>
      <c r="H27" s="235"/>
      <c r="I27" s="235"/>
      <c r="J27" s="236">
        <f t="shared" si="2"/>
        <v>0</v>
      </c>
      <c r="K27" s="235"/>
      <c r="L27" s="235"/>
      <c r="M27" s="236">
        <f t="shared" si="3"/>
        <v>0</v>
      </c>
      <c r="N27" s="235"/>
      <c r="O27" s="235"/>
      <c r="P27" s="236">
        <f t="shared" si="4"/>
        <v>0</v>
      </c>
      <c r="Q27" s="235"/>
      <c r="R27" s="235"/>
      <c r="S27" s="236">
        <f t="shared" si="5"/>
        <v>0</v>
      </c>
      <c r="T27" s="235"/>
      <c r="U27" s="235"/>
      <c r="V27" s="236">
        <f t="shared" si="6"/>
        <v>0</v>
      </c>
      <c r="W27" s="235"/>
      <c r="X27" s="235"/>
      <c r="Y27" s="236">
        <f t="shared" si="7"/>
        <v>0</v>
      </c>
      <c r="Z27" s="235"/>
      <c r="AA27" s="235"/>
      <c r="AB27" s="236">
        <f t="shared" si="8"/>
        <v>0</v>
      </c>
      <c r="AC27" s="235"/>
      <c r="AD27" s="235"/>
      <c r="AE27" s="236">
        <f t="shared" si="9"/>
        <v>0</v>
      </c>
      <c r="AF27" s="235"/>
      <c r="AG27" s="235"/>
      <c r="AH27" s="236">
        <f t="shared" si="10"/>
        <v>0</v>
      </c>
      <c r="AI27" s="235"/>
      <c r="AJ27" s="235"/>
      <c r="AK27" s="236">
        <f t="shared" si="11"/>
        <v>0</v>
      </c>
    </row>
    <row r="28" spans="1:37">
      <c r="A28" s="320" t="s">
        <v>376</v>
      </c>
      <c r="B28" s="235">
        <v>184</v>
      </c>
      <c r="C28" s="235">
        <v>48</v>
      </c>
      <c r="D28" s="236">
        <f t="shared" si="0"/>
        <v>8832</v>
      </c>
      <c r="E28" s="235">
        <v>182</v>
      </c>
      <c r="F28" s="235">
        <v>48</v>
      </c>
      <c r="G28" s="236">
        <f t="shared" si="1"/>
        <v>8736</v>
      </c>
      <c r="H28" s="235">
        <v>184</v>
      </c>
      <c r="I28" s="235">
        <v>48</v>
      </c>
      <c r="J28" s="236">
        <f t="shared" si="2"/>
        <v>8832</v>
      </c>
      <c r="K28" s="235">
        <v>184</v>
      </c>
      <c r="L28" s="235">
        <v>48</v>
      </c>
      <c r="M28" s="236">
        <f t="shared" si="3"/>
        <v>8832</v>
      </c>
      <c r="N28" s="235">
        <v>183</v>
      </c>
      <c r="O28" s="235">
        <v>48</v>
      </c>
      <c r="P28" s="236">
        <f t="shared" si="4"/>
        <v>8784</v>
      </c>
      <c r="Q28" s="235">
        <v>184</v>
      </c>
      <c r="R28" s="235">
        <v>48</v>
      </c>
      <c r="S28" s="236">
        <f t="shared" si="5"/>
        <v>8832</v>
      </c>
      <c r="T28" s="235">
        <v>184</v>
      </c>
      <c r="U28" s="235">
        <v>48</v>
      </c>
      <c r="V28" s="236">
        <f t="shared" si="6"/>
        <v>8832</v>
      </c>
      <c r="W28" s="235">
        <v>184</v>
      </c>
      <c r="X28" s="235">
        <v>48</v>
      </c>
      <c r="Y28" s="236">
        <f t="shared" si="7"/>
        <v>8832</v>
      </c>
      <c r="Z28" s="235">
        <v>184</v>
      </c>
      <c r="AA28" s="235">
        <v>48</v>
      </c>
      <c r="AB28" s="236">
        <f t="shared" si="8"/>
        <v>8832</v>
      </c>
      <c r="AC28" s="235">
        <v>184</v>
      </c>
      <c r="AD28" s="235">
        <v>48</v>
      </c>
      <c r="AE28" s="236">
        <f t="shared" si="9"/>
        <v>8832</v>
      </c>
      <c r="AF28" s="235">
        <v>184</v>
      </c>
      <c r="AG28" s="235">
        <v>48</v>
      </c>
      <c r="AH28" s="236">
        <f t="shared" si="10"/>
        <v>8832</v>
      </c>
      <c r="AI28" s="235">
        <v>184</v>
      </c>
      <c r="AJ28" s="235">
        <v>48</v>
      </c>
      <c r="AK28" s="236">
        <f t="shared" si="11"/>
        <v>8832</v>
      </c>
    </row>
    <row r="29" spans="1:37" hidden="1">
      <c r="A29" s="234" t="s">
        <v>377</v>
      </c>
      <c r="B29" s="235"/>
      <c r="C29" s="235"/>
      <c r="D29" s="236">
        <f t="shared" si="0"/>
        <v>0</v>
      </c>
      <c r="E29" s="235"/>
      <c r="F29" s="235"/>
      <c r="G29" s="236">
        <f t="shared" si="1"/>
        <v>0</v>
      </c>
      <c r="H29" s="235"/>
      <c r="I29" s="235"/>
      <c r="J29" s="236">
        <f t="shared" si="2"/>
        <v>0</v>
      </c>
      <c r="K29" s="235"/>
      <c r="L29" s="235"/>
      <c r="M29" s="236">
        <f t="shared" si="3"/>
        <v>0</v>
      </c>
      <c r="N29" s="235"/>
      <c r="O29" s="235"/>
      <c r="P29" s="236">
        <f t="shared" si="4"/>
        <v>0</v>
      </c>
      <c r="Q29" s="235"/>
      <c r="R29" s="235"/>
      <c r="S29" s="236">
        <f t="shared" si="5"/>
        <v>0</v>
      </c>
      <c r="T29" s="235"/>
      <c r="U29" s="235"/>
      <c r="V29" s="236">
        <f t="shared" si="6"/>
        <v>0</v>
      </c>
      <c r="W29" s="235"/>
      <c r="X29" s="235"/>
      <c r="Y29" s="236">
        <f t="shared" si="7"/>
        <v>0</v>
      </c>
      <c r="Z29" s="235"/>
      <c r="AA29" s="235"/>
      <c r="AB29" s="236">
        <f t="shared" si="8"/>
        <v>0</v>
      </c>
      <c r="AC29" s="235"/>
      <c r="AD29" s="235"/>
      <c r="AE29" s="236">
        <f t="shared" si="9"/>
        <v>0</v>
      </c>
      <c r="AF29" s="235"/>
      <c r="AG29" s="235"/>
      <c r="AH29" s="236">
        <f t="shared" si="10"/>
        <v>0</v>
      </c>
      <c r="AI29" s="235"/>
      <c r="AJ29" s="235"/>
      <c r="AK29" s="236">
        <f t="shared" si="11"/>
        <v>0</v>
      </c>
    </row>
    <row r="30" spans="1:37">
      <c r="A30" s="320" t="s">
        <v>378</v>
      </c>
      <c r="B30" s="235">
        <v>824</v>
      </c>
      <c r="C30" s="235">
        <v>6.33</v>
      </c>
      <c r="D30" s="236">
        <f t="shared" si="0"/>
        <v>5215.92</v>
      </c>
      <c r="E30" s="235">
        <v>824</v>
      </c>
      <c r="F30" s="235">
        <v>6.33</v>
      </c>
      <c r="G30" s="236">
        <f t="shared" si="1"/>
        <v>5215.92</v>
      </c>
      <c r="H30" s="235">
        <v>935</v>
      </c>
      <c r="I30" s="235">
        <v>6.33</v>
      </c>
      <c r="J30" s="236">
        <f t="shared" si="2"/>
        <v>5918.55</v>
      </c>
      <c r="K30" s="235">
        <v>936</v>
      </c>
      <c r="L30" s="235">
        <v>6.33</v>
      </c>
      <c r="M30" s="236">
        <f t="shared" si="3"/>
        <v>5924.88</v>
      </c>
      <c r="N30" s="235">
        <v>936</v>
      </c>
      <c r="O30" s="235">
        <v>6.33</v>
      </c>
      <c r="P30" s="236">
        <f t="shared" si="4"/>
        <v>5924.88</v>
      </c>
      <c r="Q30" s="235">
        <v>936</v>
      </c>
      <c r="R30" s="235">
        <v>6.33</v>
      </c>
      <c r="S30" s="236">
        <f t="shared" si="5"/>
        <v>5924.88</v>
      </c>
      <c r="T30" s="235">
        <v>936</v>
      </c>
      <c r="U30" s="235">
        <v>6.33</v>
      </c>
      <c r="V30" s="236">
        <f t="shared" si="6"/>
        <v>5924.88</v>
      </c>
      <c r="W30" s="235">
        <v>936</v>
      </c>
      <c r="X30" s="235">
        <v>6.33</v>
      </c>
      <c r="Y30" s="236">
        <f t="shared" si="7"/>
        <v>5924.88</v>
      </c>
      <c r="Z30" s="235">
        <v>936</v>
      </c>
      <c r="AA30" s="235">
        <v>6.33</v>
      </c>
      <c r="AB30" s="236">
        <f t="shared" si="8"/>
        <v>5924.88</v>
      </c>
      <c r="AC30" s="235">
        <v>936</v>
      </c>
      <c r="AD30" s="235">
        <v>6.33</v>
      </c>
      <c r="AE30" s="236">
        <f t="shared" si="9"/>
        <v>5924.88</v>
      </c>
      <c r="AF30" s="235">
        <v>936</v>
      </c>
      <c r="AG30" s="235">
        <v>6.33</v>
      </c>
      <c r="AH30" s="236">
        <f t="shared" si="10"/>
        <v>5924.88</v>
      </c>
      <c r="AI30" s="235">
        <v>936</v>
      </c>
      <c r="AJ30" s="235">
        <v>6.33</v>
      </c>
      <c r="AK30" s="236">
        <f t="shared" si="11"/>
        <v>5924.88</v>
      </c>
    </row>
    <row r="31" spans="1:37" hidden="1">
      <c r="A31" s="234" t="s">
        <v>379</v>
      </c>
      <c r="B31" s="235"/>
      <c r="C31" s="235"/>
      <c r="D31" s="236">
        <f t="shared" si="0"/>
        <v>0</v>
      </c>
      <c r="E31" s="235"/>
      <c r="F31" s="235"/>
      <c r="G31" s="236">
        <f t="shared" si="1"/>
        <v>0</v>
      </c>
      <c r="H31" s="235"/>
      <c r="I31" s="235"/>
      <c r="J31" s="236">
        <f t="shared" si="2"/>
        <v>0</v>
      </c>
      <c r="K31" s="235"/>
      <c r="L31" s="235"/>
      <c r="M31" s="236">
        <f t="shared" si="3"/>
        <v>0</v>
      </c>
      <c r="N31" s="235"/>
      <c r="O31" s="235"/>
      <c r="P31" s="236">
        <f t="shared" si="4"/>
        <v>0</v>
      </c>
      <c r="Q31" s="235"/>
      <c r="R31" s="235"/>
      <c r="S31" s="236">
        <f t="shared" si="5"/>
        <v>0</v>
      </c>
      <c r="T31" s="235"/>
      <c r="U31" s="235"/>
      <c r="V31" s="236">
        <f t="shared" si="6"/>
        <v>0</v>
      </c>
      <c r="W31" s="235"/>
      <c r="X31" s="235"/>
      <c r="Y31" s="236">
        <f t="shared" si="7"/>
        <v>0</v>
      </c>
      <c r="Z31" s="235"/>
      <c r="AA31" s="235"/>
      <c r="AB31" s="236">
        <f t="shared" si="8"/>
        <v>0</v>
      </c>
      <c r="AC31" s="235"/>
      <c r="AD31" s="235"/>
      <c r="AE31" s="236">
        <f t="shared" si="9"/>
        <v>0</v>
      </c>
      <c r="AF31" s="235"/>
      <c r="AG31" s="235"/>
      <c r="AH31" s="236">
        <f t="shared" si="10"/>
        <v>0</v>
      </c>
      <c r="AI31" s="235"/>
      <c r="AJ31" s="235"/>
      <c r="AK31" s="236">
        <f t="shared" si="11"/>
        <v>0</v>
      </c>
    </row>
    <row r="32" spans="1:37" hidden="1">
      <c r="A32" s="234" t="s">
        <v>380</v>
      </c>
      <c r="B32" s="235"/>
      <c r="C32" s="235"/>
      <c r="D32" s="236">
        <f t="shared" si="0"/>
        <v>0</v>
      </c>
      <c r="E32" s="235"/>
      <c r="F32" s="235"/>
      <c r="G32" s="236">
        <f t="shared" si="1"/>
        <v>0</v>
      </c>
      <c r="H32" s="235"/>
      <c r="I32" s="235"/>
      <c r="J32" s="236">
        <f t="shared" si="2"/>
        <v>0</v>
      </c>
      <c r="K32" s="235"/>
      <c r="L32" s="235"/>
      <c r="M32" s="236">
        <f t="shared" si="3"/>
        <v>0</v>
      </c>
      <c r="N32" s="235"/>
      <c r="O32" s="235"/>
      <c r="P32" s="236">
        <f t="shared" si="4"/>
        <v>0</v>
      </c>
      <c r="Q32" s="235"/>
      <c r="R32" s="235"/>
      <c r="S32" s="236">
        <f t="shared" si="5"/>
        <v>0</v>
      </c>
      <c r="T32" s="235"/>
      <c r="U32" s="235"/>
      <c r="V32" s="236">
        <f t="shared" si="6"/>
        <v>0</v>
      </c>
      <c r="W32" s="235"/>
      <c r="X32" s="235"/>
      <c r="Y32" s="236">
        <f t="shared" si="7"/>
        <v>0</v>
      </c>
      <c r="Z32" s="235"/>
      <c r="AA32" s="235"/>
      <c r="AB32" s="236">
        <f t="shared" si="8"/>
        <v>0</v>
      </c>
      <c r="AC32" s="235"/>
      <c r="AD32" s="235"/>
      <c r="AE32" s="236">
        <f t="shared" si="9"/>
        <v>0</v>
      </c>
      <c r="AF32" s="235"/>
      <c r="AG32" s="235"/>
      <c r="AH32" s="236">
        <f t="shared" si="10"/>
        <v>0</v>
      </c>
      <c r="AI32" s="235"/>
      <c r="AJ32" s="235"/>
      <c r="AK32" s="236">
        <f t="shared" si="11"/>
        <v>0</v>
      </c>
    </row>
    <row r="33" spans="1:37" hidden="1">
      <c r="A33" s="234" t="s">
        <v>381</v>
      </c>
      <c r="B33" s="235"/>
      <c r="C33" s="235"/>
      <c r="D33" s="236">
        <f t="shared" si="0"/>
        <v>0</v>
      </c>
      <c r="E33" s="235"/>
      <c r="F33" s="235"/>
      <c r="G33" s="236">
        <f t="shared" si="1"/>
        <v>0</v>
      </c>
      <c r="H33" s="235"/>
      <c r="I33" s="235"/>
      <c r="J33" s="236">
        <f t="shared" si="2"/>
        <v>0</v>
      </c>
      <c r="K33" s="235"/>
      <c r="L33" s="235"/>
      <c r="M33" s="236">
        <f t="shared" si="3"/>
        <v>0</v>
      </c>
      <c r="N33" s="235"/>
      <c r="O33" s="235"/>
      <c r="P33" s="236">
        <f t="shared" si="4"/>
        <v>0</v>
      </c>
      <c r="Q33" s="235"/>
      <c r="R33" s="235"/>
      <c r="S33" s="236">
        <f t="shared" si="5"/>
        <v>0</v>
      </c>
      <c r="T33" s="235"/>
      <c r="U33" s="235"/>
      <c r="V33" s="236">
        <f t="shared" si="6"/>
        <v>0</v>
      </c>
      <c r="W33" s="235"/>
      <c r="X33" s="235"/>
      <c r="Y33" s="236">
        <f t="shared" si="7"/>
        <v>0</v>
      </c>
      <c r="Z33" s="235"/>
      <c r="AA33" s="235"/>
      <c r="AB33" s="236">
        <f t="shared" si="8"/>
        <v>0</v>
      </c>
      <c r="AC33" s="235"/>
      <c r="AD33" s="235"/>
      <c r="AE33" s="236">
        <f t="shared" si="9"/>
        <v>0</v>
      </c>
      <c r="AF33" s="235"/>
      <c r="AG33" s="235"/>
      <c r="AH33" s="236">
        <f t="shared" si="10"/>
        <v>0</v>
      </c>
      <c r="AI33" s="235"/>
      <c r="AJ33" s="235"/>
      <c r="AK33" s="236">
        <f t="shared" si="11"/>
        <v>0</v>
      </c>
    </row>
    <row r="34" spans="1:37" hidden="1">
      <c r="A34" s="234" t="s">
        <v>382</v>
      </c>
      <c r="B34" s="235"/>
      <c r="C34" s="235"/>
      <c r="D34" s="236">
        <f t="shared" si="0"/>
        <v>0</v>
      </c>
      <c r="E34" s="235"/>
      <c r="F34" s="235"/>
      <c r="G34" s="236">
        <f t="shared" si="1"/>
        <v>0</v>
      </c>
      <c r="H34" s="235"/>
      <c r="I34" s="235"/>
      <c r="J34" s="236">
        <f t="shared" si="2"/>
        <v>0</v>
      </c>
      <c r="K34" s="235"/>
      <c r="L34" s="235"/>
      <c r="M34" s="236">
        <f t="shared" si="3"/>
        <v>0</v>
      </c>
      <c r="N34" s="235"/>
      <c r="O34" s="235"/>
      <c r="P34" s="236">
        <f t="shared" si="4"/>
        <v>0</v>
      </c>
      <c r="Q34" s="235"/>
      <c r="R34" s="235"/>
      <c r="S34" s="236">
        <f t="shared" si="5"/>
        <v>0</v>
      </c>
      <c r="T34" s="235"/>
      <c r="U34" s="235"/>
      <c r="V34" s="236">
        <f t="shared" si="6"/>
        <v>0</v>
      </c>
      <c r="W34" s="235"/>
      <c r="X34" s="235"/>
      <c r="Y34" s="236">
        <f t="shared" si="7"/>
        <v>0</v>
      </c>
      <c r="Z34" s="235"/>
      <c r="AA34" s="235"/>
      <c r="AB34" s="236">
        <f t="shared" si="8"/>
        <v>0</v>
      </c>
      <c r="AC34" s="235"/>
      <c r="AD34" s="235"/>
      <c r="AE34" s="236">
        <f t="shared" si="9"/>
        <v>0</v>
      </c>
      <c r="AF34" s="235"/>
      <c r="AG34" s="235"/>
      <c r="AH34" s="236">
        <f t="shared" si="10"/>
        <v>0</v>
      </c>
      <c r="AI34" s="235"/>
      <c r="AJ34" s="235"/>
      <c r="AK34" s="236">
        <f t="shared" si="11"/>
        <v>0</v>
      </c>
    </row>
    <row r="35" spans="1:37" hidden="1">
      <c r="A35" s="234" t="s">
        <v>383</v>
      </c>
      <c r="B35" s="235"/>
      <c r="C35" s="235"/>
      <c r="D35" s="236">
        <f t="shared" si="0"/>
        <v>0</v>
      </c>
      <c r="E35" s="235"/>
      <c r="F35" s="235"/>
      <c r="G35" s="236">
        <f t="shared" si="1"/>
        <v>0</v>
      </c>
      <c r="H35" s="235"/>
      <c r="I35" s="235"/>
      <c r="J35" s="236">
        <f t="shared" si="2"/>
        <v>0</v>
      </c>
      <c r="K35" s="235"/>
      <c r="L35" s="235"/>
      <c r="M35" s="236">
        <f t="shared" si="3"/>
        <v>0</v>
      </c>
      <c r="N35" s="235"/>
      <c r="O35" s="235"/>
      <c r="P35" s="236">
        <f t="shared" si="4"/>
        <v>0</v>
      </c>
      <c r="Q35" s="235"/>
      <c r="R35" s="235"/>
      <c r="S35" s="236">
        <f t="shared" si="5"/>
        <v>0</v>
      </c>
      <c r="T35" s="235"/>
      <c r="U35" s="235"/>
      <c r="V35" s="236">
        <f t="shared" si="6"/>
        <v>0</v>
      </c>
      <c r="W35" s="235"/>
      <c r="X35" s="235"/>
      <c r="Y35" s="236">
        <f t="shared" si="7"/>
        <v>0</v>
      </c>
      <c r="Z35" s="235"/>
      <c r="AA35" s="235"/>
      <c r="AB35" s="236">
        <f t="shared" si="8"/>
        <v>0</v>
      </c>
      <c r="AC35" s="235"/>
      <c r="AD35" s="235"/>
      <c r="AE35" s="236">
        <f t="shared" si="9"/>
        <v>0</v>
      </c>
      <c r="AF35" s="235"/>
      <c r="AG35" s="235"/>
      <c r="AH35" s="236">
        <f t="shared" si="10"/>
        <v>0</v>
      </c>
      <c r="AI35" s="235"/>
      <c r="AJ35" s="235"/>
      <c r="AK35" s="236">
        <f t="shared" si="11"/>
        <v>0</v>
      </c>
    </row>
    <row r="36" spans="1:37" hidden="1">
      <c r="A36" s="234" t="s">
        <v>384</v>
      </c>
      <c r="B36" s="235"/>
      <c r="C36" s="235"/>
      <c r="D36" s="236">
        <f t="shared" si="0"/>
        <v>0</v>
      </c>
      <c r="E36" s="235"/>
      <c r="F36" s="235"/>
      <c r="G36" s="236">
        <f t="shared" si="1"/>
        <v>0</v>
      </c>
      <c r="H36" s="235"/>
      <c r="I36" s="235"/>
      <c r="J36" s="236">
        <f t="shared" si="2"/>
        <v>0</v>
      </c>
      <c r="K36" s="235"/>
      <c r="L36" s="235"/>
      <c r="M36" s="236">
        <f t="shared" si="3"/>
        <v>0</v>
      </c>
      <c r="N36" s="235"/>
      <c r="O36" s="235"/>
      <c r="P36" s="236">
        <f t="shared" si="4"/>
        <v>0</v>
      </c>
      <c r="Q36" s="235"/>
      <c r="R36" s="235"/>
      <c r="S36" s="236">
        <f t="shared" si="5"/>
        <v>0</v>
      </c>
      <c r="T36" s="235"/>
      <c r="U36" s="235"/>
      <c r="V36" s="236">
        <f t="shared" si="6"/>
        <v>0</v>
      </c>
      <c r="W36" s="235"/>
      <c r="X36" s="235"/>
      <c r="Y36" s="236">
        <f t="shared" si="7"/>
        <v>0</v>
      </c>
      <c r="Z36" s="235"/>
      <c r="AA36" s="235"/>
      <c r="AB36" s="236">
        <f t="shared" si="8"/>
        <v>0</v>
      </c>
      <c r="AC36" s="235"/>
      <c r="AD36" s="235"/>
      <c r="AE36" s="236">
        <f t="shared" si="9"/>
        <v>0</v>
      </c>
      <c r="AF36" s="235"/>
      <c r="AG36" s="235"/>
      <c r="AH36" s="236">
        <f t="shared" si="10"/>
        <v>0</v>
      </c>
      <c r="AI36" s="235"/>
      <c r="AJ36" s="235"/>
      <c r="AK36" s="236">
        <f t="shared" si="11"/>
        <v>0</v>
      </c>
    </row>
    <row r="37" spans="1:37" hidden="1">
      <c r="A37" s="234" t="s">
        <v>385</v>
      </c>
      <c r="B37" s="235"/>
      <c r="C37" s="235"/>
      <c r="D37" s="236">
        <f t="shared" si="0"/>
        <v>0</v>
      </c>
      <c r="E37" s="235"/>
      <c r="F37" s="235"/>
      <c r="G37" s="236">
        <f t="shared" si="1"/>
        <v>0</v>
      </c>
      <c r="H37" s="235"/>
      <c r="I37" s="235"/>
      <c r="J37" s="236">
        <f t="shared" si="2"/>
        <v>0</v>
      </c>
      <c r="K37" s="235"/>
      <c r="L37" s="235"/>
      <c r="M37" s="236">
        <f t="shared" si="3"/>
        <v>0</v>
      </c>
      <c r="N37" s="235"/>
      <c r="O37" s="235"/>
      <c r="P37" s="236">
        <f t="shared" si="4"/>
        <v>0</v>
      </c>
      <c r="Q37" s="235"/>
      <c r="R37" s="235"/>
      <c r="S37" s="236">
        <f t="shared" si="5"/>
        <v>0</v>
      </c>
      <c r="T37" s="235"/>
      <c r="U37" s="235"/>
      <c r="V37" s="236">
        <f t="shared" si="6"/>
        <v>0</v>
      </c>
      <c r="W37" s="235"/>
      <c r="X37" s="235"/>
      <c r="Y37" s="236">
        <f t="shared" si="7"/>
        <v>0</v>
      </c>
      <c r="Z37" s="235"/>
      <c r="AA37" s="235"/>
      <c r="AB37" s="236">
        <f t="shared" si="8"/>
        <v>0</v>
      </c>
      <c r="AC37" s="235"/>
      <c r="AD37" s="235"/>
      <c r="AE37" s="236">
        <f t="shared" si="9"/>
        <v>0</v>
      </c>
      <c r="AF37" s="235"/>
      <c r="AG37" s="235"/>
      <c r="AH37" s="236">
        <f t="shared" si="10"/>
        <v>0</v>
      </c>
      <c r="AI37" s="235"/>
      <c r="AJ37" s="235"/>
      <c r="AK37" s="236">
        <f t="shared" si="11"/>
        <v>0</v>
      </c>
    </row>
    <row r="38" spans="1:37" hidden="1">
      <c r="A38" s="234" t="s">
        <v>386</v>
      </c>
      <c r="B38" s="235"/>
      <c r="C38" s="235"/>
      <c r="D38" s="236">
        <f t="shared" si="0"/>
        <v>0</v>
      </c>
      <c r="E38" s="235"/>
      <c r="F38" s="235"/>
      <c r="G38" s="236">
        <f t="shared" si="1"/>
        <v>0</v>
      </c>
      <c r="H38" s="235"/>
      <c r="I38" s="235"/>
      <c r="J38" s="236">
        <f t="shared" si="2"/>
        <v>0</v>
      </c>
      <c r="K38" s="235"/>
      <c r="L38" s="235"/>
      <c r="M38" s="236">
        <f t="shared" si="3"/>
        <v>0</v>
      </c>
      <c r="N38" s="235"/>
      <c r="O38" s="235"/>
      <c r="P38" s="236">
        <f t="shared" si="4"/>
        <v>0</v>
      </c>
      <c r="Q38" s="235"/>
      <c r="R38" s="235"/>
      <c r="S38" s="236">
        <f t="shared" si="5"/>
        <v>0</v>
      </c>
      <c r="T38" s="235"/>
      <c r="U38" s="235"/>
      <c r="V38" s="236">
        <f t="shared" si="6"/>
        <v>0</v>
      </c>
      <c r="W38" s="235"/>
      <c r="X38" s="235"/>
      <c r="Y38" s="236">
        <f t="shared" si="7"/>
        <v>0</v>
      </c>
      <c r="Z38" s="235"/>
      <c r="AA38" s="235"/>
      <c r="AB38" s="236">
        <f t="shared" si="8"/>
        <v>0</v>
      </c>
      <c r="AC38" s="235"/>
      <c r="AD38" s="235"/>
      <c r="AE38" s="236">
        <f t="shared" si="9"/>
        <v>0</v>
      </c>
      <c r="AF38" s="235"/>
      <c r="AG38" s="235"/>
      <c r="AH38" s="236">
        <f t="shared" si="10"/>
        <v>0</v>
      </c>
      <c r="AI38" s="235"/>
      <c r="AJ38" s="235"/>
      <c r="AK38" s="236">
        <f t="shared" si="11"/>
        <v>0</v>
      </c>
    </row>
    <row r="39" spans="1:37" hidden="1">
      <c r="A39" s="234" t="s">
        <v>387</v>
      </c>
      <c r="B39" s="235"/>
      <c r="C39" s="235"/>
      <c r="D39" s="236">
        <f t="shared" si="0"/>
        <v>0</v>
      </c>
      <c r="E39" s="235"/>
      <c r="F39" s="235"/>
      <c r="G39" s="236">
        <f t="shared" si="1"/>
        <v>0</v>
      </c>
      <c r="H39" s="235"/>
      <c r="I39" s="235"/>
      <c r="J39" s="236">
        <f t="shared" si="2"/>
        <v>0</v>
      </c>
      <c r="K39" s="235"/>
      <c r="L39" s="235"/>
      <c r="M39" s="236">
        <f t="shared" si="3"/>
        <v>0</v>
      </c>
      <c r="N39" s="235"/>
      <c r="O39" s="235"/>
      <c r="P39" s="236">
        <f t="shared" si="4"/>
        <v>0</v>
      </c>
      <c r="Q39" s="235"/>
      <c r="R39" s="235"/>
      <c r="S39" s="236">
        <f t="shared" si="5"/>
        <v>0</v>
      </c>
      <c r="T39" s="235"/>
      <c r="U39" s="235"/>
      <c r="V39" s="236">
        <f t="shared" si="6"/>
        <v>0</v>
      </c>
      <c r="W39" s="235"/>
      <c r="X39" s="235"/>
      <c r="Y39" s="236">
        <f t="shared" si="7"/>
        <v>0</v>
      </c>
      <c r="Z39" s="235"/>
      <c r="AA39" s="235"/>
      <c r="AB39" s="236">
        <f t="shared" si="8"/>
        <v>0</v>
      </c>
      <c r="AC39" s="235"/>
      <c r="AD39" s="235"/>
      <c r="AE39" s="236">
        <f t="shared" si="9"/>
        <v>0</v>
      </c>
      <c r="AF39" s="235"/>
      <c r="AG39" s="235"/>
      <c r="AH39" s="236">
        <f t="shared" si="10"/>
        <v>0</v>
      </c>
      <c r="AI39" s="235"/>
      <c r="AJ39" s="235"/>
      <c r="AK39" s="236">
        <f t="shared" si="11"/>
        <v>0</v>
      </c>
    </row>
    <row r="40" spans="1:37" hidden="1">
      <c r="A40" s="234" t="s">
        <v>388</v>
      </c>
      <c r="B40" s="235"/>
      <c r="C40" s="235"/>
      <c r="D40" s="236">
        <f t="shared" si="0"/>
        <v>0</v>
      </c>
      <c r="E40" s="235"/>
      <c r="F40" s="235"/>
      <c r="G40" s="236">
        <f t="shared" si="1"/>
        <v>0</v>
      </c>
      <c r="H40" s="235"/>
      <c r="I40" s="235"/>
      <c r="J40" s="236">
        <f t="shared" si="2"/>
        <v>0</v>
      </c>
      <c r="K40" s="235"/>
      <c r="L40" s="235"/>
      <c r="M40" s="236">
        <f t="shared" si="3"/>
        <v>0</v>
      </c>
      <c r="N40" s="235"/>
      <c r="O40" s="235"/>
      <c r="P40" s="236">
        <f t="shared" si="4"/>
        <v>0</v>
      </c>
      <c r="Q40" s="235"/>
      <c r="R40" s="235"/>
      <c r="S40" s="236">
        <f t="shared" si="5"/>
        <v>0</v>
      </c>
      <c r="T40" s="235"/>
      <c r="U40" s="235"/>
      <c r="V40" s="236">
        <f t="shared" si="6"/>
        <v>0</v>
      </c>
      <c r="W40" s="235"/>
      <c r="X40" s="235"/>
      <c r="Y40" s="236">
        <f t="shared" si="7"/>
        <v>0</v>
      </c>
      <c r="Z40" s="235"/>
      <c r="AA40" s="235"/>
      <c r="AB40" s="236">
        <f t="shared" si="8"/>
        <v>0</v>
      </c>
      <c r="AC40" s="235"/>
      <c r="AD40" s="235"/>
      <c r="AE40" s="236">
        <f t="shared" si="9"/>
        <v>0</v>
      </c>
      <c r="AF40" s="235"/>
      <c r="AG40" s="235"/>
      <c r="AH40" s="236">
        <f t="shared" si="10"/>
        <v>0</v>
      </c>
      <c r="AI40" s="235"/>
      <c r="AJ40" s="235"/>
      <c r="AK40" s="236">
        <f t="shared" si="11"/>
        <v>0</v>
      </c>
    </row>
    <row r="41" spans="1:37" hidden="1">
      <c r="A41" s="234" t="s">
        <v>389</v>
      </c>
      <c r="B41" s="235"/>
      <c r="C41" s="235"/>
      <c r="D41" s="236">
        <f t="shared" si="0"/>
        <v>0</v>
      </c>
      <c r="E41" s="235"/>
      <c r="F41" s="235"/>
      <c r="G41" s="236">
        <f t="shared" si="1"/>
        <v>0</v>
      </c>
      <c r="H41" s="235"/>
      <c r="I41" s="235"/>
      <c r="J41" s="236">
        <f t="shared" si="2"/>
        <v>0</v>
      </c>
      <c r="K41" s="235"/>
      <c r="L41" s="235"/>
      <c r="M41" s="236">
        <f t="shared" si="3"/>
        <v>0</v>
      </c>
      <c r="N41" s="235"/>
      <c r="O41" s="235"/>
      <c r="P41" s="236">
        <f t="shared" si="4"/>
        <v>0</v>
      </c>
      <c r="Q41" s="235"/>
      <c r="R41" s="235"/>
      <c r="S41" s="236">
        <f t="shared" si="5"/>
        <v>0</v>
      </c>
      <c r="T41" s="235"/>
      <c r="U41" s="235"/>
      <c r="V41" s="236">
        <f t="shared" si="6"/>
        <v>0</v>
      </c>
      <c r="W41" s="235"/>
      <c r="X41" s="235"/>
      <c r="Y41" s="236">
        <f t="shared" si="7"/>
        <v>0</v>
      </c>
      <c r="Z41" s="235"/>
      <c r="AA41" s="235"/>
      <c r="AB41" s="236">
        <f t="shared" si="8"/>
        <v>0</v>
      </c>
      <c r="AC41" s="235"/>
      <c r="AD41" s="235"/>
      <c r="AE41" s="236">
        <f t="shared" si="9"/>
        <v>0</v>
      </c>
      <c r="AF41" s="235"/>
      <c r="AG41" s="235"/>
      <c r="AH41" s="236">
        <f t="shared" si="10"/>
        <v>0</v>
      </c>
      <c r="AI41" s="235"/>
      <c r="AJ41" s="235"/>
      <c r="AK41" s="236">
        <f t="shared" si="11"/>
        <v>0</v>
      </c>
    </row>
    <row r="42" spans="1:37" hidden="1">
      <c r="A42" s="234" t="s">
        <v>390</v>
      </c>
      <c r="B42" s="235"/>
      <c r="C42" s="235"/>
      <c r="D42" s="236">
        <f t="shared" si="0"/>
        <v>0</v>
      </c>
      <c r="E42" s="235"/>
      <c r="F42" s="235"/>
      <c r="G42" s="236">
        <f t="shared" si="1"/>
        <v>0</v>
      </c>
      <c r="H42" s="235"/>
      <c r="I42" s="235"/>
      <c r="J42" s="236">
        <f t="shared" si="2"/>
        <v>0</v>
      </c>
      <c r="K42" s="235"/>
      <c r="L42" s="235"/>
      <c r="M42" s="236">
        <f t="shared" si="3"/>
        <v>0</v>
      </c>
      <c r="N42" s="235"/>
      <c r="O42" s="235"/>
      <c r="P42" s="236">
        <f t="shared" si="4"/>
        <v>0</v>
      </c>
      <c r="Q42" s="235"/>
      <c r="R42" s="235"/>
      <c r="S42" s="236">
        <f t="shared" si="5"/>
        <v>0</v>
      </c>
      <c r="T42" s="235"/>
      <c r="U42" s="235"/>
      <c r="V42" s="236">
        <f t="shared" si="6"/>
        <v>0</v>
      </c>
      <c r="W42" s="235"/>
      <c r="X42" s="235"/>
      <c r="Y42" s="236">
        <f t="shared" si="7"/>
        <v>0</v>
      </c>
      <c r="Z42" s="235"/>
      <c r="AA42" s="235"/>
      <c r="AB42" s="236">
        <f t="shared" si="8"/>
        <v>0</v>
      </c>
      <c r="AC42" s="235"/>
      <c r="AD42" s="235"/>
      <c r="AE42" s="236">
        <f t="shared" si="9"/>
        <v>0</v>
      </c>
      <c r="AF42" s="235"/>
      <c r="AG42" s="235"/>
      <c r="AH42" s="236">
        <f t="shared" si="10"/>
        <v>0</v>
      </c>
      <c r="AI42" s="235"/>
      <c r="AJ42" s="235"/>
      <c r="AK42" s="236">
        <f t="shared" si="11"/>
        <v>0</v>
      </c>
    </row>
    <row r="43" spans="1:37" hidden="1">
      <c r="A43" s="234" t="s">
        <v>391</v>
      </c>
      <c r="B43" s="235"/>
      <c r="C43" s="235"/>
      <c r="D43" s="236">
        <f t="shared" si="0"/>
        <v>0</v>
      </c>
      <c r="E43" s="235"/>
      <c r="F43" s="235"/>
      <c r="G43" s="236">
        <f t="shared" si="1"/>
        <v>0</v>
      </c>
      <c r="H43" s="235"/>
      <c r="I43" s="235"/>
      <c r="J43" s="236">
        <f t="shared" si="2"/>
        <v>0</v>
      </c>
      <c r="K43" s="235"/>
      <c r="L43" s="235"/>
      <c r="M43" s="236">
        <f t="shared" si="3"/>
        <v>0</v>
      </c>
      <c r="N43" s="235"/>
      <c r="O43" s="235"/>
      <c r="P43" s="236">
        <f t="shared" si="4"/>
        <v>0</v>
      </c>
      <c r="Q43" s="235"/>
      <c r="R43" s="235"/>
      <c r="S43" s="236">
        <f t="shared" si="5"/>
        <v>0</v>
      </c>
      <c r="T43" s="235"/>
      <c r="U43" s="235"/>
      <c r="V43" s="236">
        <f t="shared" si="6"/>
        <v>0</v>
      </c>
      <c r="W43" s="235"/>
      <c r="X43" s="235"/>
      <c r="Y43" s="236">
        <f t="shared" si="7"/>
        <v>0</v>
      </c>
      <c r="Z43" s="235"/>
      <c r="AA43" s="235"/>
      <c r="AB43" s="236">
        <f t="shared" si="8"/>
        <v>0</v>
      </c>
      <c r="AC43" s="235"/>
      <c r="AD43" s="235"/>
      <c r="AE43" s="236">
        <f t="shared" si="9"/>
        <v>0</v>
      </c>
      <c r="AF43" s="235"/>
      <c r="AG43" s="235"/>
      <c r="AH43" s="236">
        <f t="shared" si="10"/>
        <v>0</v>
      </c>
      <c r="AI43" s="235"/>
      <c r="AJ43" s="235"/>
      <c r="AK43" s="236">
        <f t="shared" si="11"/>
        <v>0</v>
      </c>
    </row>
    <row r="44" spans="1:37" hidden="1">
      <c r="A44" s="234" t="s">
        <v>392</v>
      </c>
      <c r="B44" s="235"/>
      <c r="C44" s="235"/>
      <c r="D44" s="236">
        <f t="shared" si="0"/>
        <v>0</v>
      </c>
      <c r="E44" s="235"/>
      <c r="F44" s="235"/>
      <c r="G44" s="236">
        <f t="shared" si="1"/>
        <v>0</v>
      </c>
      <c r="H44" s="235"/>
      <c r="I44" s="235"/>
      <c r="J44" s="236">
        <f t="shared" si="2"/>
        <v>0</v>
      </c>
      <c r="K44" s="235"/>
      <c r="L44" s="235"/>
      <c r="M44" s="236">
        <f t="shared" si="3"/>
        <v>0</v>
      </c>
      <c r="N44" s="235"/>
      <c r="O44" s="235"/>
      <c r="P44" s="236">
        <f t="shared" si="4"/>
        <v>0</v>
      </c>
      <c r="Q44" s="235"/>
      <c r="R44" s="235"/>
      <c r="S44" s="236">
        <f t="shared" si="5"/>
        <v>0</v>
      </c>
      <c r="T44" s="235"/>
      <c r="U44" s="235"/>
      <c r="V44" s="236">
        <f t="shared" si="6"/>
        <v>0</v>
      </c>
      <c r="W44" s="235"/>
      <c r="X44" s="235"/>
      <c r="Y44" s="236">
        <f t="shared" si="7"/>
        <v>0</v>
      </c>
      <c r="Z44" s="235"/>
      <c r="AA44" s="235"/>
      <c r="AB44" s="236">
        <f t="shared" si="8"/>
        <v>0</v>
      </c>
      <c r="AC44" s="235"/>
      <c r="AD44" s="235"/>
      <c r="AE44" s="236">
        <f t="shared" si="9"/>
        <v>0</v>
      </c>
      <c r="AF44" s="235"/>
      <c r="AG44" s="235"/>
      <c r="AH44" s="236">
        <f t="shared" si="10"/>
        <v>0</v>
      </c>
      <c r="AI44" s="235"/>
      <c r="AJ44" s="235"/>
      <c r="AK44" s="236">
        <f t="shared" si="11"/>
        <v>0</v>
      </c>
    </row>
    <row r="45" spans="1:37" hidden="1">
      <c r="A45" s="234" t="s">
        <v>393</v>
      </c>
      <c r="B45" s="235"/>
      <c r="C45" s="235"/>
      <c r="D45" s="236">
        <f t="shared" si="0"/>
        <v>0</v>
      </c>
      <c r="E45" s="235"/>
      <c r="F45" s="235"/>
      <c r="G45" s="236">
        <f t="shared" si="1"/>
        <v>0</v>
      </c>
      <c r="H45" s="235"/>
      <c r="I45" s="235"/>
      <c r="J45" s="236">
        <f t="shared" si="2"/>
        <v>0</v>
      </c>
      <c r="K45" s="235"/>
      <c r="L45" s="235"/>
      <c r="M45" s="236">
        <f t="shared" si="3"/>
        <v>0</v>
      </c>
      <c r="N45" s="235"/>
      <c r="O45" s="235"/>
      <c r="P45" s="236">
        <f t="shared" si="4"/>
        <v>0</v>
      </c>
      <c r="Q45" s="235"/>
      <c r="R45" s="235"/>
      <c r="S45" s="236">
        <f t="shared" si="5"/>
        <v>0</v>
      </c>
      <c r="T45" s="235"/>
      <c r="U45" s="235"/>
      <c r="V45" s="236">
        <f t="shared" si="6"/>
        <v>0</v>
      </c>
      <c r="W45" s="235"/>
      <c r="X45" s="235"/>
      <c r="Y45" s="236">
        <f t="shared" si="7"/>
        <v>0</v>
      </c>
      <c r="Z45" s="235"/>
      <c r="AA45" s="235"/>
      <c r="AB45" s="236">
        <f t="shared" si="8"/>
        <v>0</v>
      </c>
      <c r="AC45" s="235"/>
      <c r="AD45" s="235"/>
      <c r="AE45" s="236">
        <f t="shared" si="9"/>
        <v>0</v>
      </c>
      <c r="AF45" s="235"/>
      <c r="AG45" s="235"/>
      <c r="AH45" s="236">
        <f t="shared" si="10"/>
        <v>0</v>
      </c>
      <c r="AI45" s="235"/>
      <c r="AJ45" s="235"/>
      <c r="AK45" s="236">
        <f t="shared" si="11"/>
        <v>0</v>
      </c>
    </row>
    <row r="46" spans="1:37" hidden="1">
      <c r="A46" s="234" t="s">
        <v>394</v>
      </c>
      <c r="B46" s="235"/>
      <c r="C46" s="235"/>
      <c r="D46" s="236">
        <f t="shared" si="0"/>
        <v>0</v>
      </c>
      <c r="E46" s="235"/>
      <c r="F46" s="235"/>
      <c r="G46" s="236">
        <f t="shared" si="1"/>
        <v>0</v>
      </c>
      <c r="H46" s="235"/>
      <c r="I46" s="235"/>
      <c r="J46" s="236">
        <f t="shared" si="2"/>
        <v>0</v>
      </c>
      <c r="K46" s="235"/>
      <c r="L46" s="235"/>
      <c r="M46" s="236">
        <f t="shared" si="3"/>
        <v>0</v>
      </c>
      <c r="N46" s="235"/>
      <c r="O46" s="235"/>
      <c r="P46" s="236">
        <f t="shared" si="4"/>
        <v>0</v>
      </c>
      <c r="Q46" s="235"/>
      <c r="R46" s="235"/>
      <c r="S46" s="236">
        <f t="shared" si="5"/>
        <v>0</v>
      </c>
      <c r="T46" s="235"/>
      <c r="U46" s="235"/>
      <c r="V46" s="236">
        <f t="shared" si="6"/>
        <v>0</v>
      </c>
      <c r="W46" s="235"/>
      <c r="X46" s="235"/>
      <c r="Y46" s="236">
        <f t="shared" si="7"/>
        <v>0</v>
      </c>
      <c r="Z46" s="235"/>
      <c r="AA46" s="235"/>
      <c r="AB46" s="236">
        <f t="shared" si="8"/>
        <v>0</v>
      </c>
      <c r="AC46" s="235"/>
      <c r="AD46" s="235"/>
      <c r="AE46" s="236">
        <f t="shared" si="9"/>
        <v>0</v>
      </c>
      <c r="AF46" s="235"/>
      <c r="AG46" s="235"/>
      <c r="AH46" s="236">
        <f t="shared" si="10"/>
        <v>0</v>
      </c>
      <c r="AI46" s="235"/>
      <c r="AJ46" s="235"/>
      <c r="AK46" s="236">
        <f t="shared" si="11"/>
        <v>0</v>
      </c>
    </row>
    <row r="47" spans="1:37" hidden="1">
      <c r="A47" s="234" t="s">
        <v>395</v>
      </c>
      <c r="B47" s="235"/>
      <c r="C47" s="235"/>
      <c r="D47" s="236">
        <f t="shared" si="0"/>
        <v>0</v>
      </c>
      <c r="E47" s="235"/>
      <c r="F47" s="235"/>
      <c r="G47" s="236">
        <f t="shared" si="1"/>
        <v>0</v>
      </c>
      <c r="H47" s="235"/>
      <c r="I47" s="235"/>
      <c r="J47" s="236">
        <f t="shared" si="2"/>
        <v>0</v>
      </c>
      <c r="K47" s="235"/>
      <c r="L47" s="235"/>
      <c r="M47" s="236">
        <f t="shared" si="3"/>
        <v>0</v>
      </c>
      <c r="N47" s="235"/>
      <c r="O47" s="235"/>
      <c r="P47" s="236">
        <f t="shared" si="4"/>
        <v>0</v>
      </c>
      <c r="Q47" s="235"/>
      <c r="R47" s="235"/>
      <c r="S47" s="236">
        <f t="shared" si="5"/>
        <v>0</v>
      </c>
      <c r="T47" s="235"/>
      <c r="U47" s="235"/>
      <c r="V47" s="236">
        <f t="shared" si="6"/>
        <v>0</v>
      </c>
      <c r="W47" s="235"/>
      <c r="X47" s="235"/>
      <c r="Y47" s="236">
        <f t="shared" si="7"/>
        <v>0</v>
      </c>
      <c r="Z47" s="235"/>
      <c r="AA47" s="235"/>
      <c r="AB47" s="236">
        <f t="shared" si="8"/>
        <v>0</v>
      </c>
      <c r="AC47" s="235"/>
      <c r="AD47" s="235"/>
      <c r="AE47" s="236">
        <f t="shared" si="9"/>
        <v>0</v>
      </c>
      <c r="AF47" s="235"/>
      <c r="AG47" s="235"/>
      <c r="AH47" s="236">
        <f t="shared" si="10"/>
        <v>0</v>
      </c>
      <c r="AI47" s="235"/>
      <c r="AJ47" s="235"/>
      <c r="AK47" s="236">
        <f t="shared" si="11"/>
        <v>0</v>
      </c>
    </row>
    <row r="48" spans="1:37" hidden="1">
      <c r="A48" s="234" t="s">
        <v>396</v>
      </c>
      <c r="B48" s="235"/>
      <c r="C48" s="235"/>
      <c r="D48" s="236">
        <f t="shared" si="0"/>
        <v>0</v>
      </c>
      <c r="E48" s="235"/>
      <c r="F48" s="235"/>
      <c r="G48" s="236">
        <f t="shared" si="1"/>
        <v>0</v>
      </c>
      <c r="H48" s="235"/>
      <c r="I48" s="235"/>
      <c r="J48" s="236">
        <f t="shared" si="2"/>
        <v>0</v>
      </c>
      <c r="K48" s="235"/>
      <c r="L48" s="235"/>
      <c r="M48" s="236">
        <f t="shared" si="3"/>
        <v>0</v>
      </c>
      <c r="N48" s="235"/>
      <c r="O48" s="235"/>
      <c r="P48" s="236">
        <f t="shared" si="4"/>
        <v>0</v>
      </c>
      <c r="Q48" s="235"/>
      <c r="R48" s="235"/>
      <c r="S48" s="236">
        <f t="shared" si="5"/>
        <v>0</v>
      </c>
      <c r="T48" s="235"/>
      <c r="U48" s="235"/>
      <c r="V48" s="236">
        <f t="shared" si="6"/>
        <v>0</v>
      </c>
      <c r="W48" s="235"/>
      <c r="X48" s="235"/>
      <c r="Y48" s="236">
        <f t="shared" si="7"/>
        <v>0</v>
      </c>
      <c r="Z48" s="235"/>
      <c r="AA48" s="235"/>
      <c r="AB48" s="236">
        <f t="shared" si="8"/>
        <v>0</v>
      </c>
      <c r="AC48" s="235"/>
      <c r="AD48" s="235"/>
      <c r="AE48" s="236">
        <f t="shared" si="9"/>
        <v>0</v>
      </c>
      <c r="AF48" s="235"/>
      <c r="AG48" s="235"/>
      <c r="AH48" s="236">
        <f t="shared" si="10"/>
        <v>0</v>
      </c>
      <c r="AI48" s="235"/>
      <c r="AJ48" s="235"/>
      <c r="AK48" s="236">
        <f t="shared" si="11"/>
        <v>0</v>
      </c>
    </row>
    <row r="49" spans="1:37" hidden="1">
      <c r="A49" s="234" t="s">
        <v>397</v>
      </c>
      <c r="B49" s="235"/>
      <c r="C49" s="235"/>
      <c r="D49" s="236">
        <f t="shared" si="0"/>
        <v>0</v>
      </c>
      <c r="E49" s="235"/>
      <c r="F49" s="235"/>
      <c r="G49" s="236">
        <f t="shared" si="1"/>
        <v>0</v>
      </c>
      <c r="H49" s="235"/>
      <c r="I49" s="235"/>
      <c r="J49" s="236">
        <f t="shared" si="2"/>
        <v>0</v>
      </c>
      <c r="K49" s="235"/>
      <c r="L49" s="235"/>
      <c r="M49" s="236">
        <f t="shared" si="3"/>
        <v>0</v>
      </c>
      <c r="N49" s="235"/>
      <c r="O49" s="235"/>
      <c r="P49" s="236">
        <f t="shared" si="4"/>
        <v>0</v>
      </c>
      <c r="Q49" s="235"/>
      <c r="R49" s="235"/>
      <c r="S49" s="236">
        <f t="shared" si="5"/>
        <v>0</v>
      </c>
      <c r="T49" s="235"/>
      <c r="U49" s="235"/>
      <c r="V49" s="236">
        <f t="shared" si="6"/>
        <v>0</v>
      </c>
      <c r="W49" s="235"/>
      <c r="X49" s="235"/>
      <c r="Y49" s="236">
        <f t="shared" si="7"/>
        <v>0</v>
      </c>
      <c r="Z49" s="235"/>
      <c r="AA49" s="235"/>
      <c r="AB49" s="236">
        <f t="shared" si="8"/>
        <v>0</v>
      </c>
      <c r="AC49" s="235"/>
      <c r="AD49" s="235"/>
      <c r="AE49" s="236">
        <f t="shared" si="9"/>
        <v>0</v>
      </c>
      <c r="AF49" s="235"/>
      <c r="AG49" s="235"/>
      <c r="AH49" s="236">
        <f t="shared" si="10"/>
        <v>0</v>
      </c>
      <c r="AI49" s="235"/>
      <c r="AJ49" s="235"/>
      <c r="AK49" s="236">
        <f t="shared" si="11"/>
        <v>0</v>
      </c>
    </row>
    <row r="50" spans="1:37" hidden="1">
      <c r="A50" s="234" t="s">
        <v>398</v>
      </c>
      <c r="B50" s="235"/>
      <c r="C50" s="235"/>
      <c r="D50" s="236">
        <f t="shared" si="0"/>
        <v>0</v>
      </c>
      <c r="E50" s="235"/>
      <c r="F50" s="235"/>
      <c r="G50" s="236">
        <f t="shared" si="1"/>
        <v>0</v>
      </c>
      <c r="H50" s="235"/>
      <c r="I50" s="235"/>
      <c r="J50" s="236">
        <f t="shared" si="2"/>
        <v>0</v>
      </c>
      <c r="K50" s="235"/>
      <c r="L50" s="235"/>
      <c r="M50" s="236">
        <f t="shared" si="3"/>
        <v>0</v>
      </c>
      <c r="N50" s="235"/>
      <c r="O50" s="235"/>
      <c r="P50" s="236">
        <f t="shared" si="4"/>
        <v>0</v>
      </c>
      <c r="Q50" s="235"/>
      <c r="R50" s="235"/>
      <c r="S50" s="236">
        <f t="shared" si="5"/>
        <v>0</v>
      </c>
      <c r="T50" s="235"/>
      <c r="U50" s="235"/>
      <c r="V50" s="236">
        <f t="shared" si="6"/>
        <v>0</v>
      </c>
      <c r="W50" s="235"/>
      <c r="X50" s="235"/>
      <c r="Y50" s="236">
        <f t="shared" si="7"/>
        <v>0</v>
      </c>
      <c r="Z50" s="235"/>
      <c r="AA50" s="235"/>
      <c r="AB50" s="236">
        <f t="shared" si="8"/>
        <v>0</v>
      </c>
      <c r="AC50" s="235"/>
      <c r="AD50" s="235"/>
      <c r="AE50" s="236">
        <f t="shared" si="9"/>
        <v>0</v>
      </c>
      <c r="AF50" s="235"/>
      <c r="AG50" s="235"/>
      <c r="AH50" s="236">
        <f t="shared" si="10"/>
        <v>0</v>
      </c>
      <c r="AI50" s="235"/>
      <c r="AJ50" s="235"/>
      <c r="AK50" s="236">
        <f t="shared" si="11"/>
        <v>0</v>
      </c>
    </row>
    <row r="51" spans="1:37" hidden="1">
      <c r="A51" s="234" t="s">
        <v>399</v>
      </c>
      <c r="B51" s="235"/>
      <c r="C51" s="235"/>
      <c r="D51" s="236">
        <f t="shared" si="0"/>
        <v>0</v>
      </c>
      <c r="E51" s="235"/>
      <c r="F51" s="235"/>
      <c r="G51" s="236">
        <f t="shared" si="1"/>
        <v>0</v>
      </c>
      <c r="H51" s="235"/>
      <c r="I51" s="235"/>
      <c r="J51" s="236">
        <f t="shared" si="2"/>
        <v>0</v>
      </c>
      <c r="K51" s="235"/>
      <c r="L51" s="235"/>
      <c r="M51" s="236">
        <f t="shared" si="3"/>
        <v>0</v>
      </c>
      <c r="N51" s="235"/>
      <c r="O51" s="235"/>
      <c r="P51" s="236">
        <f t="shared" si="4"/>
        <v>0</v>
      </c>
      <c r="Q51" s="235"/>
      <c r="R51" s="235"/>
      <c r="S51" s="236">
        <f t="shared" si="5"/>
        <v>0</v>
      </c>
      <c r="T51" s="235"/>
      <c r="U51" s="235"/>
      <c r="V51" s="236">
        <f t="shared" si="6"/>
        <v>0</v>
      </c>
      <c r="W51" s="235"/>
      <c r="X51" s="235"/>
      <c r="Y51" s="236">
        <f t="shared" si="7"/>
        <v>0</v>
      </c>
      <c r="Z51" s="235"/>
      <c r="AA51" s="235"/>
      <c r="AB51" s="236">
        <f t="shared" si="8"/>
        <v>0</v>
      </c>
      <c r="AC51" s="235"/>
      <c r="AD51" s="235"/>
      <c r="AE51" s="236">
        <f t="shared" si="9"/>
        <v>0</v>
      </c>
      <c r="AF51" s="235"/>
      <c r="AG51" s="235"/>
      <c r="AH51" s="236">
        <f t="shared" si="10"/>
        <v>0</v>
      </c>
      <c r="AI51" s="235"/>
      <c r="AJ51" s="235"/>
      <c r="AK51" s="236">
        <f t="shared" si="11"/>
        <v>0</v>
      </c>
    </row>
    <row r="52" spans="1:37" hidden="1">
      <c r="A52" s="234" t="s">
        <v>400</v>
      </c>
      <c r="B52" s="235"/>
      <c r="C52" s="235"/>
      <c r="D52" s="236">
        <f t="shared" si="0"/>
        <v>0</v>
      </c>
      <c r="E52" s="235"/>
      <c r="F52" s="235"/>
      <c r="G52" s="236">
        <f t="shared" si="1"/>
        <v>0</v>
      </c>
      <c r="H52" s="235"/>
      <c r="I52" s="235"/>
      <c r="J52" s="236">
        <f t="shared" si="2"/>
        <v>0</v>
      </c>
      <c r="K52" s="235"/>
      <c r="L52" s="235"/>
      <c r="M52" s="236">
        <f t="shared" si="3"/>
        <v>0</v>
      </c>
      <c r="N52" s="235"/>
      <c r="O52" s="235"/>
      <c r="P52" s="236">
        <f t="shared" si="4"/>
        <v>0</v>
      </c>
      <c r="Q52" s="235"/>
      <c r="R52" s="235"/>
      <c r="S52" s="236">
        <f t="shared" si="5"/>
        <v>0</v>
      </c>
      <c r="T52" s="235"/>
      <c r="U52" s="235"/>
      <c r="V52" s="236">
        <f t="shared" si="6"/>
        <v>0</v>
      </c>
      <c r="W52" s="235"/>
      <c r="X52" s="235"/>
      <c r="Y52" s="236">
        <f t="shared" si="7"/>
        <v>0</v>
      </c>
      <c r="Z52" s="235"/>
      <c r="AA52" s="235"/>
      <c r="AB52" s="236">
        <f t="shared" si="8"/>
        <v>0</v>
      </c>
      <c r="AC52" s="235"/>
      <c r="AD52" s="235"/>
      <c r="AE52" s="236">
        <f t="shared" si="9"/>
        <v>0</v>
      </c>
      <c r="AF52" s="235"/>
      <c r="AG52" s="235"/>
      <c r="AH52" s="236">
        <f t="shared" si="10"/>
        <v>0</v>
      </c>
      <c r="AI52" s="235"/>
      <c r="AJ52" s="235"/>
      <c r="AK52" s="236">
        <f t="shared" si="11"/>
        <v>0</v>
      </c>
    </row>
    <row r="53" spans="1:37" hidden="1">
      <c r="A53" s="234" t="s">
        <v>401</v>
      </c>
      <c r="B53" s="235"/>
      <c r="C53" s="235"/>
      <c r="D53" s="236">
        <f t="shared" si="0"/>
        <v>0</v>
      </c>
      <c r="E53" s="235"/>
      <c r="F53" s="235"/>
      <c r="G53" s="236">
        <f t="shared" si="1"/>
        <v>0</v>
      </c>
      <c r="H53" s="235"/>
      <c r="I53" s="235"/>
      <c r="J53" s="236">
        <f t="shared" si="2"/>
        <v>0</v>
      </c>
      <c r="K53" s="235"/>
      <c r="L53" s="235"/>
      <c r="M53" s="236">
        <f t="shared" si="3"/>
        <v>0</v>
      </c>
      <c r="N53" s="235"/>
      <c r="O53" s="235"/>
      <c r="P53" s="236">
        <f t="shared" si="4"/>
        <v>0</v>
      </c>
      <c r="Q53" s="235"/>
      <c r="R53" s="235"/>
      <c r="S53" s="236">
        <f t="shared" si="5"/>
        <v>0</v>
      </c>
      <c r="T53" s="235"/>
      <c r="U53" s="235"/>
      <c r="V53" s="236">
        <f t="shared" si="6"/>
        <v>0</v>
      </c>
      <c r="W53" s="235"/>
      <c r="X53" s="235"/>
      <c r="Y53" s="236">
        <f t="shared" si="7"/>
        <v>0</v>
      </c>
      <c r="Z53" s="235"/>
      <c r="AA53" s="235"/>
      <c r="AB53" s="236">
        <f t="shared" si="8"/>
        <v>0</v>
      </c>
      <c r="AC53" s="235"/>
      <c r="AD53" s="235"/>
      <c r="AE53" s="236">
        <f t="shared" si="9"/>
        <v>0</v>
      </c>
      <c r="AF53" s="235"/>
      <c r="AG53" s="235"/>
      <c r="AH53" s="236">
        <f t="shared" si="10"/>
        <v>0</v>
      </c>
      <c r="AI53" s="235"/>
      <c r="AJ53" s="235"/>
      <c r="AK53" s="236">
        <f t="shared" si="11"/>
        <v>0</v>
      </c>
    </row>
    <row r="54" spans="1:37">
      <c r="A54" s="320" t="s">
        <v>402</v>
      </c>
      <c r="B54" s="235">
        <v>3522</v>
      </c>
      <c r="C54" s="235">
        <v>2.72</v>
      </c>
      <c r="D54" s="236">
        <f t="shared" si="0"/>
        <v>9579.84</v>
      </c>
      <c r="E54" s="235">
        <v>3522</v>
      </c>
      <c r="F54" s="235">
        <v>2.72</v>
      </c>
      <c r="G54" s="236">
        <f t="shared" si="1"/>
        <v>9579.84</v>
      </c>
      <c r="H54" s="235">
        <v>3523</v>
      </c>
      <c r="I54" s="235">
        <v>2.72</v>
      </c>
      <c r="J54" s="236">
        <f t="shared" si="2"/>
        <v>9582.5600000000013</v>
      </c>
      <c r="K54" s="235">
        <v>3523</v>
      </c>
      <c r="L54" s="235">
        <v>2.72</v>
      </c>
      <c r="M54" s="236">
        <f t="shared" si="3"/>
        <v>9582.5600000000013</v>
      </c>
      <c r="N54" s="235">
        <v>3522</v>
      </c>
      <c r="O54" s="235">
        <v>2.72</v>
      </c>
      <c r="P54" s="236">
        <f t="shared" si="4"/>
        <v>9579.84</v>
      </c>
      <c r="Q54" s="235">
        <v>3524</v>
      </c>
      <c r="R54" s="235">
        <v>2.72</v>
      </c>
      <c r="S54" s="236">
        <f t="shared" si="5"/>
        <v>9585.2800000000007</v>
      </c>
      <c r="T54" s="235">
        <v>3523</v>
      </c>
      <c r="U54" s="235">
        <v>2.72</v>
      </c>
      <c r="V54" s="236">
        <f t="shared" si="6"/>
        <v>9582.5600000000013</v>
      </c>
      <c r="W54" s="235">
        <v>3523</v>
      </c>
      <c r="X54" s="235">
        <v>2.72</v>
      </c>
      <c r="Y54" s="236">
        <f t="shared" si="7"/>
        <v>9582.5600000000013</v>
      </c>
      <c r="Z54" s="235">
        <v>3521</v>
      </c>
      <c r="AA54" s="235">
        <v>2.72</v>
      </c>
      <c r="AB54" s="236">
        <f t="shared" si="8"/>
        <v>9577.1200000000008</v>
      </c>
      <c r="AC54" s="235">
        <v>3522</v>
      </c>
      <c r="AD54" s="235">
        <v>2.72</v>
      </c>
      <c r="AE54" s="236">
        <f t="shared" si="9"/>
        <v>9579.84</v>
      </c>
      <c r="AF54" s="235">
        <v>3523</v>
      </c>
      <c r="AG54" s="235">
        <v>2.72</v>
      </c>
      <c r="AH54" s="236">
        <f t="shared" si="10"/>
        <v>9582.5600000000013</v>
      </c>
      <c r="AI54" s="235">
        <v>3522</v>
      </c>
      <c r="AJ54" s="235">
        <v>2.72</v>
      </c>
      <c r="AK54" s="236">
        <f t="shared" si="11"/>
        <v>9579.84</v>
      </c>
    </row>
    <row r="55" spans="1:37" hidden="1">
      <c r="A55" s="234" t="s">
        <v>403</v>
      </c>
      <c r="B55" s="235"/>
      <c r="C55" s="235"/>
      <c r="D55" s="236">
        <f t="shared" si="0"/>
        <v>0</v>
      </c>
      <c r="E55" s="235"/>
      <c r="F55" s="235"/>
      <c r="G55" s="236">
        <f t="shared" si="1"/>
        <v>0</v>
      </c>
      <c r="H55" s="235"/>
      <c r="I55" s="235"/>
      <c r="J55" s="236">
        <f t="shared" si="2"/>
        <v>0</v>
      </c>
      <c r="K55" s="235"/>
      <c r="L55" s="235"/>
      <c r="M55" s="236">
        <f t="shared" si="3"/>
        <v>0</v>
      </c>
      <c r="N55" s="235"/>
      <c r="O55" s="235"/>
      <c r="P55" s="236">
        <f t="shared" si="4"/>
        <v>0</v>
      </c>
      <c r="Q55" s="235"/>
      <c r="R55" s="235"/>
      <c r="S55" s="236">
        <f t="shared" si="5"/>
        <v>0</v>
      </c>
      <c r="T55" s="235"/>
      <c r="U55" s="235"/>
      <c r="V55" s="236">
        <f t="shared" si="6"/>
        <v>0</v>
      </c>
      <c r="W55" s="235"/>
      <c r="X55" s="235"/>
      <c r="Y55" s="236">
        <f t="shared" si="7"/>
        <v>0</v>
      </c>
      <c r="Z55" s="235"/>
      <c r="AA55" s="235"/>
      <c r="AB55" s="236">
        <f t="shared" si="8"/>
        <v>0</v>
      </c>
      <c r="AC55" s="235"/>
      <c r="AD55" s="235"/>
      <c r="AE55" s="236">
        <f t="shared" si="9"/>
        <v>0</v>
      </c>
      <c r="AF55" s="235"/>
      <c r="AG55" s="235"/>
      <c r="AH55" s="236">
        <f t="shared" si="10"/>
        <v>0</v>
      </c>
      <c r="AI55" s="235"/>
      <c r="AJ55" s="235"/>
      <c r="AK55" s="236">
        <f t="shared" si="11"/>
        <v>0</v>
      </c>
    </row>
    <row r="56" spans="1:37" hidden="1">
      <c r="A56" s="234" t="s">
        <v>404</v>
      </c>
      <c r="B56" s="235"/>
      <c r="C56" s="235"/>
      <c r="D56" s="236">
        <f t="shared" si="0"/>
        <v>0</v>
      </c>
      <c r="E56" s="235"/>
      <c r="F56" s="235"/>
      <c r="G56" s="236">
        <f t="shared" si="1"/>
        <v>0</v>
      </c>
      <c r="H56" s="235"/>
      <c r="I56" s="235"/>
      <c r="J56" s="236">
        <f t="shared" si="2"/>
        <v>0</v>
      </c>
      <c r="K56" s="235"/>
      <c r="L56" s="235"/>
      <c r="M56" s="236">
        <f t="shared" si="3"/>
        <v>0</v>
      </c>
      <c r="N56" s="235"/>
      <c r="O56" s="235"/>
      <c r="P56" s="236">
        <f t="shared" si="4"/>
        <v>0</v>
      </c>
      <c r="Q56" s="235"/>
      <c r="R56" s="235"/>
      <c r="S56" s="236">
        <f t="shared" si="5"/>
        <v>0</v>
      </c>
      <c r="T56" s="235"/>
      <c r="U56" s="235"/>
      <c r="V56" s="236">
        <f t="shared" si="6"/>
        <v>0</v>
      </c>
      <c r="W56" s="235"/>
      <c r="X56" s="235"/>
      <c r="Y56" s="236">
        <f t="shared" si="7"/>
        <v>0</v>
      </c>
      <c r="Z56" s="235"/>
      <c r="AA56" s="235"/>
      <c r="AB56" s="236">
        <f t="shared" si="8"/>
        <v>0</v>
      </c>
      <c r="AC56" s="235"/>
      <c r="AD56" s="235"/>
      <c r="AE56" s="236">
        <f t="shared" si="9"/>
        <v>0</v>
      </c>
      <c r="AF56" s="235"/>
      <c r="AG56" s="235"/>
      <c r="AH56" s="236">
        <f t="shared" si="10"/>
        <v>0</v>
      </c>
      <c r="AI56" s="235"/>
      <c r="AJ56" s="235"/>
      <c r="AK56" s="236">
        <f t="shared" si="11"/>
        <v>0</v>
      </c>
    </row>
    <row r="57" spans="1:37" hidden="1">
      <c r="A57" s="234" t="s">
        <v>405</v>
      </c>
      <c r="B57" s="235"/>
      <c r="C57" s="235"/>
      <c r="D57" s="236">
        <f t="shared" si="0"/>
        <v>0</v>
      </c>
      <c r="E57" s="235"/>
      <c r="F57" s="235"/>
      <c r="G57" s="236">
        <f t="shared" si="1"/>
        <v>0</v>
      </c>
      <c r="H57" s="235"/>
      <c r="I57" s="235"/>
      <c r="J57" s="236">
        <f t="shared" si="2"/>
        <v>0</v>
      </c>
      <c r="K57" s="235"/>
      <c r="L57" s="235"/>
      <c r="M57" s="236">
        <f t="shared" si="3"/>
        <v>0</v>
      </c>
      <c r="N57" s="235"/>
      <c r="O57" s="235"/>
      <c r="P57" s="236">
        <f t="shared" si="4"/>
        <v>0</v>
      </c>
      <c r="Q57" s="235"/>
      <c r="R57" s="235"/>
      <c r="S57" s="236">
        <f t="shared" si="5"/>
        <v>0</v>
      </c>
      <c r="T57" s="235"/>
      <c r="U57" s="235"/>
      <c r="V57" s="236">
        <f t="shared" si="6"/>
        <v>0</v>
      </c>
      <c r="W57" s="235"/>
      <c r="X57" s="235"/>
      <c r="Y57" s="236">
        <f t="shared" si="7"/>
        <v>0</v>
      </c>
      <c r="Z57" s="235"/>
      <c r="AA57" s="235"/>
      <c r="AB57" s="236">
        <f t="shared" si="8"/>
        <v>0</v>
      </c>
      <c r="AC57" s="235"/>
      <c r="AD57" s="235"/>
      <c r="AE57" s="236">
        <f t="shared" si="9"/>
        <v>0</v>
      </c>
      <c r="AF57" s="235"/>
      <c r="AG57" s="235"/>
      <c r="AH57" s="236">
        <f t="shared" si="10"/>
        <v>0</v>
      </c>
      <c r="AI57" s="235"/>
      <c r="AJ57" s="235"/>
      <c r="AK57" s="236">
        <f t="shared" si="11"/>
        <v>0</v>
      </c>
    </row>
    <row r="58" spans="1:37" hidden="1">
      <c r="A58" s="234" t="s">
        <v>406</v>
      </c>
      <c r="B58" s="235"/>
      <c r="C58" s="235"/>
      <c r="D58" s="236">
        <f t="shared" si="0"/>
        <v>0</v>
      </c>
      <c r="E58" s="235"/>
      <c r="F58" s="235"/>
      <c r="G58" s="236">
        <f t="shared" si="1"/>
        <v>0</v>
      </c>
      <c r="H58" s="235"/>
      <c r="I58" s="235"/>
      <c r="J58" s="236">
        <f t="shared" si="2"/>
        <v>0</v>
      </c>
      <c r="K58" s="235"/>
      <c r="L58" s="235"/>
      <c r="M58" s="236">
        <f t="shared" si="3"/>
        <v>0</v>
      </c>
      <c r="N58" s="235"/>
      <c r="O58" s="235"/>
      <c r="P58" s="236">
        <f t="shared" si="4"/>
        <v>0</v>
      </c>
      <c r="Q58" s="235"/>
      <c r="R58" s="235"/>
      <c r="S58" s="236">
        <f t="shared" si="5"/>
        <v>0</v>
      </c>
      <c r="T58" s="235"/>
      <c r="U58" s="235"/>
      <c r="V58" s="236">
        <f t="shared" si="6"/>
        <v>0</v>
      </c>
      <c r="W58" s="235"/>
      <c r="X58" s="235"/>
      <c r="Y58" s="236">
        <f t="shared" si="7"/>
        <v>0</v>
      </c>
      <c r="Z58" s="235"/>
      <c r="AA58" s="235"/>
      <c r="AB58" s="236">
        <f t="shared" si="8"/>
        <v>0</v>
      </c>
      <c r="AC58" s="235"/>
      <c r="AD58" s="235"/>
      <c r="AE58" s="236">
        <f t="shared" si="9"/>
        <v>0</v>
      </c>
      <c r="AF58" s="235"/>
      <c r="AG58" s="235"/>
      <c r="AH58" s="236">
        <f t="shared" si="10"/>
        <v>0</v>
      </c>
      <c r="AI58" s="235"/>
      <c r="AJ58" s="235"/>
      <c r="AK58" s="236">
        <f t="shared" si="11"/>
        <v>0</v>
      </c>
    </row>
    <row r="59" spans="1:37" hidden="1">
      <c r="A59" s="234" t="s">
        <v>407</v>
      </c>
      <c r="B59" s="235"/>
      <c r="C59" s="235"/>
      <c r="D59" s="236">
        <f t="shared" si="0"/>
        <v>0</v>
      </c>
      <c r="E59" s="235"/>
      <c r="F59" s="235"/>
      <c r="G59" s="236">
        <f t="shared" si="1"/>
        <v>0</v>
      </c>
      <c r="H59" s="235"/>
      <c r="I59" s="235"/>
      <c r="J59" s="236">
        <f t="shared" si="2"/>
        <v>0</v>
      </c>
      <c r="K59" s="235"/>
      <c r="L59" s="235"/>
      <c r="M59" s="236">
        <f t="shared" si="3"/>
        <v>0</v>
      </c>
      <c r="N59" s="235"/>
      <c r="O59" s="235"/>
      <c r="P59" s="236">
        <f t="shared" si="4"/>
        <v>0</v>
      </c>
      <c r="Q59" s="235"/>
      <c r="R59" s="235"/>
      <c r="S59" s="236">
        <f t="shared" si="5"/>
        <v>0</v>
      </c>
      <c r="T59" s="235"/>
      <c r="U59" s="235"/>
      <c r="V59" s="236">
        <f t="shared" si="6"/>
        <v>0</v>
      </c>
      <c r="W59" s="235"/>
      <c r="X59" s="235"/>
      <c r="Y59" s="236">
        <f t="shared" si="7"/>
        <v>0</v>
      </c>
      <c r="Z59" s="235"/>
      <c r="AA59" s="235"/>
      <c r="AB59" s="236">
        <f t="shared" si="8"/>
        <v>0</v>
      </c>
      <c r="AC59" s="235"/>
      <c r="AD59" s="235"/>
      <c r="AE59" s="236">
        <f t="shared" si="9"/>
        <v>0</v>
      </c>
      <c r="AF59" s="235"/>
      <c r="AG59" s="235"/>
      <c r="AH59" s="236">
        <f t="shared" si="10"/>
        <v>0</v>
      </c>
      <c r="AI59" s="235"/>
      <c r="AJ59" s="235"/>
      <c r="AK59" s="236">
        <f t="shared" si="11"/>
        <v>0</v>
      </c>
    </row>
    <row r="60" spans="1:37" hidden="1">
      <c r="A60" s="234" t="s">
        <v>408</v>
      </c>
      <c r="B60" s="235"/>
      <c r="C60" s="235"/>
      <c r="D60" s="236">
        <f t="shared" si="0"/>
        <v>0</v>
      </c>
      <c r="E60" s="235"/>
      <c r="F60" s="235"/>
      <c r="G60" s="236">
        <f t="shared" si="1"/>
        <v>0</v>
      </c>
      <c r="H60" s="235"/>
      <c r="I60" s="235"/>
      <c r="J60" s="236">
        <f t="shared" si="2"/>
        <v>0</v>
      </c>
      <c r="K60" s="235"/>
      <c r="L60" s="235"/>
      <c r="M60" s="236">
        <f t="shared" si="3"/>
        <v>0</v>
      </c>
      <c r="N60" s="235"/>
      <c r="O60" s="235"/>
      <c r="P60" s="236">
        <f t="shared" si="4"/>
        <v>0</v>
      </c>
      <c r="Q60" s="235"/>
      <c r="R60" s="235"/>
      <c r="S60" s="236">
        <f t="shared" si="5"/>
        <v>0</v>
      </c>
      <c r="T60" s="235"/>
      <c r="U60" s="235"/>
      <c r="V60" s="236">
        <f t="shared" si="6"/>
        <v>0</v>
      </c>
      <c r="W60" s="235"/>
      <c r="X60" s="235"/>
      <c r="Y60" s="236">
        <f t="shared" si="7"/>
        <v>0</v>
      </c>
      <c r="Z60" s="235"/>
      <c r="AA60" s="235"/>
      <c r="AB60" s="236">
        <f t="shared" si="8"/>
        <v>0</v>
      </c>
      <c r="AC60" s="235"/>
      <c r="AD60" s="235"/>
      <c r="AE60" s="236">
        <f t="shared" si="9"/>
        <v>0</v>
      </c>
      <c r="AF60" s="235"/>
      <c r="AG60" s="235"/>
      <c r="AH60" s="236">
        <f t="shared" si="10"/>
        <v>0</v>
      </c>
      <c r="AI60" s="235"/>
      <c r="AJ60" s="235"/>
      <c r="AK60" s="236">
        <f t="shared" si="11"/>
        <v>0</v>
      </c>
    </row>
    <row r="61" spans="1:37" hidden="1">
      <c r="A61" s="234" t="s">
        <v>409</v>
      </c>
      <c r="B61" s="235"/>
      <c r="C61" s="235"/>
      <c r="D61" s="236">
        <f t="shared" si="0"/>
        <v>0</v>
      </c>
      <c r="E61" s="235"/>
      <c r="F61" s="235"/>
      <c r="G61" s="236">
        <f t="shared" si="1"/>
        <v>0</v>
      </c>
      <c r="H61" s="235"/>
      <c r="I61" s="235"/>
      <c r="J61" s="236">
        <f t="shared" si="2"/>
        <v>0</v>
      </c>
      <c r="K61" s="235"/>
      <c r="L61" s="235"/>
      <c r="M61" s="236">
        <f t="shared" si="3"/>
        <v>0</v>
      </c>
      <c r="N61" s="235"/>
      <c r="O61" s="235"/>
      <c r="P61" s="236">
        <f t="shared" si="4"/>
        <v>0</v>
      </c>
      <c r="Q61" s="235"/>
      <c r="R61" s="235"/>
      <c r="S61" s="236">
        <f t="shared" si="5"/>
        <v>0</v>
      </c>
      <c r="T61" s="235"/>
      <c r="U61" s="235"/>
      <c r="V61" s="236">
        <f t="shared" si="6"/>
        <v>0</v>
      </c>
      <c r="W61" s="235"/>
      <c r="X61" s="235"/>
      <c r="Y61" s="236">
        <f t="shared" si="7"/>
        <v>0</v>
      </c>
      <c r="Z61" s="235"/>
      <c r="AA61" s="235"/>
      <c r="AB61" s="236">
        <f t="shared" si="8"/>
        <v>0</v>
      </c>
      <c r="AC61" s="235"/>
      <c r="AD61" s="235"/>
      <c r="AE61" s="236">
        <f t="shared" si="9"/>
        <v>0</v>
      </c>
      <c r="AF61" s="235"/>
      <c r="AG61" s="235"/>
      <c r="AH61" s="236">
        <f t="shared" si="10"/>
        <v>0</v>
      </c>
      <c r="AI61" s="235"/>
      <c r="AJ61" s="235"/>
      <c r="AK61" s="236">
        <f t="shared" si="11"/>
        <v>0</v>
      </c>
    </row>
    <row r="62" spans="1:37" hidden="1">
      <c r="A62" s="234" t="s">
        <v>410</v>
      </c>
      <c r="B62" s="235"/>
      <c r="C62" s="235"/>
      <c r="D62" s="236">
        <f t="shared" si="0"/>
        <v>0</v>
      </c>
      <c r="E62" s="235"/>
      <c r="F62" s="235"/>
      <c r="G62" s="236">
        <f t="shared" si="1"/>
        <v>0</v>
      </c>
      <c r="H62" s="235"/>
      <c r="I62" s="235"/>
      <c r="J62" s="236">
        <f t="shared" si="2"/>
        <v>0</v>
      </c>
      <c r="K62" s="235"/>
      <c r="L62" s="235"/>
      <c r="M62" s="236">
        <f t="shared" si="3"/>
        <v>0</v>
      </c>
      <c r="N62" s="235"/>
      <c r="O62" s="235"/>
      <c r="P62" s="236">
        <f t="shared" si="4"/>
        <v>0</v>
      </c>
      <c r="Q62" s="235"/>
      <c r="R62" s="235"/>
      <c r="S62" s="236">
        <f t="shared" si="5"/>
        <v>0</v>
      </c>
      <c r="T62" s="235"/>
      <c r="U62" s="235"/>
      <c r="V62" s="236">
        <f t="shared" si="6"/>
        <v>0</v>
      </c>
      <c r="W62" s="235"/>
      <c r="X62" s="235"/>
      <c r="Y62" s="236">
        <f t="shared" si="7"/>
        <v>0</v>
      </c>
      <c r="Z62" s="235"/>
      <c r="AA62" s="235"/>
      <c r="AB62" s="236">
        <f t="shared" si="8"/>
        <v>0</v>
      </c>
      <c r="AC62" s="235"/>
      <c r="AD62" s="235"/>
      <c r="AE62" s="236">
        <f t="shared" si="9"/>
        <v>0</v>
      </c>
      <c r="AF62" s="235"/>
      <c r="AG62" s="235"/>
      <c r="AH62" s="236">
        <f t="shared" si="10"/>
        <v>0</v>
      </c>
      <c r="AI62" s="235"/>
      <c r="AJ62" s="235"/>
      <c r="AK62" s="236">
        <f t="shared" si="11"/>
        <v>0</v>
      </c>
    </row>
    <row r="63" spans="1:37" hidden="1">
      <c r="A63" s="234" t="s">
        <v>411</v>
      </c>
      <c r="B63" s="235"/>
      <c r="C63" s="235"/>
      <c r="D63" s="236">
        <f t="shared" si="0"/>
        <v>0</v>
      </c>
      <c r="E63" s="235"/>
      <c r="F63" s="235"/>
      <c r="G63" s="236">
        <f t="shared" si="1"/>
        <v>0</v>
      </c>
      <c r="H63" s="235"/>
      <c r="I63" s="235"/>
      <c r="J63" s="236">
        <f t="shared" si="2"/>
        <v>0</v>
      </c>
      <c r="K63" s="235"/>
      <c r="L63" s="235"/>
      <c r="M63" s="236">
        <f t="shared" si="3"/>
        <v>0</v>
      </c>
      <c r="N63" s="235"/>
      <c r="O63" s="235"/>
      <c r="P63" s="236">
        <f t="shared" si="4"/>
        <v>0</v>
      </c>
      <c r="Q63" s="235"/>
      <c r="R63" s="235"/>
      <c r="S63" s="236">
        <f t="shared" si="5"/>
        <v>0</v>
      </c>
      <c r="T63" s="235"/>
      <c r="U63" s="235"/>
      <c r="V63" s="236">
        <f t="shared" si="6"/>
        <v>0</v>
      </c>
      <c r="W63" s="235"/>
      <c r="X63" s="235"/>
      <c r="Y63" s="236">
        <f t="shared" si="7"/>
        <v>0</v>
      </c>
      <c r="Z63" s="235"/>
      <c r="AA63" s="235"/>
      <c r="AB63" s="236">
        <f t="shared" si="8"/>
        <v>0</v>
      </c>
      <c r="AC63" s="235"/>
      <c r="AD63" s="235"/>
      <c r="AE63" s="236">
        <f t="shared" si="9"/>
        <v>0</v>
      </c>
      <c r="AF63" s="235"/>
      <c r="AG63" s="235"/>
      <c r="AH63" s="236">
        <f t="shared" si="10"/>
        <v>0</v>
      </c>
      <c r="AI63" s="235"/>
      <c r="AJ63" s="235"/>
      <c r="AK63" s="236">
        <f t="shared" si="11"/>
        <v>0</v>
      </c>
    </row>
    <row r="64" spans="1:37" hidden="1">
      <c r="A64" s="234" t="s">
        <v>412</v>
      </c>
      <c r="B64" s="235"/>
      <c r="C64" s="235"/>
      <c r="D64" s="236">
        <f t="shared" si="0"/>
        <v>0</v>
      </c>
      <c r="E64" s="235"/>
      <c r="F64" s="235"/>
      <c r="G64" s="236">
        <f t="shared" si="1"/>
        <v>0</v>
      </c>
      <c r="H64" s="235"/>
      <c r="I64" s="235"/>
      <c r="J64" s="236">
        <f t="shared" si="2"/>
        <v>0</v>
      </c>
      <c r="K64" s="235"/>
      <c r="L64" s="235"/>
      <c r="M64" s="236">
        <f t="shared" si="3"/>
        <v>0</v>
      </c>
      <c r="N64" s="235"/>
      <c r="O64" s="235"/>
      <c r="P64" s="236">
        <f t="shared" si="4"/>
        <v>0</v>
      </c>
      <c r="Q64" s="235"/>
      <c r="R64" s="235"/>
      <c r="S64" s="236">
        <f t="shared" si="5"/>
        <v>0</v>
      </c>
      <c r="T64" s="235"/>
      <c r="U64" s="235"/>
      <c r="V64" s="236">
        <f t="shared" si="6"/>
        <v>0</v>
      </c>
      <c r="W64" s="235"/>
      <c r="X64" s="235"/>
      <c r="Y64" s="236">
        <f t="shared" si="7"/>
        <v>0</v>
      </c>
      <c r="Z64" s="235"/>
      <c r="AA64" s="235"/>
      <c r="AB64" s="236">
        <f t="shared" si="8"/>
        <v>0</v>
      </c>
      <c r="AC64" s="235"/>
      <c r="AD64" s="235"/>
      <c r="AE64" s="236">
        <f t="shared" si="9"/>
        <v>0</v>
      </c>
      <c r="AF64" s="235"/>
      <c r="AG64" s="235"/>
      <c r="AH64" s="236">
        <f t="shared" si="10"/>
        <v>0</v>
      </c>
      <c r="AI64" s="235"/>
      <c r="AJ64" s="235"/>
      <c r="AK64" s="236">
        <f t="shared" si="11"/>
        <v>0</v>
      </c>
    </row>
    <row r="65" spans="1:38" hidden="1">
      <c r="A65" s="234" t="s">
        <v>413</v>
      </c>
      <c r="B65" s="235"/>
      <c r="C65" s="235"/>
      <c r="D65" s="236">
        <f t="shared" si="0"/>
        <v>0</v>
      </c>
      <c r="E65" s="235"/>
      <c r="F65" s="235"/>
      <c r="G65" s="236">
        <f t="shared" si="1"/>
        <v>0</v>
      </c>
      <c r="H65" s="235"/>
      <c r="I65" s="235"/>
      <c r="J65" s="236">
        <f t="shared" si="2"/>
        <v>0</v>
      </c>
      <c r="K65" s="235"/>
      <c r="L65" s="235"/>
      <c r="M65" s="236">
        <f t="shared" si="3"/>
        <v>0</v>
      </c>
      <c r="N65" s="235"/>
      <c r="O65" s="235"/>
      <c r="P65" s="236">
        <f t="shared" si="4"/>
        <v>0</v>
      </c>
      <c r="Q65" s="235"/>
      <c r="R65" s="235"/>
      <c r="S65" s="236">
        <f t="shared" si="5"/>
        <v>0</v>
      </c>
      <c r="T65" s="235"/>
      <c r="U65" s="235"/>
      <c r="V65" s="236">
        <f t="shared" si="6"/>
        <v>0</v>
      </c>
      <c r="W65" s="235"/>
      <c r="X65" s="235"/>
      <c r="Y65" s="236">
        <f t="shared" si="7"/>
        <v>0</v>
      </c>
      <c r="Z65" s="235"/>
      <c r="AA65" s="235"/>
      <c r="AB65" s="236">
        <f t="shared" si="8"/>
        <v>0</v>
      </c>
      <c r="AC65" s="235"/>
      <c r="AD65" s="235"/>
      <c r="AE65" s="236">
        <f t="shared" si="9"/>
        <v>0</v>
      </c>
      <c r="AF65" s="235"/>
      <c r="AG65" s="235"/>
      <c r="AH65" s="236">
        <f t="shared" si="10"/>
        <v>0</v>
      </c>
      <c r="AI65" s="235"/>
      <c r="AJ65" s="235"/>
      <c r="AK65" s="236">
        <f t="shared" si="11"/>
        <v>0</v>
      </c>
    </row>
    <row r="66" spans="1:38" hidden="1">
      <c r="A66" s="234" t="s">
        <v>53</v>
      </c>
      <c r="B66" s="235"/>
      <c r="C66" s="235"/>
      <c r="D66" s="236">
        <f t="shared" si="0"/>
        <v>0</v>
      </c>
      <c r="E66" s="235"/>
      <c r="F66" s="235"/>
      <c r="G66" s="236">
        <f t="shared" si="1"/>
        <v>0</v>
      </c>
      <c r="H66" s="235"/>
      <c r="I66" s="235"/>
      <c r="J66" s="236">
        <f t="shared" si="2"/>
        <v>0</v>
      </c>
      <c r="K66" s="235"/>
      <c r="L66" s="235"/>
      <c r="M66" s="236">
        <f t="shared" si="3"/>
        <v>0</v>
      </c>
      <c r="N66" s="235"/>
      <c r="O66" s="235"/>
      <c r="P66" s="236">
        <f t="shared" si="4"/>
        <v>0</v>
      </c>
      <c r="Q66" s="235"/>
      <c r="R66" s="235"/>
      <c r="S66" s="236">
        <f t="shared" si="5"/>
        <v>0</v>
      </c>
      <c r="T66" s="235"/>
      <c r="U66" s="235"/>
      <c r="V66" s="236">
        <f t="shared" si="6"/>
        <v>0</v>
      </c>
      <c r="W66" s="235"/>
      <c r="X66" s="235"/>
      <c r="Y66" s="236">
        <f t="shared" si="7"/>
        <v>0</v>
      </c>
      <c r="Z66" s="235"/>
      <c r="AA66" s="235"/>
      <c r="AB66" s="236">
        <f t="shared" si="8"/>
        <v>0</v>
      </c>
      <c r="AC66" s="235"/>
      <c r="AD66" s="235"/>
      <c r="AE66" s="236">
        <f t="shared" si="9"/>
        <v>0</v>
      </c>
      <c r="AF66" s="235"/>
      <c r="AG66" s="235"/>
      <c r="AH66" s="236">
        <f t="shared" si="10"/>
        <v>0</v>
      </c>
      <c r="AI66" s="235"/>
      <c r="AJ66" s="235"/>
      <c r="AK66" s="236">
        <f t="shared" si="11"/>
        <v>0</v>
      </c>
    </row>
    <row r="67" spans="1:38">
      <c r="D67" s="268">
        <f>SUM(D6:D66)</f>
        <v>130268.76</v>
      </c>
      <c r="E67" s="268"/>
      <c r="F67" s="268"/>
      <c r="G67" s="268">
        <f t="shared" ref="G67" si="12">SUM(G6:G66)</f>
        <v>202928.52000000002</v>
      </c>
      <c r="H67" s="268"/>
      <c r="I67" s="268"/>
      <c r="J67" s="268">
        <f t="shared" ref="J67" si="13">SUM(J6:J66)</f>
        <v>175150.19999999998</v>
      </c>
      <c r="K67" s="268"/>
      <c r="L67" s="268"/>
      <c r="M67" s="268">
        <f t="shared" ref="M67" si="14">SUM(M6:M66)</f>
        <v>177120.97</v>
      </c>
      <c r="N67" s="268"/>
      <c r="O67" s="268"/>
      <c r="P67" s="268">
        <f t="shared" ref="P67" si="15">SUM(P6:P66)</f>
        <v>239983.64</v>
      </c>
      <c r="Q67" s="268"/>
      <c r="R67" s="268"/>
      <c r="S67" s="268">
        <f t="shared" ref="S67" si="16">SUM(S6:S66)</f>
        <v>161430.16</v>
      </c>
      <c r="T67" s="268"/>
      <c r="U67" s="268"/>
      <c r="V67" s="268">
        <f t="shared" ref="V67" si="17">SUM(V6:V66)</f>
        <v>183476.08000000002</v>
      </c>
      <c r="W67" s="268"/>
      <c r="X67" s="268"/>
      <c r="Y67" s="268">
        <f t="shared" ref="Y67" si="18">SUM(Y6:Y66)</f>
        <v>167012.90000000002</v>
      </c>
      <c r="Z67" s="268"/>
      <c r="AA67" s="268"/>
      <c r="AB67" s="268">
        <f t="shared" ref="AB67" si="19">SUM(AB6:AB66)</f>
        <v>191372.38</v>
      </c>
      <c r="AC67" s="268"/>
      <c r="AD67" s="268"/>
      <c r="AE67" s="268">
        <f t="shared" ref="AE67" si="20">SUM(AE6:AE66)</f>
        <v>219661.57</v>
      </c>
      <c r="AF67" s="268"/>
      <c r="AG67" s="268"/>
      <c r="AH67" s="268">
        <f t="shared" ref="AH67" si="21">SUM(AH6:AH66)</f>
        <v>195314.03</v>
      </c>
      <c r="AI67" s="268"/>
      <c r="AJ67" s="268"/>
      <c r="AK67" s="268">
        <f t="shared" ref="AK67" si="22">SUM(AK6:AK66)</f>
        <v>161842.53</v>
      </c>
      <c r="AL67" s="319">
        <f>SUM(D67:AK67)</f>
        <v>2205561.7399999998</v>
      </c>
    </row>
    <row r="71" spans="1:38">
      <c r="G71" s="47"/>
      <c r="H71" s="47"/>
    </row>
    <row r="72" spans="1:38">
      <c r="A72" s="237" t="s">
        <v>414</v>
      </c>
      <c r="B72" s="237"/>
      <c r="C72" s="237"/>
      <c r="G72" s="47"/>
      <c r="H72" s="47"/>
    </row>
    <row r="73" spans="1:38">
      <c r="A73" s="238" t="s">
        <v>415</v>
      </c>
      <c r="B73" s="238" t="s">
        <v>416</v>
      </c>
      <c r="C73" s="238" t="s">
        <v>417</v>
      </c>
      <c r="G73" s="47"/>
      <c r="H73" s="47"/>
    </row>
    <row r="74" spans="1:38">
      <c r="A74" s="239" t="s">
        <v>418</v>
      </c>
      <c r="B74" s="234" t="s">
        <v>419</v>
      </c>
      <c r="C74" s="234" t="s">
        <v>364</v>
      </c>
      <c r="G74" s="47"/>
      <c r="H74" s="47"/>
    </row>
    <row r="75" spans="1:38">
      <c r="A75" s="239" t="s">
        <v>420</v>
      </c>
      <c r="B75" s="234" t="s">
        <v>421</v>
      </c>
      <c r="C75" s="234" t="s">
        <v>364</v>
      </c>
      <c r="G75" s="47"/>
      <c r="H75" s="47"/>
    </row>
    <row r="76" spans="1:38">
      <c r="A76" s="239" t="s">
        <v>422</v>
      </c>
      <c r="B76" s="234" t="s">
        <v>423</v>
      </c>
      <c r="C76" s="234" t="s">
        <v>364</v>
      </c>
      <c r="G76" s="47"/>
      <c r="H76" s="47"/>
    </row>
    <row r="77" spans="1:38">
      <c r="A77" s="239">
        <v>809284</v>
      </c>
      <c r="B77" s="234" t="s">
        <v>424</v>
      </c>
      <c r="C77" s="234" t="s">
        <v>364</v>
      </c>
    </row>
    <row r="78" spans="1:38">
      <c r="A78" s="239">
        <v>809291</v>
      </c>
      <c r="B78" s="234" t="s">
        <v>425</v>
      </c>
      <c r="C78" s="234" t="s">
        <v>364</v>
      </c>
    </row>
    <row r="79" spans="1:38">
      <c r="A79" s="239">
        <v>800345</v>
      </c>
      <c r="B79" s="234" t="s">
        <v>426</v>
      </c>
      <c r="C79" s="234" t="s">
        <v>407</v>
      </c>
    </row>
    <row r="80" spans="1:38">
      <c r="A80" s="239">
        <v>800345</v>
      </c>
      <c r="B80" s="234" t="s">
        <v>426</v>
      </c>
      <c r="C80" s="234" t="s">
        <v>407</v>
      </c>
    </row>
    <row r="81" spans="1:3">
      <c r="A81" s="239">
        <v>809297</v>
      </c>
      <c r="B81" s="234" t="s">
        <v>427</v>
      </c>
      <c r="C81" s="234" t="s">
        <v>364</v>
      </c>
    </row>
    <row r="82" spans="1:3">
      <c r="A82" s="239">
        <v>800590</v>
      </c>
      <c r="B82" s="234" t="s">
        <v>428</v>
      </c>
      <c r="C82" s="234" t="s">
        <v>366</v>
      </c>
    </row>
    <row r="83" spans="1:3">
      <c r="A83" s="239">
        <v>800318</v>
      </c>
      <c r="B83" s="234" t="s">
        <v>429</v>
      </c>
      <c r="C83" s="234" t="s">
        <v>364</v>
      </c>
    </row>
    <row r="84" spans="1:3">
      <c r="A84" s="239">
        <v>801405</v>
      </c>
      <c r="B84" s="234" t="s">
        <v>430</v>
      </c>
      <c r="C84" s="234" t="s">
        <v>373</v>
      </c>
    </row>
    <row r="85" spans="1:3">
      <c r="A85" s="239">
        <v>809592</v>
      </c>
      <c r="B85" s="234" t="s">
        <v>431</v>
      </c>
      <c r="C85" s="234" t="s">
        <v>376</v>
      </c>
    </row>
    <row r="86" spans="1:3">
      <c r="A86" s="239">
        <v>809592</v>
      </c>
      <c r="B86" s="234" t="s">
        <v>431</v>
      </c>
      <c r="C86" s="234" t="s">
        <v>376</v>
      </c>
    </row>
    <row r="87" spans="1:3">
      <c r="A87" s="239">
        <v>800590</v>
      </c>
      <c r="B87" s="234" t="s">
        <v>428</v>
      </c>
      <c r="C87" s="234" t="s">
        <v>366</v>
      </c>
    </row>
    <row r="88" spans="1:3">
      <c r="A88" s="239">
        <v>800591</v>
      </c>
      <c r="B88" s="234" t="s">
        <v>432</v>
      </c>
      <c r="C88" s="234" t="s">
        <v>366</v>
      </c>
    </row>
    <row r="89" spans="1:3">
      <c r="A89" s="239">
        <v>841353</v>
      </c>
      <c r="B89" s="234" t="s">
        <v>433</v>
      </c>
      <c r="C89" s="234" t="s">
        <v>362</v>
      </c>
    </row>
    <row r="90" spans="1:3">
      <c r="A90" s="239">
        <v>841353</v>
      </c>
      <c r="B90" s="234" t="s">
        <v>433</v>
      </c>
      <c r="C90" s="234" t="s">
        <v>362</v>
      </c>
    </row>
    <row r="91" spans="1:3">
      <c r="A91" s="239">
        <v>809291</v>
      </c>
      <c r="B91" s="234" t="s">
        <v>425</v>
      </c>
      <c r="C91" s="234" t="s">
        <v>364</v>
      </c>
    </row>
    <row r="92" spans="1:3">
      <c r="A92" s="239">
        <v>800590</v>
      </c>
      <c r="B92" s="234" t="s">
        <v>428</v>
      </c>
      <c r="C92" s="234" t="s">
        <v>366</v>
      </c>
    </row>
    <row r="93" spans="1:3">
      <c r="A93" s="239">
        <v>800591</v>
      </c>
      <c r="B93" s="234" t="s">
        <v>432</v>
      </c>
      <c r="C93" s="234" t="s">
        <v>366</v>
      </c>
    </row>
    <row r="94" spans="1:3">
      <c r="A94" s="239">
        <v>841077</v>
      </c>
      <c r="B94" s="234" t="s">
        <v>434</v>
      </c>
      <c r="C94" s="234" t="s">
        <v>376</v>
      </c>
    </row>
    <row r="95" spans="1:3">
      <c r="A95" s="239">
        <v>840733</v>
      </c>
      <c r="B95" s="234" t="s">
        <v>435</v>
      </c>
      <c r="C95" s="234" t="s">
        <v>396</v>
      </c>
    </row>
    <row r="96" spans="1:3">
      <c r="A96" s="239">
        <v>77441</v>
      </c>
      <c r="B96" s="234" t="s">
        <v>436</v>
      </c>
      <c r="C96" s="234" t="s">
        <v>364</v>
      </c>
    </row>
    <row r="97" spans="1:3">
      <c r="A97" s="239">
        <v>840209</v>
      </c>
      <c r="B97" s="234" t="s">
        <v>437</v>
      </c>
      <c r="C97" s="234" t="s">
        <v>362</v>
      </c>
    </row>
    <row r="98" spans="1:3">
      <c r="A98" s="239">
        <v>840209</v>
      </c>
      <c r="B98" s="234" t="s">
        <v>437</v>
      </c>
      <c r="C98" s="234" t="s">
        <v>362</v>
      </c>
    </row>
    <row r="99" spans="1:3">
      <c r="A99" s="239">
        <v>25272</v>
      </c>
      <c r="B99" s="234" t="s">
        <v>438</v>
      </c>
      <c r="C99" s="234" t="s">
        <v>383</v>
      </c>
    </row>
    <row r="100" spans="1:3">
      <c r="A100" s="239">
        <v>841077</v>
      </c>
      <c r="B100" s="234" t="s">
        <v>434</v>
      </c>
      <c r="C100" s="234" t="s">
        <v>376</v>
      </c>
    </row>
    <row r="101" spans="1:3">
      <c r="A101" s="239">
        <v>800590</v>
      </c>
      <c r="B101" s="234" t="s">
        <v>428</v>
      </c>
      <c r="C101" s="234" t="s">
        <v>366</v>
      </c>
    </row>
    <row r="102" spans="1:3">
      <c r="A102" s="239">
        <v>809288</v>
      </c>
      <c r="B102" s="234" t="s">
        <v>439</v>
      </c>
      <c r="C102" s="234" t="s">
        <v>364</v>
      </c>
    </row>
    <row r="103" spans="1:3">
      <c r="A103" s="239">
        <v>713973</v>
      </c>
      <c r="B103" s="234" t="s">
        <v>440</v>
      </c>
      <c r="C103" s="234" t="s">
        <v>364</v>
      </c>
    </row>
    <row r="104" spans="1:3">
      <c r="A104" s="239">
        <v>713824</v>
      </c>
      <c r="B104" s="234" t="s">
        <v>441</v>
      </c>
      <c r="C104" s="234" t="s">
        <v>364</v>
      </c>
    </row>
    <row r="105" spans="1:3">
      <c r="A105" s="239">
        <v>713820</v>
      </c>
      <c r="B105" s="234" t="s">
        <v>442</v>
      </c>
      <c r="C105" s="234" t="s">
        <v>364</v>
      </c>
    </row>
    <row r="106" spans="1:3">
      <c r="A106" s="239">
        <v>713823</v>
      </c>
      <c r="B106" s="234" t="s">
        <v>443</v>
      </c>
      <c r="C106" s="234" t="s">
        <v>364</v>
      </c>
    </row>
    <row r="107" spans="1:3">
      <c r="A107" s="239" t="s">
        <v>444</v>
      </c>
      <c r="B107" s="234" t="s">
        <v>445</v>
      </c>
      <c r="C107" s="234" t="s">
        <v>364</v>
      </c>
    </row>
    <row r="108" spans="1:3">
      <c r="A108" s="239">
        <v>13575</v>
      </c>
      <c r="B108" s="234" t="s">
        <v>446</v>
      </c>
      <c r="C108" s="234" t="s">
        <v>364</v>
      </c>
    </row>
    <row r="109" spans="1:3">
      <c r="A109" s="239">
        <v>809285</v>
      </c>
      <c r="B109" s="234" t="s">
        <v>447</v>
      </c>
      <c r="C109" s="234" t="s">
        <v>364</v>
      </c>
    </row>
    <row r="110" spans="1:3">
      <c r="A110" s="239">
        <v>809286</v>
      </c>
      <c r="B110" s="234" t="s">
        <v>448</v>
      </c>
      <c r="C110" s="234" t="s">
        <v>364</v>
      </c>
    </row>
    <row r="111" spans="1:3">
      <c r="A111" s="239">
        <v>809287</v>
      </c>
      <c r="B111" s="234" t="s">
        <v>449</v>
      </c>
      <c r="C111" s="234" t="s">
        <v>364</v>
      </c>
    </row>
    <row r="112" spans="1:3">
      <c r="A112" s="239">
        <v>809288</v>
      </c>
      <c r="B112" s="234" t="s">
        <v>439</v>
      </c>
      <c r="C112" s="234" t="s">
        <v>364</v>
      </c>
    </row>
    <row r="113" spans="1:3">
      <c r="A113" s="239">
        <v>809290</v>
      </c>
      <c r="B113" s="234" t="s">
        <v>450</v>
      </c>
      <c r="C113" s="234" t="s">
        <v>364</v>
      </c>
    </row>
    <row r="114" spans="1:3">
      <c r="A114" s="239">
        <v>809292</v>
      </c>
      <c r="B114" s="234" t="s">
        <v>451</v>
      </c>
      <c r="C114" s="234" t="s">
        <v>364</v>
      </c>
    </row>
    <row r="115" spans="1:3">
      <c r="A115" s="239">
        <v>840442</v>
      </c>
      <c r="B115" s="234" t="s">
        <v>452</v>
      </c>
      <c r="C115" s="234" t="s">
        <v>364</v>
      </c>
    </row>
    <row r="116" spans="1:3">
      <c r="A116" s="239" t="s">
        <v>453</v>
      </c>
      <c r="B116" s="234" t="s">
        <v>454</v>
      </c>
      <c r="C116" s="234" t="s">
        <v>362</v>
      </c>
    </row>
    <row r="117" spans="1:3">
      <c r="A117" s="239" t="s">
        <v>455</v>
      </c>
      <c r="B117" s="234" t="s">
        <v>456</v>
      </c>
      <c r="C117" s="234" t="s">
        <v>362</v>
      </c>
    </row>
    <row r="118" spans="1:3">
      <c r="A118" s="239">
        <v>804009</v>
      </c>
      <c r="B118" s="234" t="s">
        <v>457</v>
      </c>
      <c r="C118" s="234" t="s">
        <v>376</v>
      </c>
    </row>
    <row r="119" spans="1:3">
      <c r="A119" s="239">
        <v>809592</v>
      </c>
      <c r="B119" s="234" t="s">
        <v>431</v>
      </c>
      <c r="C119" s="234" t="s">
        <v>376</v>
      </c>
    </row>
    <row r="120" spans="1:3">
      <c r="A120" s="239">
        <v>800590</v>
      </c>
      <c r="B120" s="234" t="s">
        <v>428</v>
      </c>
      <c r="C120" s="234" t="s">
        <v>366</v>
      </c>
    </row>
    <row r="121" spans="1:3">
      <c r="A121" s="239">
        <v>800591</v>
      </c>
      <c r="B121" s="234" t="s">
        <v>432</v>
      </c>
      <c r="C121" s="234" t="s">
        <v>366</v>
      </c>
    </row>
    <row r="122" spans="1:3">
      <c r="A122" s="239">
        <v>800590</v>
      </c>
      <c r="B122" s="234" t="s">
        <v>428</v>
      </c>
      <c r="C122" s="234" t="s">
        <v>366</v>
      </c>
    </row>
    <row r="123" spans="1:3">
      <c r="A123" s="239">
        <v>800591</v>
      </c>
      <c r="B123" s="234" t="s">
        <v>432</v>
      </c>
      <c r="C123" s="234" t="s">
        <v>366</v>
      </c>
    </row>
    <row r="124" spans="1:3">
      <c r="A124" s="239">
        <v>800590</v>
      </c>
      <c r="B124" s="234" t="s">
        <v>428</v>
      </c>
      <c r="C124" s="234" t="s">
        <v>366</v>
      </c>
    </row>
    <row r="125" spans="1:3">
      <c r="A125" s="239">
        <v>800591</v>
      </c>
      <c r="B125" s="234" t="s">
        <v>432</v>
      </c>
      <c r="C125" s="234" t="s">
        <v>366</v>
      </c>
    </row>
    <row r="126" spans="1:3">
      <c r="A126" s="239">
        <v>800344</v>
      </c>
      <c r="B126" s="234" t="s">
        <v>458</v>
      </c>
      <c r="C126" s="234" t="s">
        <v>407</v>
      </c>
    </row>
    <row r="127" spans="1:3">
      <c r="A127" s="239">
        <v>800344</v>
      </c>
      <c r="B127" s="234" t="s">
        <v>458</v>
      </c>
      <c r="C127" s="234" t="s">
        <v>407</v>
      </c>
    </row>
    <row r="128" spans="1:3">
      <c r="A128" s="239">
        <v>800344</v>
      </c>
      <c r="B128" s="234" t="s">
        <v>458</v>
      </c>
      <c r="C128" s="234" t="s">
        <v>407</v>
      </c>
    </row>
    <row r="129" spans="1:3">
      <c r="A129" s="239">
        <v>800318</v>
      </c>
      <c r="B129" s="234" t="s">
        <v>429</v>
      </c>
      <c r="C129" s="234" t="s">
        <v>364</v>
      </c>
    </row>
    <row r="130" spans="1:3">
      <c r="A130" s="239">
        <v>800345</v>
      </c>
      <c r="B130" s="234" t="s">
        <v>426</v>
      </c>
      <c r="C130" s="234" t="s">
        <v>407</v>
      </c>
    </row>
    <row r="131" spans="1:3">
      <c r="A131" s="239">
        <v>800345</v>
      </c>
      <c r="B131" s="234" t="s">
        <v>426</v>
      </c>
      <c r="C131" s="234" t="s">
        <v>407</v>
      </c>
    </row>
    <row r="132" spans="1:3">
      <c r="A132" s="239">
        <v>841714</v>
      </c>
      <c r="B132" s="234" t="s">
        <v>459</v>
      </c>
      <c r="C132" s="234" t="s">
        <v>364</v>
      </c>
    </row>
    <row r="133" spans="1:3">
      <c r="A133" s="239">
        <v>3520</v>
      </c>
      <c r="B133" s="234" t="s">
        <v>390</v>
      </c>
      <c r="C133" s="234" t="s">
        <v>390</v>
      </c>
    </row>
    <row r="134" spans="1:3">
      <c r="A134" s="239">
        <v>800321</v>
      </c>
      <c r="B134" s="234" t="s">
        <v>460</v>
      </c>
      <c r="C134" s="234" t="s">
        <v>364</v>
      </c>
    </row>
    <row r="135" spans="1:3">
      <c r="A135" s="239">
        <v>809289</v>
      </c>
      <c r="B135" s="234" t="s">
        <v>461</v>
      </c>
      <c r="C135" s="234" t="s">
        <v>364</v>
      </c>
    </row>
    <row r="136" spans="1:3">
      <c r="A136" s="239">
        <v>809291</v>
      </c>
      <c r="B136" s="234" t="s">
        <v>425</v>
      </c>
      <c r="C136" s="234" t="s">
        <v>364</v>
      </c>
    </row>
    <row r="137" spans="1:3">
      <c r="A137" s="239">
        <v>809294</v>
      </c>
      <c r="B137" s="234" t="s">
        <v>462</v>
      </c>
      <c r="C137" s="234" t="s">
        <v>364</v>
      </c>
    </row>
    <row r="138" spans="1:3">
      <c r="A138" s="239">
        <v>809295</v>
      </c>
      <c r="B138" s="234" t="s">
        <v>463</v>
      </c>
      <c r="C138" s="234" t="s">
        <v>364</v>
      </c>
    </row>
    <row r="139" spans="1:3">
      <c r="A139" s="239">
        <v>809293</v>
      </c>
      <c r="B139" s="234" t="s">
        <v>464</v>
      </c>
      <c r="C139" s="234" t="s">
        <v>364</v>
      </c>
    </row>
    <row r="140" spans="1:3">
      <c r="A140" s="239">
        <v>800347</v>
      </c>
      <c r="B140" s="234" t="s">
        <v>465</v>
      </c>
      <c r="C140" s="234" t="s">
        <v>407</v>
      </c>
    </row>
    <row r="141" spans="1:3">
      <c r="A141" s="239">
        <v>800347</v>
      </c>
      <c r="B141" s="234" t="s">
        <v>465</v>
      </c>
      <c r="C141" s="234" t="s">
        <v>407</v>
      </c>
    </row>
    <row r="142" spans="1:3">
      <c r="A142" s="239">
        <v>707485</v>
      </c>
      <c r="B142" s="234" t="s">
        <v>466</v>
      </c>
      <c r="C142" s="234" t="s">
        <v>364</v>
      </c>
    </row>
    <row r="143" spans="1:3">
      <c r="A143" s="239" t="s">
        <v>467</v>
      </c>
      <c r="B143" s="234" t="s">
        <v>468</v>
      </c>
      <c r="C143" s="234" t="s">
        <v>364</v>
      </c>
    </row>
    <row r="144" spans="1:3">
      <c r="A144" s="239">
        <v>779023</v>
      </c>
      <c r="B144" s="234" t="s">
        <v>469</v>
      </c>
      <c r="C144" s="234" t="s">
        <v>364</v>
      </c>
    </row>
    <row r="145" spans="1:3">
      <c r="A145" s="239" t="s">
        <v>470</v>
      </c>
      <c r="B145" s="234" t="s">
        <v>471</v>
      </c>
      <c r="C145" s="234" t="s">
        <v>364</v>
      </c>
    </row>
    <row r="146" spans="1:3">
      <c r="A146" s="239">
        <v>77634</v>
      </c>
      <c r="B146" s="234" t="s">
        <v>472</v>
      </c>
      <c r="C146" s="234" t="s">
        <v>364</v>
      </c>
    </row>
    <row r="147" spans="1:3">
      <c r="A147" s="239">
        <v>13116</v>
      </c>
      <c r="B147" s="234" t="s">
        <v>473</v>
      </c>
      <c r="C147" s="234" t="s">
        <v>376</v>
      </c>
    </row>
    <row r="148" spans="1:3">
      <c r="A148" s="239">
        <v>77635</v>
      </c>
      <c r="B148" s="234" t="s">
        <v>474</v>
      </c>
      <c r="C148" s="234" t="s">
        <v>364</v>
      </c>
    </row>
    <row r="149" spans="1:3">
      <c r="A149" s="239">
        <v>13163</v>
      </c>
      <c r="B149" s="234" t="s">
        <v>475</v>
      </c>
      <c r="C149" s="234" t="s">
        <v>364</v>
      </c>
    </row>
    <row r="150" spans="1:3">
      <c r="A150" s="239">
        <v>15451</v>
      </c>
      <c r="B150" s="234" t="s">
        <v>476</v>
      </c>
      <c r="C150" s="234" t="s">
        <v>364</v>
      </c>
    </row>
    <row r="151" spans="1:3">
      <c r="A151" s="239">
        <v>11593</v>
      </c>
      <c r="B151" s="234" t="s">
        <v>477</v>
      </c>
      <c r="C151" s="234" t="s">
        <v>364</v>
      </c>
    </row>
    <row r="152" spans="1:3">
      <c r="A152" s="239">
        <v>15326</v>
      </c>
      <c r="B152" s="234" t="s">
        <v>478</v>
      </c>
      <c r="C152" s="234" t="s">
        <v>364</v>
      </c>
    </row>
    <row r="153" spans="1:3">
      <c r="A153" s="239">
        <v>19640</v>
      </c>
      <c r="B153" s="234" t="s">
        <v>479</v>
      </c>
      <c r="C153" s="234" t="s">
        <v>364</v>
      </c>
    </row>
    <row r="154" spans="1:3">
      <c r="A154" s="239">
        <v>11813</v>
      </c>
      <c r="B154" s="234" t="s">
        <v>480</v>
      </c>
      <c r="C154" s="234" t="s">
        <v>364</v>
      </c>
    </row>
    <row r="155" spans="1:3">
      <c r="A155" s="239">
        <v>11594</v>
      </c>
      <c r="B155" s="234" t="s">
        <v>481</v>
      </c>
      <c r="C155" s="234" t="s">
        <v>364</v>
      </c>
    </row>
    <row r="156" spans="1:3">
      <c r="A156" s="239" t="s">
        <v>482</v>
      </c>
      <c r="B156" s="234" t="s">
        <v>483</v>
      </c>
      <c r="C156" s="234" t="s">
        <v>402</v>
      </c>
    </row>
    <row r="157" spans="1:3">
      <c r="A157" s="239" t="s">
        <v>484</v>
      </c>
      <c r="B157" s="234" t="s">
        <v>485</v>
      </c>
      <c r="C157" s="234" t="s">
        <v>364</v>
      </c>
    </row>
    <row r="158" spans="1:3">
      <c r="A158" s="239" t="s">
        <v>486</v>
      </c>
      <c r="B158" s="234" t="s">
        <v>487</v>
      </c>
      <c r="C158" s="234" t="s">
        <v>364</v>
      </c>
    </row>
    <row r="159" spans="1:3">
      <c r="A159" s="239" t="s">
        <v>488</v>
      </c>
      <c r="B159" s="234" t="s">
        <v>489</v>
      </c>
      <c r="C159" s="234" t="s">
        <v>364</v>
      </c>
    </row>
    <row r="160" spans="1:3">
      <c r="A160" s="239" t="s">
        <v>490</v>
      </c>
      <c r="B160" s="234" t="s">
        <v>491</v>
      </c>
      <c r="C160" s="234" t="s">
        <v>364</v>
      </c>
    </row>
    <row r="161" spans="1:3">
      <c r="A161" s="239" t="s">
        <v>492</v>
      </c>
      <c r="B161" s="234" t="s">
        <v>493</v>
      </c>
      <c r="C161" s="234" t="s">
        <v>375</v>
      </c>
    </row>
    <row r="162" spans="1:3">
      <c r="A162" s="239" t="s">
        <v>494</v>
      </c>
      <c r="B162" s="234" t="s">
        <v>495</v>
      </c>
      <c r="C162" s="234" t="s">
        <v>364</v>
      </c>
    </row>
    <row r="163" spans="1:3">
      <c r="A163" s="239" t="s">
        <v>496</v>
      </c>
      <c r="B163" s="234" t="s">
        <v>497</v>
      </c>
      <c r="C163" s="234" t="s">
        <v>364</v>
      </c>
    </row>
    <row r="164" spans="1:3">
      <c r="A164" s="239" t="s">
        <v>498</v>
      </c>
      <c r="B164" s="234" t="s">
        <v>499</v>
      </c>
      <c r="C164" s="234" t="s">
        <v>364</v>
      </c>
    </row>
    <row r="165" spans="1:3">
      <c r="A165" s="239" t="s">
        <v>500</v>
      </c>
      <c r="B165" s="234" t="s">
        <v>501</v>
      </c>
      <c r="C165" s="234" t="s">
        <v>364</v>
      </c>
    </row>
    <row r="166" spans="1:3">
      <c r="A166" s="239" t="s">
        <v>502</v>
      </c>
      <c r="B166" s="234" t="s">
        <v>503</v>
      </c>
      <c r="C166" s="234" t="s">
        <v>364</v>
      </c>
    </row>
    <row r="167" spans="1:3">
      <c r="A167" s="239" t="s">
        <v>504</v>
      </c>
      <c r="B167" s="234" t="s">
        <v>505</v>
      </c>
      <c r="C167" s="234" t="s">
        <v>364</v>
      </c>
    </row>
    <row r="168" spans="1:3">
      <c r="A168" s="239" t="s">
        <v>506</v>
      </c>
      <c r="B168" s="234" t="s">
        <v>507</v>
      </c>
      <c r="C168" s="234" t="s">
        <v>364</v>
      </c>
    </row>
    <row r="169" spans="1:3">
      <c r="A169" s="239" t="s">
        <v>508</v>
      </c>
      <c r="B169" s="234" t="s">
        <v>509</v>
      </c>
      <c r="C169" s="234" t="s">
        <v>364</v>
      </c>
    </row>
    <row r="170" spans="1:3">
      <c r="A170" s="239" t="s">
        <v>510</v>
      </c>
      <c r="B170" s="234" t="s">
        <v>511</v>
      </c>
      <c r="C170" s="234" t="s">
        <v>365</v>
      </c>
    </row>
    <row r="171" spans="1:3">
      <c r="A171" s="239" t="s">
        <v>512</v>
      </c>
      <c r="B171" s="234" t="s">
        <v>513</v>
      </c>
      <c r="C171" s="234" t="s">
        <v>364</v>
      </c>
    </row>
    <row r="172" spans="1:3">
      <c r="A172" s="239" t="s">
        <v>514</v>
      </c>
      <c r="B172" s="234" t="s">
        <v>515</v>
      </c>
      <c r="C172" s="234" t="s">
        <v>376</v>
      </c>
    </row>
    <row r="173" spans="1:3">
      <c r="A173" s="239">
        <v>140002</v>
      </c>
      <c r="B173" s="234" t="s">
        <v>516</v>
      </c>
      <c r="C173" s="234" t="s">
        <v>375</v>
      </c>
    </row>
    <row r="174" spans="1:3">
      <c r="A174" s="239" t="s">
        <v>517</v>
      </c>
      <c r="B174" s="234" t="s">
        <v>518</v>
      </c>
      <c r="C174" s="234" t="s">
        <v>364</v>
      </c>
    </row>
    <row r="175" spans="1:3">
      <c r="A175" s="239" t="s">
        <v>519</v>
      </c>
      <c r="B175" s="234" t="s">
        <v>520</v>
      </c>
      <c r="C175" s="234" t="s">
        <v>364</v>
      </c>
    </row>
    <row r="176" spans="1:3">
      <c r="A176" s="239">
        <v>800590</v>
      </c>
      <c r="B176" s="234" t="s">
        <v>428</v>
      </c>
      <c r="C176" s="234" t="s">
        <v>366</v>
      </c>
    </row>
    <row r="177" spans="1:3">
      <c r="A177" s="239">
        <v>800591</v>
      </c>
      <c r="B177" s="234" t="s">
        <v>432</v>
      </c>
      <c r="C177" s="234" t="s">
        <v>366</v>
      </c>
    </row>
    <row r="178" spans="1:3">
      <c r="A178" s="239">
        <v>809284</v>
      </c>
      <c r="B178" s="234" t="s">
        <v>424</v>
      </c>
      <c r="C178" s="234" t="s">
        <v>364</v>
      </c>
    </row>
    <row r="179" spans="1:3">
      <c r="A179" s="239">
        <v>800590</v>
      </c>
      <c r="B179" s="234" t="s">
        <v>428</v>
      </c>
      <c r="C179" s="234" t="s">
        <v>366</v>
      </c>
    </row>
    <row r="180" spans="1:3">
      <c r="A180" s="239">
        <v>804009</v>
      </c>
      <c r="B180" s="234" t="s">
        <v>457</v>
      </c>
      <c r="C180" s="234" t="s">
        <v>376</v>
      </c>
    </row>
    <row r="181" spans="1:3">
      <c r="A181" s="239">
        <v>841519</v>
      </c>
      <c r="B181" s="234" t="s">
        <v>521</v>
      </c>
      <c r="C181" s="234" t="s">
        <v>376</v>
      </c>
    </row>
    <row r="182" spans="1:3">
      <c r="A182" s="239">
        <v>800331</v>
      </c>
      <c r="B182" s="234" t="s">
        <v>522</v>
      </c>
      <c r="C182" s="234" t="s">
        <v>378</v>
      </c>
    </row>
    <row r="183" spans="1:3">
      <c r="A183" s="239">
        <v>800331</v>
      </c>
      <c r="B183" s="234" t="s">
        <v>522</v>
      </c>
      <c r="C183" s="234" t="s">
        <v>378</v>
      </c>
    </row>
    <row r="184" spans="1:3">
      <c r="A184" s="239">
        <v>800331</v>
      </c>
      <c r="B184" s="234" t="s">
        <v>522</v>
      </c>
      <c r="C184" s="234" t="s">
        <v>378</v>
      </c>
    </row>
    <row r="185" spans="1:3">
      <c r="A185" s="239">
        <v>809568</v>
      </c>
      <c r="B185" s="234" t="s">
        <v>523</v>
      </c>
      <c r="C185" s="234" t="s">
        <v>364</v>
      </c>
    </row>
    <row r="186" spans="1:3">
      <c r="A186" s="239">
        <v>841353</v>
      </c>
      <c r="B186" s="234" t="s">
        <v>433</v>
      </c>
      <c r="C186" s="234" t="s">
        <v>362</v>
      </c>
    </row>
    <row r="187" spans="1:3">
      <c r="A187" s="239">
        <v>841353</v>
      </c>
      <c r="B187" s="234" t="s">
        <v>433</v>
      </c>
      <c r="C187" s="234" t="s">
        <v>362</v>
      </c>
    </row>
    <row r="188" spans="1:3">
      <c r="A188" s="239">
        <v>840209</v>
      </c>
      <c r="B188" s="234" t="s">
        <v>437</v>
      </c>
      <c r="C188" s="234" t="s">
        <v>362</v>
      </c>
    </row>
    <row r="189" spans="1:3">
      <c r="A189" s="239">
        <v>840209</v>
      </c>
      <c r="B189" s="234" t="s">
        <v>437</v>
      </c>
      <c r="C189" s="234" t="s">
        <v>362</v>
      </c>
    </row>
    <row r="190" spans="1:3">
      <c r="A190" s="239">
        <v>800590</v>
      </c>
      <c r="B190" s="234" t="s">
        <v>428</v>
      </c>
      <c r="C190" s="234" t="s">
        <v>366</v>
      </c>
    </row>
    <row r="191" spans="1:3">
      <c r="A191" s="239">
        <v>800591</v>
      </c>
      <c r="B191" s="234" t="s">
        <v>432</v>
      </c>
      <c r="C191" s="234" t="s">
        <v>366</v>
      </c>
    </row>
    <row r="192" spans="1:3">
      <c r="A192" s="239">
        <v>13140</v>
      </c>
      <c r="B192" s="234" t="s">
        <v>524</v>
      </c>
      <c r="C192" s="234" t="s">
        <v>376</v>
      </c>
    </row>
    <row r="193" spans="1:3">
      <c r="A193" s="239">
        <v>760509</v>
      </c>
      <c r="B193" s="234" t="s">
        <v>525</v>
      </c>
      <c r="C193" s="234" t="s">
        <v>364</v>
      </c>
    </row>
    <row r="194" spans="1:3">
      <c r="A194" s="239">
        <v>48016</v>
      </c>
      <c r="B194" s="234" t="s">
        <v>526</v>
      </c>
      <c r="C194" s="234" t="s">
        <v>378</v>
      </c>
    </row>
    <row r="195" spans="1:3">
      <c r="A195" s="239">
        <v>81543</v>
      </c>
      <c r="B195" s="234" t="s">
        <v>527</v>
      </c>
      <c r="C195" s="234" t="s">
        <v>379</v>
      </c>
    </row>
    <row r="196" spans="1:3">
      <c r="A196" s="239">
        <v>803307</v>
      </c>
      <c r="B196" s="234" t="s">
        <v>528</v>
      </c>
      <c r="C196" s="234" t="s">
        <v>374</v>
      </c>
    </row>
    <row r="197" spans="1:3">
      <c r="A197" s="239">
        <v>806412</v>
      </c>
      <c r="B197" s="234" t="s">
        <v>529</v>
      </c>
      <c r="C197" s="234" t="s">
        <v>387</v>
      </c>
    </row>
    <row r="198" spans="1:3">
      <c r="A198" s="239" t="s">
        <v>530</v>
      </c>
      <c r="B198" s="234" t="s">
        <v>531</v>
      </c>
      <c r="C198" s="234" t="s">
        <v>364</v>
      </c>
    </row>
    <row r="199" spans="1:3">
      <c r="A199" s="239" t="s">
        <v>532</v>
      </c>
      <c r="B199" s="234" t="s">
        <v>533</v>
      </c>
      <c r="C199" s="234" t="s">
        <v>364</v>
      </c>
    </row>
    <row r="200" spans="1:3">
      <c r="A200" s="239" t="s">
        <v>534</v>
      </c>
      <c r="B200" s="234" t="s">
        <v>535</v>
      </c>
      <c r="C200" s="234" t="s">
        <v>364</v>
      </c>
    </row>
    <row r="201" spans="1:3">
      <c r="A201" s="239" t="s">
        <v>536</v>
      </c>
      <c r="B201" s="234" t="s">
        <v>537</v>
      </c>
      <c r="C201" s="234" t="s">
        <v>364</v>
      </c>
    </row>
    <row r="202" spans="1:3">
      <c r="A202" s="239" t="s">
        <v>538</v>
      </c>
      <c r="B202" s="234" t="s">
        <v>539</v>
      </c>
      <c r="C202" s="234" t="s">
        <v>364</v>
      </c>
    </row>
    <row r="203" spans="1:3">
      <c r="A203" s="239" t="s">
        <v>540</v>
      </c>
      <c r="B203" s="234" t="s">
        <v>541</v>
      </c>
      <c r="C203" s="234" t="s">
        <v>364</v>
      </c>
    </row>
    <row r="204" spans="1:3">
      <c r="A204" s="239" t="s">
        <v>542</v>
      </c>
      <c r="B204" s="234" t="s">
        <v>543</v>
      </c>
      <c r="C204" s="234" t="s">
        <v>364</v>
      </c>
    </row>
    <row r="205" spans="1:3">
      <c r="A205" s="239" t="s">
        <v>544</v>
      </c>
      <c r="B205" s="234" t="s">
        <v>545</v>
      </c>
      <c r="C205" s="234" t="s">
        <v>364</v>
      </c>
    </row>
    <row r="206" spans="1:3">
      <c r="A206" s="239" t="s">
        <v>546</v>
      </c>
      <c r="B206" s="234" t="s">
        <v>547</v>
      </c>
      <c r="C206" s="234" t="s">
        <v>364</v>
      </c>
    </row>
    <row r="207" spans="1:3">
      <c r="A207" s="239" t="s">
        <v>548</v>
      </c>
      <c r="B207" s="234" t="s">
        <v>549</v>
      </c>
      <c r="C207" s="234" t="s">
        <v>364</v>
      </c>
    </row>
    <row r="208" spans="1:3">
      <c r="A208" s="239" t="s">
        <v>550</v>
      </c>
      <c r="B208" s="234" t="s">
        <v>551</v>
      </c>
      <c r="C208" s="234" t="s">
        <v>364</v>
      </c>
    </row>
    <row r="209" spans="1:3">
      <c r="A209" s="239" t="s">
        <v>552</v>
      </c>
      <c r="B209" s="234" t="s">
        <v>553</v>
      </c>
      <c r="C209" s="234" t="s">
        <v>364</v>
      </c>
    </row>
    <row r="210" spans="1:3">
      <c r="A210" s="239">
        <v>800590</v>
      </c>
      <c r="B210" s="234" t="s">
        <v>428</v>
      </c>
      <c r="C210" s="234" t="s">
        <v>366</v>
      </c>
    </row>
    <row r="211" spans="1:3">
      <c r="A211" s="239">
        <v>800591</v>
      </c>
      <c r="B211" s="234" t="s">
        <v>432</v>
      </c>
      <c r="C211" s="234" t="s">
        <v>366</v>
      </c>
    </row>
    <row r="212" spans="1:3">
      <c r="A212" s="239">
        <v>800705</v>
      </c>
      <c r="B212" s="234" t="s">
        <v>554</v>
      </c>
      <c r="C212" s="234" t="s">
        <v>392</v>
      </c>
    </row>
    <row r="213" spans="1:3">
      <c r="A213" s="239">
        <v>800591</v>
      </c>
      <c r="B213" s="234" t="s">
        <v>432</v>
      </c>
      <c r="C213" s="234" t="s">
        <v>366</v>
      </c>
    </row>
    <row r="214" spans="1:3">
      <c r="A214" s="239">
        <v>130277</v>
      </c>
      <c r="B214" s="234" t="s">
        <v>555</v>
      </c>
      <c r="C214" s="234" t="s">
        <v>389</v>
      </c>
    </row>
    <row r="215" spans="1:3">
      <c r="A215" s="239">
        <v>809293</v>
      </c>
      <c r="B215" s="234" t="s">
        <v>464</v>
      </c>
      <c r="C215" s="234" t="s">
        <v>364</v>
      </c>
    </row>
    <row r="216" spans="1:3">
      <c r="A216" s="239">
        <v>809294</v>
      </c>
      <c r="B216" s="234" t="s">
        <v>462</v>
      </c>
      <c r="C216" s="234" t="s">
        <v>364</v>
      </c>
    </row>
    <row r="217" spans="1:3">
      <c r="A217" s="239">
        <v>841714</v>
      </c>
      <c r="B217" s="234" t="s">
        <v>459</v>
      </c>
      <c r="C217" s="234" t="s">
        <v>364</v>
      </c>
    </row>
    <row r="218" spans="1:3">
      <c r="A218" s="239">
        <v>809287</v>
      </c>
      <c r="B218" s="234" t="s">
        <v>449</v>
      </c>
      <c r="C218" s="234" t="s">
        <v>364</v>
      </c>
    </row>
    <row r="219" spans="1:3">
      <c r="A219" s="239">
        <v>809293</v>
      </c>
      <c r="B219" s="234" t="s">
        <v>464</v>
      </c>
      <c r="C219" s="234" t="s">
        <v>364</v>
      </c>
    </row>
    <row r="220" spans="1:3">
      <c r="A220" s="239">
        <v>800333</v>
      </c>
      <c r="B220" s="234" t="s">
        <v>378</v>
      </c>
      <c r="C220" s="234" t="s">
        <v>378</v>
      </c>
    </row>
    <row r="221" spans="1:3">
      <c r="A221" s="239">
        <v>800333</v>
      </c>
      <c r="B221" s="234" t="s">
        <v>378</v>
      </c>
      <c r="C221" s="234" t="s">
        <v>378</v>
      </c>
    </row>
    <row r="222" spans="1:3">
      <c r="A222" s="239">
        <v>809294</v>
      </c>
      <c r="B222" s="234" t="s">
        <v>462</v>
      </c>
      <c r="C222" s="234" t="s">
        <v>364</v>
      </c>
    </row>
    <row r="223" spans="1:3">
      <c r="A223" s="239">
        <v>800345</v>
      </c>
      <c r="B223" s="234" t="s">
        <v>426</v>
      </c>
      <c r="C223" s="234" t="s">
        <v>407</v>
      </c>
    </row>
    <row r="224" spans="1:3">
      <c r="A224" s="239">
        <v>800345</v>
      </c>
      <c r="B224" s="234" t="s">
        <v>426</v>
      </c>
      <c r="C224" s="234" t="s">
        <v>407</v>
      </c>
    </row>
    <row r="225" spans="1:3">
      <c r="A225" s="239">
        <v>800346</v>
      </c>
      <c r="B225" s="234" t="s">
        <v>556</v>
      </c>
      <c r="C225" s="234" t="s">
        <v>407</v>
      </c>
    </row>
    <row r="226" spans="1:3">
      <c r="A226" s="239">
        <v>800346</v>
      </c>
      <c r="B226" s="234" t="s">
        <v>556</v>
      </c>
      <c r="C226" s="234" t="s">
        <v>407</v>
      </c>
    </row>
    <row r="227" spans="1:3">
      <c r="A227" s="239">
        <v>809289</v>
      </c>
      <c r="B227" s="234" t="s">
        <v>461</v>
      </c>
      <c r="C227" s="234" t="s">
        <v>364</v>
      </c>
    </row>
    <row r="228" spans="1:3">
      <c r="A228" s="239">
        <v>809290</v>
      </c>
      <c r="B228" s="234" t="s">
        <v>450</v>
      </c>
      <c r="C228" s="234" t="s">
        <v>364</v>
      </c>
    </row>
    <row r="229" spans="1:3">
      <c r="A229" s="239">
        <v>809288</v>
      </c>
      <c r="B229" s="234" t="s">
        <v>439</v>
      </c>
      <c r="C229" s="234" t="s">
        <v>364</v>
      </c>
    </row>
    <row r="230" spans="1:3">
      <c r="A230" s="239">
        <v>809291</v>
      </c>
      <c r="B230" s="234" t="s">
        <v>425</v>
      </c>
      <c r="C230" s="234" t="s">
        <v>364</v>
      </c>
    </row>
    <row r="231" spans="1:3">
      <c r="A231" s="239">
        <v>809291</v>
      </c>
      <c r="B231" s="234" t="s">
        <v>425</v>
      </c>
      <c r="C231" s="234" t="s">
        <v>364</v>
      </c>
    </row>
    <row r="232" spans="1:3">
      <c r="A232" s="239">
        <v>809284</v>
      </c>
      <c r="B232" s="234" t="s">
        <v>424</v>
      </c>
      <c r="C232" s="234" t="s">
        <v>364</v>
      </c>
    </row>
    <row r="233" spans="1:3">
      <c r="A233" s="239">
        <v>809295</v>
      </c>
      <c r="B233" s="234" t="s">
        <v>463</v>
      </c>
      <c r="C233" s="234" t="s">
        <v>364</v>
      </c>
    </row>
    <row r="234" spans="1:3">
      <c r="A234" s="239">
        <v>809295</v>
      </c>
      <c r="B234" s="234" t="s">
        <v>463</v>
      </c>
      <c r="C234" s="234" t="s">
        <v>364</v>
      </c>
    </row>
    <row r="235" spans="1:3">
      <c r="A235" s="239">
        <v>755490</v>
      </c>
      <c r="B235" s="234" t="s">
        <v>557</v>
      </c>
      <c r="C235" s="234" t="s">
        <v>364</v>
      </c>
    </row>
    <row r="236" spans="1:3">
      <c r="A236" s="239">
        <v>755491</v>
      </c>
      <c r="B236" s="234" t="s">
        <v>558</v>
      </c>
      <c r="C236" s="234" t="s">
        <v>364</v>
      </c>
    </row>
    <row r="237" spans="1:3">
      <c r="A237" s="239">
        <v>757557</v>
      </c>
      <c r="B237" s="234" t="s">
        <v>559</v>
      </c>
      <c r="C237" s="234" t="s">
        <v>364</v>
      </c>
    </row>
    <row r="238" spans="1:3">
      <c r="A238" s="239">
        <v>803845</v>
      </c>
      <c r="B238" s="234" t="s">
        <v>560</v>
      </c>
      <c r="C238" s="234" t="s">
        <v>384</v>
      </c>
    </row>
    <row r="239" spans="1:3">
      <c r="A239" s="239">
        <v>800333</v>
      </c>
      <c r="B239" s="234" t="s">
        <v>378</v>
      </c>
      <c r="C239" s="234" t="s">
        <v>378</v>
      </c>
    </row>
    <row r="240" spans="1:3">
      <c r="A240" s="239">
        <v>800333</v>
      </c>
      <c r="B240" s="234" t="s">
        <v>378</v>
      </c>
      <c r="C240" s="234" t="s">
        <v>378</v>
      </c>
    </row>
    <row r="241" spans="1:3">
      <c r="A241" s="239">
        <v>841353</v>
      </c>
      <c r="B241" s="234" t="s">
        <v>433</v>
      </c>
      <c r="C241" s="234" t="s">
        <v>362</v>
      </c>
    </row>
    <row r="242" spans="1:3">
      <c r="A242" s="239">
        <v>841353</v>
      </c>
      <c r="B242" s="234" t="s">
        <v>433</v>
      </c>
      <c r="C242" s="234" t="s">
        <v>362</v>
      </c>
    </row>
    <row r="243" spans="1:3">
      <c r="A243" s="239">
        <v>840209</v>
      </c>
      <c r="B243" s="234" t="s">
        <v>437</v>
      </c>
      <c r="C243" s="234" t="s">
        <v>362</v>
      </c>
    </row>
    <row r="244" spans="1:3">
      <c r="A244" s="239">
        <v>840209</v>
      </c>
      <c r="B244" s="234" t="s">
        <v>437</v>
      </c>
      <c r="C244" s="234" t="s">
        <v>362</v>
      </c>
    </row>
    <row r="245" spans="1:3">
      <c r="A245" s="239">
        <v>841714</v>
      </c>
      <c r="B245" s="234" t="s">
        <v>459</v>
      </c>
      <c r="C245" s="234" t="s">
        <v>364</v>
      </c>
    </row>
    <row r="246" spans="1:3">
      <c r="A246" s="239">
        <v>810450</v>
      </c>
      <c r="B246" s="234" t="s">
        <v>561</v>
      </c>
      <c r="C246" s="234" t="s">
        <v>372</v>
      </c>
    </row>
    <row r="247" spans="1:3">
      <c r="A247" s="239">
        <v>840209</v>
      </c>
      <c r="B247" s="234" t="s">
        <v>437</v>
      </c>
      <c r="C247" s="234" t="s">
        <v>362</v>
      </c>
    </row>
    <row r="248" spans="1:3">
      <c r="A248" s="239">
        <v>840209</v>
      </c>
      <c r="B248" s="234" t="s">
        <v>437</v>
      </c>
      <c r="C248" s="234" t="s">
        <v>362</v>
      </c>
    </row>
    <row r="249" spans="1:3">
      <c r="A249" s="239">
        <v>804711</v>
      </c>
      <c r="B249" s="234" t="s">
        <v>562</v>
      </c>
      <c r="C249" s="234" t="s">
        <v>357</v>
      </c>
    </row>
    <row r="250" spans="1:3">
      <c r="A250" s="239">
        <v>809286</v>
      </c>
      <c r="B250" s="234" t="s">
        <v>448</v>
      </c>
      <c r="C250" s="234" t="s">
        <v>364</v>
      </c>
    </row>
    <row r="251" spans="1:3">
      <c r="A251" s="239">
        <v>809286</v>
      </c>
      <c r="B251" s="234" t="s">
        <v>448</v>
      </c>
      <c r="C251" s="234" t="s">
        <v>364</v>
      </c>
    </row>
    <row r="252" spans="1:3">
      <c r="A252" s="239">
        <v>809284</v>
      </c>
      <c r="B252" s="234" t="s">
        <v>424</v>
      </c>
      <c r="C252" s="234" t="s">
        <v>364</v>
      </c>
    </row>
    <row r="253" spans="1:3">
      <c r="A253" s="239">
        <v>809568</v>
      </c>
      <c r="B253" s="234" t="s">
        <v>523</v>
      </c>
      <c r="C253" s="234" t="s">
        <v>364</v>
      </c>
    </row>
    <row r="254" spans="1:3">
      <c r="A254" s="239">
        <v>808148</v>
      </c>
      <c r="B254" s="234" t="s">
        <v>563</v>
      </c>
      <c r="C254" s="234" t="s">
        <v>399</v>
      </c>
    </row>
    <row r="255" spans="1:3">
      <c r="A255" s="239">
        <v>842443</v>
      </c>
      <c r="B255" s="234" t="s">
        <v>564</v>
      </c>
      <c r="C255" s="234" t="s">
        <v>375</v>
      </c>
    </row>
    <row r="256" spans="1:3">
      <c r="A256" s="239">
        <v>13115</v>
      </c>
      <c r="B256" s="234" t="s">
        <v>565</v>
      </c>
      <c r="C256" s="234" t="s">
        <v>376</v>
      </c>
    </row>
    <row r="257" spans="1:3">
      <c r="A257" s="239">
        <v>13457</v>
      </c>
      <c r="B257" s="234" t="s">
        <v>566</v>
      </c>
      <c r="C257" s="234" t="s">
        <v>381</v>
      </c>
    </row>
    <row r="258" spans="1:3">
      <c r="A258" s="239">
        <v>3423</v>
      </c>
      <c r="B258" s="234" t="s">
        <v>567</v>
      </c>
      <c r="C258" s="234" t="s">
        <v>394</v>
      </c>
    </row>
    <row r="259" spans="1:3">
      <c r="A259" s="239">
        <v>13103</v>
      </c>
      <c r="B259" s="234" t="s">
        <v>568</v>
      </c>
      <c r="C259" s="234" t="s">
        <v>364</v>
      </c>
    </row>
    <row r="260" spans="1:3">
      <c r="A260" s="239">
        <v>3424</v>
      </c>
      <c r="B260" s="234" t="s">
        <v>569</v>
      </c>
      <c r="C260" s="234" t="s">
        <v>394</v>
      </c>
    </row>
    <row r="261" spans="1:3">
      <c r="A261" s="239">
        <v>13462</v>
      </c>
      <c r="B261" s="234" t="s">
        <v>570</v>
      </c>
      <c r="C261" s="234" t="s">
        <v>364</v>
      </c>
    </row>
    <row r="262" spans="1:3">
      <c r="A262" s="239">
        <v>14428</v>
      </c>
      <c r="B262" s="234" t="s">
        <v>571</v>
      </c>
      <c r="C262" s="234" t="s">
        <v>364</v>
      </c>
    </row>
    <row r="263" spans="1:3">
      <c r="A263" s="239">
        <v>14119</v>
      </c>
      <c r="B263" s="234" t="s">
        <v>572</v>
      </c>
      <c r="C263" s="234" t="s">
        <v>376</v>
      </c>
    </row>
    <row r="264" spans="1:3">
      <c r="A264" s="239">
        <v>14442</v>
      </c>
      <c r="B264" s="234" t="s">
        <v>573</v>
      </c>
      <c r="C264" s="234" t="s">
        <v>364</v>
      </c>
    </row>
    <row r="265" spans="1:3">
      <c r="A265" s="239">
        <v>3520</v>
      </c>
      <c r="B265" s="234" t="s">
        <v>390</v>
      </c>
      <c r="C265" s="234" t="s">
        <v>390</v>
      </c>
    </row>
    <row r="266" spans="1:3">
      <c r="A266" s="239">
        <v>15264</v>
      </c>
      <c r="B266" s="234" t="s">
        <v>574</v>
      </c>
      <c r="C266" s="234" t="s">
        <v>364</v>
      </c>
    </row>
    <row r="267" spans="1:3">
      <c r="A267" s="239">
        <v>16307</v>
      </c>
      <c r="B267" s="234" t="s">
        <v>575</v>
      </c>
      <c r="C267" s="234" t="s">
        <v>364</v>
      </c>
    </row>
    <row r="268" spans="1:3">
      <c r="A268" s="239">
        <v>16503</v>
      </c>
      <c r="B268" s="234" t="s">
        <v>576</v>
      </c>
      <c r="C268" s="234" t="s">
        <v>364</v>
      </c>
    </row>
    <row r="269" spans="1:3">
      <c r="A269" s="239">
        <v>15187</v>
      </c>
      <c r="B269" s="234" t="s">
        <v>577</v>
      </c>
      <c r="C269" s="234" t="s">
        <v>376</v>
      </c>
    </row>
    <row r="270" spans="1:3">
      <c r="A270" s="239">
        <v>15073</v>
      </c>
      <c r="B270" s="234" t="s">
        <v>578</v>
      </c>
      <c r="C270" s="234" t="s">
        <v>364</v>
      </c>
    </row>
    <row r="271" spans="1:3">
      <c r="A271" s="239">
        <v>13464</v>
      </c>
      <c r="B271" s="234" t="s">
        <v>579</v>
      </c>
      <c r="C271" s="234" t="s">
        <v>364</v>
      </c>
    </row>
    <row r="272" spans="1:3">
      <c r="A272" s="239">
        <v>13315</v>
      </c>
      <c r="B272" s="234" t="s">
        <v>580</v>
      </c>
      <c r="C272" s="234" t="s">
        <v>364</v>
      </c>
    </row>
    <row r="273" spans="1:3">
      <c r="A273" s="239">
        <v>17649</v>
      </c>
      <c r="B273" s="234" t="s">
        <v>581</v>
      </c>
      <c r="C273" s="234" t="s">
        <v>378</v>
      </c>
    </row>
    <row r="274" spans="1:3">
      <c r="A274" s="239">
        <v>14584</v>
      </c>
      <c r="B274" s="234" t="s">
        <v>582</v>
      </c>
      <c r="C274" s="234" t="s">
        <v>364</v>
      </c>
    </row>
    <row r="275" spans="1:3">
      <c r="A275" s="239">
        <v>15122</v>
      </c>
      <c r="B275" s="234" t="s">
        <v>583</v>
      </c>
      <c r="C275" s="234" t="s">
        <v>376</v>
      </c>
    </row>
    <row r="276" spans="1:3">
      <c r="A276" s="239" t="s">
        <v>584</v>
      </c>
      <c r="B276" s="234" t="s">
        <v>585</v>
      </c>
      <c r="C276" s="234" t="s">
        <v>376</v>
      </c>
    </row>
    <row r="277" spans="1:3">
      <c r="A277" s="239">
        <v>15175</v>
      </c>
      <c r="B277" s="234" t="s">
        <v>586</v>
      </c>
      <c r="C277" s="234" t="s">
        <v>376</v>
      </c>
    </row>
    <row r="278" spans="1:3">
      <c r="A278" s="239">
        <v>15180</v>
      </c>
      <c r="B278" s="234" t="s">
        <v>587</v>
      </c>
      <c r="C278" s="234" t="s">
        <v>376</v>
      </c>
    </row>
    <row r="279" spans="1:3">
      <c r="A279" s="239" t="s">
        <v>588</v>
      </c>
      <c r="B279" s="234" t="s">
        <v>589</v>
      </c>
      <c r="C279" s="234" t="s">
        <v>376</v>
      </c>
    </row>
    <row r="280" spans="1:3">
      <c r="A280" s="239" t="s">
        <v>590</v>
      </c>
      <c r="B280" s="234" t="s">
        <v>591</v>
      </c>
      <c r="C280" s="234" t="s">
        <v>376</v>
      </c>
    </row>
    <row r="281" spans="1:3">
      <c r="A281" s="239" t="s">
        <v>592</v>
      </c>
      <c r="B281" s="234" t="s">
        <v>593</v>
      </c>
      <c r="C281" s="234" t="s">
        <v>376</v>
      </c>
    </row>
    <row r="282" spans="1:3">
      <c r="A282" s="239">
        <v>15182</v>
      </c>
      <c r="B282" s="234" t="s">
        <v>594</v>
      </c>
      <c r="C282" s="234" t="s">
        <v>376</v>
      </c>
    </row>
    <row r="283" spans="1:3">
      <c r="A283" s="239" t="s">
        <v>595</v>
      </c>
      <c r="B283" s="234" t="s">
        <v>596</v>
      </c>
      <c r="C283" s="234" t="s">
        <v>376</v>
      </c>
    </row>
    <row r="284" spans="1:3">
      <c r="A284" s="239" t="s">
        <v>597</v>
      </c>
      <c r="B284" s="234" t="s">
        <v>598</v>
      </c>
      <c r="C284" s="234" t="s">
        <v>376</v>
      </c>
    </row>
    <row r="285" spans="1:3">
      <c r="A285" s="239">
        <v>15161</v>
      </c>
      <c r="B285" s="234" t="s">
        <v>599</v>
      </c>
      <c r="C285" s="234" t="s">
        <v>376</v>
      </c>
    </row>
    <row r="286" spans="1:3">
      <c r="A286" s="239">
        <v>14756</v>
      </c>
      <c r="B286" s="234" t="s">
        <v>600</v>
      </c>
      <c r="C286" s="234" t="s">
        <v>411</v>
      </c>
    </row>
    <row r="287" spans="1:3">
      <c r="A287" s="239" t="s">
        <v>601</v>
      </c>
      <c r="B287" s="234" t="s">
        <v>602</v>
      </c>
      <c r="C287" s="234" t="s">
        <v>376</v>
      </c>
    </row>
    <row r="288" spans="1:3">
      <c r="A288" s="239" t="s">
        <v>603</v>
      </c>
      <c r="B288" s="234" t="s">
        <v>604</v>
      </c>
      <c r="C288" s="234" t="s">
        <v>376</v>
      </c>
    </row>
    <row r="289" spans="1:3">
      <c r="A289" s="239">
        <v>15123</v>
      </c>
      <c r="B289" s="234" t="s">
        <v>605</v>
      </c>
      <c r="C289" s="234" t="s">
        <v>376</v>
      </c>
    </row>
    <row r="290" spans="1:3">
      <c r="A290" s="239" t="s">
        <v>606</v>
      </c>
      <c r="B290" s="234" t="s">
        <v>607</v>
      </c>
      <c r="C290" s="234" t="s">
        <v>376</v>
      </c>
    </row>
    <row r="291" spans="1:3">
      <c r="A291" s="239">
        <v>15160</v>
      </c>
      <c r="B291" s="234" t="s">
        <v>608</v>
      </c>
      <c r="C291" s="234" t="s">
        <v>376</v>
      </c>
    </row>
    <row r="292" spans="1:3">
      <c r="A292" s="239" t="s">
        <v>609</v>
      </c>
      <c r="B292" s="234" t="s">
        <v>610</v>
      </c>
      <c r="C292" s="234" t="s">
        <v>388</v>
      </c>
    </row>
    <row r="293" spans="1:3">
      <c r="A293" s="239">
        <v>3832</v>
      </c>
      <c r="B293" s="234" t="s">
        <v>611</v>
      </c>
      <c r="C293" s="234" t="s">
        <v>386</v>
      </c>
    </row>
    <row r="294" spans="1:3">
      <c r="A294" s="239">
        <v>24141</v>
      </c>
      <c r="B294" s="234" t="s">
        <v>612</v>
      </c>
      <c r="C294" s="234" t="s">
        <v>383</v>
      </c>
    </row>
    <row r="295" spans="1:3">
      <c r="A295" s="239">
        <v>15177</v>
      </c>
      <c r="B295" s="234" t="s">
        <v>613</v>
      </c>
      <c r="C295" s="234" t="s">
        <v>376</v>
      </c>
    </row>
    <row r="296" spans="1:3">
      <c r="A296" s="239" t="s">
        <v>614</v>
      </c>
      <c r="B296" s="234" t="s">
        <v>615</v>
      </c>
      <c r="C296" s="234" t="s">
        <v>376</v>
      </c>
    </row>
    <row r="297" spans="1:3">
      <c r="A297" s="239">
        <v>800344</v>
      </c>
      <c r="B297" s="234" t="s">
        <v>458</v>
      </c>
      <c r="C297" s="234" t="s">
        <v>407</v>
      </c>
    </row>
    <row r="298" spans="1:3">
      <c r="A298" s="239">
        <v>800344</v>
      </c>
      <c r="B298" s="234" t="s">
        <v>458</v>
      </c>
      <c r="C298" s="234" t="s">
        <v>407</v>
      </c>
    </row>
    <row r="299" spans="1:3">
      <c r="A299" s="239">
        <v>800344</v>
      </c>
      <c r="B299" s="234" t="s">
        <v>458</v>
      </c>
      <c r="C299" s="234" t="s">
        <v>407</v>
      </c>
    </row>
    <row r="300" spans="1:3">
      <c r="A300" s="239">
        <v>840209</v>
      </c>
      <c r="B300" s="234" t="s">
        <v>437</v>
      </c>
      <c r="C300" s="234" t="s">
        <v>362</v>
      </c>
    </row>
    <row r="301" spans="1:3">
      <c r="A301" s="239">
        <v>840209</v>
      </c>
      <c r="B301" s="234" t="s">
        <v>437</v>
      </c>
      <c r="C301" s="234" t="s">
        <v>362</v>
      </c>
    </row>
    <row r="302" spans="1:3">
      <c r="A302" s="239">
        <v>841353</v>
      </c>
      <c r="B302" s="234" t="s">
        <v>433</v>
      </c>
      <c r="C302" s="234" t="s">
        <v>362</v>
      </c>
    </row>
    <row r="303" spans="1:3">
      <c r="A303" s="239">
        <v>841353</v>
      </c>
      <c r="B303" s="234" t="s">
        <v>433</v>
      </c>
      <c r="C303" s="234" t="s">
        <v>362</v>
      </c>
    </row>
    <row r="304" spans="1:3">
      <c r="A304" s="239">
        <v>800333</v>
      </c>
      <c r="B304" s="234" t="s">
        <v>378</v>
      </c>
      <c r="C304" s="234" t="s">
        <v>378</v>
      </c>
    </row>
    <row r="305" spans="1:3">
      <c r="A305" s="239">
        <v>800333</v>
      </c>
      <c r="B305" s="234" t="s">
        <v>378</v>
      </c>
      <c r="C305" s="234" t="s">
        <v>378</v>
      </c>
    </row>
    <row r="306" spans="1:3">
      <c r="A306" s="239">
        <v>809288</v>
      </c>
      <c r="B306" s="234" t="s">
        <v>439</v>
      </c>
      <c r="C306" s="234" t="s">
        <v>364</v>
      </c>
    </row>
    <row r="307" spans="1:3">
      <c r="A307" s="239">
        <v>809290</v>
      </c>
      <c r="B307" s="234" t="s">
        <v>450</v>
      </c>
      <c r="C307" s="234" t="s">
        <v>364</v>
      </c>
    </row>
    <row r="308" spans="1:3">
      <c r="A308" s="239">
        <v>809287</v>
      </c>
      <c r="B308" s="234" t="s">
        <v>449</v>
      </c>
      <c r="C308" s="234" t="s">
        <v>364</v>
      </c>
    </row>
    <row r="309" spans="1:3">
      <c r="A309" s="239">
        <v>809291</v>
      </c>
      <c r="B309" s="234" t="s">
        <v>425</v>
      </c>
      <c r="C309" s="234" t="s">
        <v>364</v>
      </c>
    </row>
    <row r="310" spans="1:3">
      <c r="A310" s="239">
        <v>809292</v>
      </c>
      <c r="B310" s="234" t="s">
        <v>451</v>
      </c>
      <c r="C310" s="234" t="s">
        <v>364</v>
      </c>
    </row>
    <row r="311" spans="1:3">
      <c r="A311" s="239">
        <v>800345</v>
      </c>
      <c r="B311" s="234" t="s">
        <v>426</v>
      </c>
      <c r="C311" s="234" t="s">
        <v>407</v>
      </c>
    </row>
    <row r="312" spans="1:3">
      <c r="A312" s="239">
        <v>800345</v>
      </c>
      <c r="B312" s="234" t="s">
        <v>426</v>
      </c>
      <c r="C312" s="234" t="s">
        <v>407</v>
      </c>
    </row>
    <row r="313" spans="1:3">
      <c r="A313" s="239">
        <v>840209</v>
      </c>
      <c r="B313" s="234" t="s">
        <v>437</v>
      </c>
      <c r="C313" s="234" t="s">
        <v>362</v>
      </c>
    </row>
    <row r="314" spans="1:3">
      <c r="A314" s="239">
        <v>800208</v>
      </c>
      <c r="B314" s="234" t="s">
        <v>616</v>
      </c>
      <c r="C314" s="234" t="s">
        <v>406</v>
      </c>
    </row>
    <row r="315" spans="1:3">
      <c r="A315" s="239">
        <v>800208</v>
      </c>
      <c r="B315" s="234" t="s">
        <v>616</v>
      </c>
      <c r="C315" s="234" t="s">
        <v>406</v>
      </c>
    </row>
    <row r="316" spans="1:3">
      <c r="A316" s="239">
        <v>800765</v>
      </c>
      <c r="B316" s="234" t="s">
        <v>617</v>
      </c>
      <c r="C316" s="234" t="s">
        <v>406</v>
      </c>
    </row>
    <row r="317" spans="1:3">
      <c r="A317" s="239">
        <v>800765</v>
      </c>
      <c r="B317" s="234" t="s">
        <v>617</v>
      </c>
      <c r="C317" s="234" t="s">
        <v>406</v>
      </c>
    </row>
    <row r="318" spans="1:3">
      <c r="A318" s="239">
        <v>809293</v>
      </c>
      <c r="B318" s="234" t="s">
        <v>464</v>
      </c>
      <c r="C318" s="234" t="s">
        <v>364</v>
      </c>
    </row>
    <row r="319" spans="1:3">
      <c r="A319" s="239">
        <v>841714</v>
      </c>
      <c r="B319" s="234" t="s">
        <v>459</v>
      </c>
      <c r="C319" s="234" t="s">
        <v>364</v>
      </c>
    </row>
    <row r="320" spans="1:3">
      <c r="A320" s="239">
        <v>809294</v>
      </c>
      <c r="B320" s="234" t="s">
        <v>462</v>
      </c>
      <c r="C320" s="234" t="s">
        <v>364</v>
      </c>
    </row>
    <row r="321" spans="1:3">
      <c r="A321" s="239">
        <v>800590</v>
      </c>
      <c r="B321" s="234" t="s">
        <v>428</v>
      </c>
      <c r="C321" s="234" t="s">
        <v>366</v>
      </c>
    </row>
    <row r="322" spans="1:3">
      <c r="A322" s="239">
        <v>800591</v>
      </c>
      <c r="B322" s="234" t="s">
        <v>432</v>
      </c>
      <c r="C322" s="234" t="s">
        <v>366</v>
      </c>
    </row>
    <row r="323" spans="1:3">
      <c r="A323" s="239">
        <v>841353</v>
      </c>
      <c r="B323" s="234" t="s">
        <v>433</v>
      </c>
      <c r="C323" s="234" t="s">
        <v>362</v>
      </c>
    </row>
    <row r="324" spans="1:3">
      <c r="A324" s="239">
        <v>841353</v>
      </c>
      <c r="B324" s="234" t="s">
        <v>433</v>
      </c>
      <c r="C324" s="234" t="s">
        <v>362</v>
      </c>
    </row>
    <row r="325" spans="1:3">
      <c r="A325" s="239">
        <v>840209</v>
      </c>
      <c r="B325" s="234" t="s">
        <v>437</v>
      </c>
      <c r="C325" s="234" t="s">
        <v>362</v>
      </c>
    </row>
    <row r="326" spans="1:3">
      <c r="A326" s="239">
        <v>840209</v>
      </c>
      <c r="B326" s="234" t="s">
        <v>437</v>
      </c>
      <c r="C326" s="234" t="s">
        <v>362</v>
      </c>
    </row>
    <row r="327" spans="1:3">
      <c r="A327" s="239">
        <v>800333</v>
      </c>
      <c r="B327" s="234" t="s">
        <v>378</v>
      </c>
      <c r="C327" s="234" t="s">
        <v>378</v>
      </c>
    </row>
    <row r="328" spans="1:3">
      <c r="A328" s="239">
        <v>800333</v>
      </c>
      <c r="B328" s="234" t="s">
        <v>378</v>
      </c>
      <c r="C328" s="234" t="s">
        <v>378</v>
      </c>
    </row>
    <row r="329" spans="1:3">
      <c r="A329" s="239">
        <v>809289</v>
      </c>
      <c r="B329" s="234" t="s">
        <v>461</v>
      </c>
      <c r="C329" s="234" t="s">
        <v>364</v>
      </c>
    </row>
    <row r="330" spans="1:3">
      <c r="A330" s="239">
        <v>809289</v>
      </c>
      <c r="B330" s="234" t="s">
        <v>461</v>
      </c>
      <c r="C330" s="234" t="s">
        <v>364</v>
      </c>
    </row>
    <row r="331" spans="1:3">
      <c r="A331" s="239">
        <v>804009</v>
      </c>
      <c r="B331" s="234" t="s">
        <v>457</v>
      </c>
      <c r="C331" s="234" t="s">
        <v>376</v>
      </c>
    </row>
    <row r="332" spans="1:3">
      <c r="A332" s="239">
        <v>841353</v>
      </c>
      <c r="B332" s="234" t="s">
        <v>433</v>
      </c>
      <c r="C332" s="234" t="s">
        <v>362</v>
      </c>
    </row>
    <row r="333" spans="1:3">
      <c r="A333" s="239">
        <v>841353</v>
      </c>
      <c r="B333" s="234" t="s">
        <v>433</v>
      </c>
      <c r="C333" s="234" t="s">
        <v>362</v>
      </c>
    </row>
    <row r="334" spans="1:3">
      <c r="A334" s="239">
        <v>840209</v>
      </c>
      <c r="B334" s="234" t="s">
        <v>437</v>
      </c>
      <c r="C334" s="234" t="s">
        <v>362</v>
      </c>
    </row>
    <row r="335" spans="1:3">
      <c r="A335" s="239">
        <v>840209</v>
      </c>
      <c r="B335" s="234" t="s">
        <v>437</v>
      </c>
      <c r="C335" s="234" t="s">
        <v>362</v>
      </c>
    </row>
    <row r="336" spans="1:3">
      <c r="A336" s="239">
        <v>800345</v>
      </c>
      <c r="B336" s="234" t="s">
        <v>426</v>
      </c>
      <c r="C336" s="234" t="s">
        <v>407</v>
      </c>
    </row>
    <row r="337" spans="1:3">
      <c r="A337" s="239">
        <v>800345</v>
      </c>
      <c r="B337" s="234" t="s">
        <v>426</v>
      </c>
      <c r="C337" s="234" t="s">
        <v>407</v>
      </c>
    </row>
    <row r="338" spans="1:3">
      <c r="A338" s="239">
        <v>800346</v>
      </c>
      <c r="B338" s="234" t="s">
        <v>556</v>
      </c>
      <c r="C338" s="234" t="s">
        <v>407</v>
      </c>
    </row>
    <row r="339" spans="1:3">
      <c r="A339" s="239">
        <v>800346</v>
      </c>
      <c r="B339" s="234" t="s">
        <v>556</v>
      </c>
      <c r="C339" s="234" t="s">
        <v>407</v>
      </c>
    </row>
    <row r="340" spans="1:3">
      <c r="A340" s="239">
        <v>840446</v>
      </c>
      <c r="B340" s="234" t="s">
        <v>618</v>
      </c>
      <c r="C340" s="234" t="s">
        <v>362</v>
      </c>
    </row>
    <row r="341" spans="1:3">
      <c r="A341" s="239">
        <v>840446</v>
      </c>
      <c r="B341" s="234" t="s">
        <v>618</v>
      </c>
      <c r="C341" s="234" t="s">
        <v>362</v>
      </c>
    </row>
    <row r="342" spans="1:3">
      <c r="A342" s="239">
        <v>843022</v>
      </c>
      <c r="B342" s="234" t="s">
        <v>619</v>
      </c>
      <c r="C342" s="234" t="s">
        <v>362</v>
      </c>
    </row>
    <row r="343" spans="1:3">
      <c r="A343" s="239">
        <v>843022</v>
      </c>
      <c r="B343" s="234" t="s">
        <v>619</v>
      </c>
      <c r="C343" s="234" t="s">
        <v>362</v>
      </c>
    </row>
    <row r="344" spans="1:3">
      <c r="A344" s="239">
        <v>809285</v>
      </c>
      <c r="B344" s="234" t="s">
        <v>447</v>
      </c>
      <c r="C344" s="234" t="s">
        <v>364</v>
      </c>
    </row>
    <row r="345" spans="1:3">
      <c r="A345" s="239">
        <v>809292</v>
      </c>
      <c r="B345" s="234" t="s">
        <v>451</v>
      </c>
      <c r="C345" s="234" t="s">
        <v>364</v>
      </c>
    </row>
    <row r="346" spans="1:3">
      <c r="A346" s="239">
        <v>809293</v>
      </c>
      <c r="B346" s="234" t="s">
        <v>464</v>
      </c>
      <c r="C346" s="234" t="s">
        <v>364</v>
      </c>
    </row>
    <row r="347" spans="1:3">
      <c r="A347" s="239">
        <v>842261</v>
      </c>
      <c r="B347" s="234" t="s">
        <v>620</v>
      </c>
      <c r="C347" s="234" t="s">
        <v>376</v>
      </c>
    </row>
    <row r="348" spans="1:3">
      <c r="A348" s="239">
        <v>809288</v>
      </c>
      <c r="B348" s="234" t="s">
        <v>439</v>
      </c>
      <c r="C348" s="234" t="s">
        <v>364</v>
      </c>
    </row>
    <row r="349" spans="1:3">
      <c r="A349" s="239">
        <v>809288</v>
      </c>
      <c r="B349" s="234" t="s">
        <v>439</v>
      </c>
      <c r="C349" s="234" t="s">
        <v>364</v>
      </c>
    </row>
    <row r="350" spans="1:3">
      <c r="A350" s="239">
        <v>809288</v>
      </c>
      <c r="B350" s="234" t="s">
        <v>439</v>
      </c>
      <c r="C350" s="234" t="s">
        <v>364</v>
      </c>
    </row>
    <row r="351" spans="1:3">
      <c r="A351" s="239">
        <v>809288</v>
      </c>
      <c r="B351" s="234" t="s">
        <v>439</v>
      </c>
      <c r="C351" s="234" t="s">
        <v>364</v>
      </c>
    </row>
    <row r="352" spans="1:3">
      <c r="A352" s="239">
        <v>809284</v>
      </c>
      <c r="B352" s="234" t="s">
        <v>424</v>
      </c>
      <c r="C352" s="234" t="s">
        <v>364</v>
      </c>
    </row>
    <row r="353" spans="1:3">
      <c r="A353" s="239">
        <v>715516</v>
      </c>
      <c r="B353" s="234" t="s">
        <v>621</v>
      </c>
      <c r="C353" s="234" t="s">
        <v>359</v>
      </c>
    </row>
    <row r="354" spans="1:3">
      <c r="A354" s="239">
        <v>771271</v>
      </c>
      <c r="B354" s="234" t="s">
        <v>622</v>
      </c>
      <c r="C354" s="234" t="s">
        <v>376</v>
      </c>
    </row>
    <row r="355" spans="1:3">
      <c r="A355" s="239">
        <v>777389</v>
      </c>
      <c r="B355" s="234" t="s">
        <v>623</v>
      </c>
      <c r="C355" s="234" t="s">
        <v>356</v>
      </c>
    </row>
    <row r="356" spans="1:3">
      <c r="A356" s="239">
        <v>250179</v>
      </c>
      <c r="B356" s="234" t="s">
        <v>624</v>
      </c>
      <c r="C356" s="234" t="s">
        <v>378</v>
      </c>
    </row>
    <row r="357" spans="1:3">
      <c r="A357" s="239">
        <v>777848</v>
      </c>
      <c r="B357" s="234" t="s">
        <v>625</v>
      </c>
      <c r="C357" s="234" t="s">
        <v>408</v>
      </c>
    </row>
    <row r="358" spans="1:3">
      <c r="A358" s="239">
        <v>773372</v>
      </c>
      <c r="B358" s="234" t="s">
        <v>626</v>
      </c>
      <c r="C358" s="234" t="s">
        <v>364</v>
      </c>
    </row>
    <row r="359" spans="1:3">
      <c r="A359" s="239">
        <v>842872</v>
      </c>
      <c r="B359" s="234" t="s">
        <v>627</v>
      </c>
      <c r="C359" s="234" t="s">
        <v>364</v>
      </c>
    </row>
    <row r="360" spans="1:3">
      <c r="A360" s="239">
        <v>809569</v>
      </c>
      <c r="B360" s="234" t="s">
        <v>628</v>
      </c>
      <c r="C360" s="234" t="s">
        <v>364</v>
      </c>
    </row>
    <row r="361" spans="1:3">
      <c r="A361" s="239">
        <v>809568</v>
      </c>
      <c r="B361" s="234" t="s">
        <v>523</v>
      </c>
      <c r="C361" s="234" t="s">
        <v>364</v>
      </c>
    </row>
    <row r="362" spans="1:3">
      <c r="A362" s="239">
        <v>841713</v>
      </c>
      <c r="B362" s="234" t="s">
        <v>629</v>
      </c>
      <c r="C362" s="234" t="s">
        <v>364</v>
      </c>
    </row>
    <row r="363" spans="1:3">
      <c r="A363" s="239">
        <v>841714</v>
      </c>
      <c r="B363" s="234" t="s">
        <v>459</v>
      </c>
      <c r="C363" s="234" t="s">
        <v>364</v>
      </c>
    </row>
    <row r="364" spans="1:3">
      <c r="A364" s="239">
        <v>810450</v>
      </c>
      <c r="B364" s="234" t="s">
        <v>561</v>
      </c>
      <c r="C364" s="234" t="s">
        <v>372</v>
      </c>
    </row>
    <row r="365" spans="1:3">
      <c r="A365" s="239">
        <v>840209</v>
      </c>
      <c r="B365" s="234" t="s">
        <v>437</v>
      </c>
      <c r="C365" s="234" t="s">
        <v>362</v>
      </c>
    </row>
    <row r="366" spans="1:3">
      <c r="A366" s="239">
        <v>840209</v>
      </c>
      <c r="B366" s="234" t="s">
        <v>437</v>
      </c>
      <c r="C366" s="234" t="s">
        <v>362</v>
      </c>
    </row>
    <row r="367" spans="1:3">
      <c r="A367" s="239">
        <v>800345</v>
      </c>
      <c r="B367" s="234" t="s">
        <v>426</v>
      </c>
      <c r="C367" s="234" t="s">
        <v>407</v>
      </c>
    </row>
    <row r="368" spans="1:3">
      <c r="A368" s="239">
        <v>800345</v>
      </c>
      <c r="B368" s="234" t="s">
        <v>426</v>
      </c>
      <c r="C368" s="234" t="s">
        <v>407</v>
      </c>
    </row>
    <row r="369" spans="1:3">
      <c r="A369" s="239">
        <v>800346</v>
      </c>
      <c r="B369" s="234" t="s">
        <v>556</v>
      </c>
      <c r="C369" s="234" t="s">
        <v>407</v>
      </c>
    </row>
    <row r="370" spans="1:3">
      <c r="A370" s="239">
        <v>800346</v>
      </c>
      <c r="B370" s="234" t="s">
        <v>556</v>
      </c>
      <c r="C370" s="234" t="s">
        <v>407</v>
      </c>
    </row>
    <row r="371" spans="1:3">
      <c r="A371" s="239">
        <v>840209</v>
      </c>
      <c r="B371" s="234" t="s">
        <v>437</v>
      </c>
      <c r="C371" s="234" t="s">
        <v>362</v>
      </c>
    </row>
    <row r="372" spans="1:3">
      <c r="A372" s="239">
        <v>840209</v>
      </c>
      <c r="B372" s="234" t="s">
        <v>437</v>
      </c>
      <c r="C372" s="234" t="s">
        <v>362</v>
      </c>
    </row>
    <row r="373" spans="1:3">
      <c r="A373" s="239">
        <v>809284</v>
      </c>
      <c r="B373" s="234" t="s">
        <v>424</v>
      </c>
      <c r="C373" s="234" t="s">
        <v>364</v>
      </c>
    </row>
    <row r="374" spans="1:3">
      <c r="A374" s="239">
        <v>809568</v>
      </c>
      <c r="B374" s="234" t="s">
        <v>523</v>
      </c>
      <c r="C374" s="234" t="s">
        <v>364</v>
      </c>
    </row>
    <row r="375" spans="1:3">
      <c r="A375" s="239">
        <v>10903</v>
      </c>
      <c r="B375" s="234" t="s">
        <v>630</v>
      </c>
      <c r="C375" s="234" t="s">
        <v>376</v>
      </c>
    </row>
    <row r="376" spans="1:3">
      <c r="A376" s="239">
        <v>10902</v>
      </c>
      <c r="B376" s="234" t="s">
        <v>631</v>
      </c>
      <c r="C376" s="234" t="s">
        <v>376</v>
      </c>
    </row>
    <row r="377" spans="1:3">
      <c r="A377" s="239">
        <v>11991</v>
      </c>
      <c r="B377" s="234" t="s">
        <v>632</v>
      </c>
      <c r="C377" s="234" t="s">
        <v>356</v>
      </c>
    </row>
    <row r="378" spans="1:3">
      <c r="A378" s="239">
        <v>3520</v>
      </c>
      <c r="B378" s="234" t="s">
        <v>390</v>
      </c>
      <c r="C378" s="234" t="s">
        <v>390</v>
      </c>
    </row>
    <row r="379" spans="1:3">
      <c r="A379" s="239">
        <v>20136</v>
      </c>
      <c r="B379" s="234" t="s">
        <v>633</v>
      </c>
      <c r="C379" s="234" t="s">
        <v>370</v>
      </c>
    </row>
    <row r="380" spans="1:3">
      <c r="A380" s="239">
        <v>3626</v>
      </c>
      <c r="B380" s="234" t="s">
        <v>634</v>
      </c>
      <c r="C380" s="234" t="s">
        <v>285</v>
      </c>
    </row>
    <row r="381" spans="1:3">
      <c r="A381" s="239">
        <v>2750</v>
      </c>
      <c r="B381" s="234" t="s">
        <v>635</v>
      </c>
      <c r="C381" s="234" t="s">
        <v>358</v>
      </c>
    </row>
    <row r="382" spans="1:3">
      <c r="A382" s="239">
        <v>26994</v>
      </c>
      <c r="B382" s="234" t="s">
        <v>636</v>
      </c>
      <c r="C382" s="234" t="s">
        <v>385</v>
      </c>
    </row>
    <row r="383" spans="1:3">
      <c r="A383" s="239">
        <v>2238</v>
      </c>
      <c r="B383" s="234" t="s">
        <v>637</v>
      </c>
      <c r="C383" s="234" t="s">
        <v>394</v>
      </c>
    </row>
    <row r="384" spans="1:3">
      <c r="A384" s="239">
        <v>12743</v>
      </c>
      <c r="B384" s="234" t="s">
        <v>638</v>
      </c>
      <c r="C384" s="234" t="s">
        <v>376</v>
      </c>
    </row>
    <row r="385" spans="1:3">
      <c r="A385" s="239">
        <v>10061</v>
      </c>
      <c r="B385" s="234" t="s">
        <v>639</v>
      </c>
      <c r="C385" s="234" t="s">
        <v>400</v>
      </c>
    </row>
    <row r="386" spans="1:3">
      <c r="A386" s="239">
        <v>2234</v>
      </c>
      <c r="B386" s="234" t="s">
        <v>640</v>
      </c>
      <c r="C386" s="234" t="s">
        <v>394</v>
      </c>
    </row>
    <row r="387" spans="1:3">
      <c r="A387" s="239">
        <v>15698</v>
      </c>
      <c r="B387" s="234" t="s">
        <v>641</v>
      </c>
      <c r="C387" s="234" t="s">
        <v>404</v>
      </c>
    </row>
    <row r="388" spans="1:3">
      <c r="A388" s="239">
        <v>23176</v>
      </c>
      <c r="B388" s="234" t="s">
        <v>642</v>
      </c>
      <c r="C388" s="234" t="s">
        <v>361</v>
      </c>
    </row>
    <row r="389" spans="1:3">
      <c r="A389" s="239">
        <v>200179</v>
      </c>
      <c r="B389" s="234" t="s">
        <v>643</v>
      </c>
      <c r="C389" s="234" t="s">
        <v>360</v>
      </c>
    </row>
    <row r="390" spans="1:3">
      <c r="A390" s="239">
        <v>201998</v>
      </c>
      <c r="B390" s="234" t="s">
        <v>644</v>
      </c>
      <c r="C390" s="234" t="s">
        <v>371</v>
      </c>
    </row>
    <row r="391" spans="1:3">
      <c r="A391" s="239">
        <v>200254</v>
      </c>
      <c r="B391" s="234" t="s">
        <v>645</v>
      </c>
      <c r="C391" s="234" t="s">
        <v>355</v>
      </c>
    </row>
    <row r="392" spans="1:3">
      <c r="A392" s="239">
        <v>205376</v>
      </c>
      <c r="B392" s="234" t="s">
        <v>646</v>
      </c>
      <c r="C392" s="234" t="s">
        <v>391</v>
      </c>
    </row>
    <row r="393" spans="1:3">
      <c r="A393" s="239">
        <v>204936</v>
      </c>
      <c r="B393" s="234" t="s">
        <v>647</v>
      </c>
      <c r="C393" s="234" t="s">
        <v>391</v>
      </c>
    </row>
    <row r="394" spans="1:3">
      <c r="A394" s="239">
        <v>17649</v>
      </c>
      <c r="B394" s="234" t="s">
        <v>581</v>
      </c>
      <c r="C394" s="234" t="s">
        <v>378</v>
      </c>
    </row>
    <row r="395" spans="1:3">
      <c r="A395" s="239">
        <v>204310</v>
      </c>
      <c r="B395" s="234" t="s">
        <v>648</v>
      </c>
      <c r="C395" s="234" t="s">
        <v>393</v>
      </c>
    </row>
    <row r="396" spans="1:3">
      <c r="A396" s="239">
        <v>16210</v>
      </c>
      <c r="B396" s="234" t="s">
        <v>649</v>
      </c>
      <c r="C396" s="234" t="s">
        <v>403</v>
      </c>
    </row>
    <row r="397" spans="1:3">
      <c r="A397" s="239">
        <v>910421</v>
      </c>
      <c r="B397" s="234" t="s">
        <v>650</v>
      </c>
      <c r="C397" s="234" t="s">
        <v>405</v>
      </c>
    </row>
    <row r="398" spans="1:3">
      <c r="A398" s="239">
        <v>204452</v>
      </c>
      <c r="B398" s="234" t="s">
        <v>651</v>
      </c>
      <c r="C398" s="234" t="s">
        <v>410</v>
      </c>
    </row>
    <row r="399" spans="1:3">
      <c r="A399" s="239">
        <v>205532</v>
      </c>
      <c r="B399" s="234" t="s">
        <v>652</v>
      </c>
      <c r="C399" s="234" t="s">
        <v>391</v>
      </c>
    </row>
    <row r="400" spans="1:3">
      <c r="A400" s="239">
        <v>201241</v>
      </c>
      <c r="B400" s="234" t="s">
        <v>653</v>
      </c>
      <c r="C400" s="234" t="s">
        <v>355</v>
      </c>
    </row>
    <row r="401" spans="1:3">
      <c r="A401" s="239">
        <v>200084</v>
      </c>
      <c r="B401" s="234" t="s">
        <v>654</v>
      </c>
      <c r="C401" s="234" t="s">
        <v>371</v>
      </c>
    </row>
    <row r="402" spans="1:3">
      <c r="A402" s="239">
        <v>81520</v>
      </c>
      <c r="B402" s="234" t="s">
        <v>655</v>
      </c>
      <c r="C402" s="234" t="s">
        <v>405</v>
      </c>
    </row>
    <row r="403" spans="1:3">
      <c r="A403" s="239">
        <v>204162</v>
      </c>
      <c r="B403" s="234" t="s">
        <v>656</v>
      </c>
      <c r="C403" s="234" t="s">
        <v>371</v>
      </c>
    </row>
    <row r="404" spans="1:3">
      <c r="A404" s="239">
        <v>204348</v>
      </c>
      <c r="B404" s="234" t="s">
        <v>657</v>
      </c>
      <c r="C404" s="234" t="s">
        <v>410</v>
      </c>
    </row>
    <row r="405" spans="1:3">
      <c r="A405" s="239">
        <v>208548</v>
      </c>
      <c r="B405" s="234" t="s">
        <v>658</v>
      </c>
      <c r="C405" s="234" t="s">
        <v>391</v>
      </c>
    </row>
    <row r="406" spans="1:3">
      <c r="A406" s="239">
        <v>204100</v>
      </c>
      <c r="B406" s="234" t="s">
        <v>659</v>
      </c>
      <c r="C406" s="234" t="s">
        <v>410</v>
      </c>
    </row>
    <row r="407" spans="1:3">
      <c r="A407" s="239" t="s">
        <v>660</v>
      </c>
      <c r="B407" s="234" t="s">
        <v>661</v>
      </c>
      <c r="C407" s="234" t="s">
        <v>409</v>
      </c>
    </row>
    <row r="408" spans="1:3">
      <c r="A408" s="239">
        <v>909508</v>
      </c>
      <c r="B408" s="234" t="s">
        <v>529</v>
      </c>
      <c r="C408" s="234" t="s">
        <v>387</v>
      </c>
    </row>
    <row r="409" spans="1:3">
      <c r="A409" s="239">
        <v>208325</v>
      </c>
      <c r="B409" s="234" t="s">
        <v>662</v>
      </c>
      <c r="C409" s="234" t="s">
        <v>391</v>
      </c>
    </row>
    <row r="410" spans="1:3">
      <c r="A410" s="239">
        <v>250265</v>
      </c>
      <c r="B410" s="234" t="s">
        <v>663</v>
      </c>
      <c r="C410" s="234" t="s">
        <v>391</v>
      </c>
    </row>
    <row r="411" spans="1:3">
      <c r="A411" s="239">
        <v>207649</v>
      </c>
      <c r="B411" s="234" t="s">
        <v>664</v>
      </c>
      <c r="C411" s="234" t="s">
        <v>391</v>
      </c>
    </row>
    <row r="412" spans="1:3">
      <c r="A412" s="239">
        <v>910418</v>
      </c>
      <c r="B412" s="234" t="s">
        <v>665</v>
      </c>
      <c r="C412" s="234" t="s">
        <v>405</v>
      </c>
    </row>
    <row r="413" spans="1:3">
      <c r="A413" s="239">
        <v>910417</v>
      </c>
      <c r="B413" s="234" t="s">
        <v>666</v>
      </c>
      <c r="C413" s="234" t="s">
        <v>405</v>
      </c>
    </row>
    <row r="414" spans="1:3">
      <c r="A414" s="239">
        <v>205048</v>
      </c>
      <c r="B414" s="234" t="s">
        <v>667</v>
      </c>
      <c r="C414" s="234" t="s">
        <v>410</v>
      </c>
    </row>
    <row r="415" spans="1:3">
      <c r="A415" s="239">
        <v>20739</v>
      </c>
      <c r="B415" s="234" t="s">
        <v>668</v>
      </c>
      <c r="C415" s="234" t="s">
        <v>359</v>
      </c>
    </row>
    <row r="416" spans="1:3">
      <c r="A416" s="239">
        <v>910489</v>
      </c>
      <c r="B416" s="234" t="s">
        <v>669</v>
      </c>
      <c r="C416" s="234" t="s">
        <v>405</v>
      </c>
    </row>
    <row r="417" spans="1:3">
      <c r="A417" s="239">
        <v>208321</v>
      </c>
      <c r="B417" s="234" t="s">
        <v>670</v>
      </c>
      <c r="C417" s="234" t="s">
        <v>391</v>
      </c>
    </row>
    <row r="418" spans="1:3">
      <c r="A418" s="239">
        <v>207509</v>
      </c>
      <c r="B418" s="234" t="s">
        <v>671</v>
      </c>
      <c r="C418" s="234" t="s">
        <v>391</v>
      </c>
    </row>
    <row r="419" spans="1:3">
      <c r="A419" s="239">
        <v>208601</v>
      </c>
      <c r="B419" s="234" t="s">
        <v>672</v>
      </c>
      <c r="C419" s="234" t="s">
        <v>391</v>
      </c>
    </row>
    <row r="420" spans="1:3">
      <c r="A420" s="239">
        <v>908584</v>
      </c>
      <c r="B420" s="234" t="s">
        <v>673</v>
      </c>
      <c r="C420" s="234" t="s">
        <v>395</v>
      </c>
    </row>
    <row r="421" spans="1:3">
      <c r="A421" s="239">
        <v>208595</v>
      </c>
      <c r="B421" s="234" t="s">
        <v>674</v>
      </c>
      <c r="C421" s="234" t="s">
        <v>391</v>
      </c>
    </row>
    <row r="422" spans="1:3">
      <c r="A422" s="239" t="s">
        <v>675</v>
      </c>
      <c r="B422" s="234" t="s">
        <v>676</v>
      </c>
      <c r="C422" s="234" t="s">
        <v>364</v>
      </c>
    </row>
    <row r="423" spans="1:3">
      <c r="A423" s="239" t="s">
        <v>677</v>
      </c>
      <c r="B423" s="234" t="s">
        <v>678</v>
      </c>
      <c r="C423" s="234" t="s">
        <v>364</v>
      </c>
    </row>
    <row r="424" spans="1:3">
      <c r="A424" s="239">
        <v>804400</v>
      </c>
      <c r="B424" s="234" t="s">
        <v>679</v>
      </c>
      <c r="C424" s="234" t="s">
        <v>360</v>
      </c>
    </row>
    <row r="425" spans="1:3">
      <c r="A425" s="239">
        <v>803355</v>
      </c>
      <c r="B425" s="234" t="s">
        <v>680</v>
      </c>
      <c r="C425" s="234" t="s">
        <v>357</v>
      </c>
    </row>
    <row r="426" spans="1:3">
      <c r="A426" s="239">
        <v>807256</v>
      </c>
      <c r="B426" s="234" t="s">
        <v>681</v>
      </c>
      <c r="C426" s="234" t="s">
        <v>367</v>
      </c>
    </row>
    <row r="427" spans="1:3">
      <c r="A427" s="239">
        <v>809285</v>
      </c>
      <c r="B427" s="234" t="s">
        <v>447</v>
      </c>
      <c r="C427" s="234" t="s">
        <v>364</v>
      </c>
    </row>
    <row r="428" spans="1:3">
      <c r="A428" s="239" t="s">
        <v>682</v>
      </c>
      <c r="B428" s="234" t="s">
        <v>683</v>
      </c>
      <c r="C428" s="234" t="s">
        <v>364</v>
      </c>
    </row>
    <row r="429" spans="1:3">
      <c r="A429" s="239">
        <v>809288</v>
      </c>
      <c r="B429" s="234" t="s">
        <v>439</v>
      </c>
      <c r="C429" s="234" t="s">
        <v>364</v>
      </c>
    </row>
    <row r="430" spans="1:3">
      <c r="A430" s="239">
        <v>800345</v>
      </c>
      <c r="B430" s="234" t="s">
        <v>426</v>
      </c>
      <c r="C430" s="234" t="s">
        <v>407</v>
      </c>
    </row>
    <row r="431" spans="1:3">
      <c r="A431" s="239">
        <v>800345</v>
      </c>
      <c r="B431" s="234" t="s">
        <v>426</v>
      </c>
      <c r="C431" s="234" t="s">
        <v>407</v>
      </c>
    </row>
    <row r="432" spans="1:3">
      <c r="A432" s="239">
        <v>809291</v>
      </c>
      <c r="B432" s="234" t="s">
        <v>425</v>
      </c>
      <c r="C432" s="234" t="s">
        <v>364</v>
      </c>
    </row>
    <row r="433" spans="1:3">
      <c r="A433" s="239">
        <v>809286</v>
      </c>
      <c r="B433" s="234" t="s">
        <v>448</v>
      </c>
      <c r="C433" s="234" t="s">
        <v>364</v>
      </c>
    </row>
    <row r="434" spans="1:3">
      <c r="A434" s="239">
        <v>800590</v>
      </c>
      <c r="B434" s="234" t="s">
        <v>428</v>
      </c>
      <c r="C434" s="234" t="s">
        <v>366</v>
      </c>
    </row>
    <row r="435" spans="1:3">
      <c r="A435" s="239">
        <v>800590</v>
      </c>
      <c r="B435" s="234" t="s">
        <v>428</v>
      </c>
      <c r="C435" s="234" t="s">
        <v>366</v>
      </c>
    </row>
    <row r="436" spans="1:3">
      <c r="A436" s="239" t="s">
        <v>684</v>
      </c>
      <c r="B436" s="234" t="s">
        <v>685</v>
      </c>
      <c r="C436" s="234" t="s">
        <v>364</v>
      </c>
    </row>
    <row r="437" spans="1:3">
      <c r="A437" s="239" t="s">
        <v>686</v>
      </c>
      <c r="B437" s="234" t="s">
        <v>687</v>
      </c>
      <c r="C437" s="234" t="s">
        <v>364</v>
      </c>
    </row>
    <row r="438" spans="1:3">
      <c r="A438" s="239" t="s">
        <v>688</v>
      </c>
      <c r="B438" s="234" t="s">
        <v>689</v>
      </c>
      <c r="C438" s="234" t="s">
        <v>364</v>
      </c>
    </row>
    <row r="439" spans="1:3">
      <c r="A439" s="239">
        <v>843339</v>
      </c>
      <c r="B439" s="234" t="s">
        <v>690</v>
      </c>
      <c r="C439" s="234" t="s">
        <v>366</v>
      </c>
    </row>
    <row r="440" spans="1:3">
      <c r="A440" s="239">
        <v>800321</v>
      </c>
      <c r="B440" s="234" t="s">
        <v>460</v>
      </c>
      <c r="C440" s="234" t="s">
        <v>364</v>
      </c>
    </row>
    <row r="441" spans="1:3">
      <c r="A441" s="239">
        <v>761652</v>
      </c>
      <c r="B441" s="234" t="s">
        <v>691</v>
      </c>
      <c r="C441" s="234" t="s">
        <v>412</v>
      </c>
    </row>
    <row r="442" spans="1:3">
      <c r="A442" s="239">
        <v>800888</v>
      </c>
      <c r="B442" s="234" t="s">
        <v>692</v>
      </c>
      <c r="C442" s="234" t="s">
        <v>364</v>
      </c>
    </row>
    <row r="443" spans="1:3">
      <c r="A443" s="239">
        <v>800333</v>
      </c>
      <c r="B443" s="234" t="s">
        <v>378</v>
      </c>
      <c r="C443" s="234" t="s">
        <v>378</v>
      </c>
    </row>
    <row r="444" spans="1:3">
      <c r="A444" s="239">
        <v>800333</v>
      </c>
      <c r="B444" s="234" t="s">
        <v>378</v>
      </c>
      <c r="C444" s="234" t="s">
        <v>378</v>
      </c>
    </row>
    <row r="445" spans="1:3">
      <c r="A445" s="239">
        <v>130277</v>
      </c>
      <c r="B445" s="234" t="s">
        <v>555</v>
      </c>
      <c r="C445" s="234" t="s">
        <v>389</v>
      </c>
    </row>
    <row r="446" spans="1:3">
      <c r="A446" s="239">
        <v>809295</v>
      </c>
      <c r="B446" s="234" t="s">
        <v>463</v>
      </c>
      <c r="C446" s="234" t="s">
        <v>364</v>
      </c>
    </row>
    <row r="447" spans="1:3">
      <c r="A447" s="239">
        <v>842443</v>
      </c>
      <c r="B447" s="234" t="s">
        <v>564</v>
      </c>
      <c r="C447" s="234" t="s">
        <v>375</v>
      </c>
    </row>
    <row r="448" spans="1:3">
      <c r="A448" s="239">
        <v>841353</v>
      </c>
      <c r="B448" s="234" t="s">
        <v>433</v>
      </c>
      <c r="C448" s="234" t="s">
        <v>362</v>
      </c>
    </row>
    <row r="449" spans="1:3">
      <c r="A449" s="239">
        <v>841353</v>
      </c>
      <c r="B449" s="234" t="s">
        <v>433</v>
      </c>
      <c r="C449" s="234" t="s">
        <v>362</v>
      </c>
    </row>
    <row r="450" spans="1:3">
      <c r="A450" s="239">
        <v>130277</v>
      </c>
      <c r="B450" s="234" t="s">
        <v>555</v>
      </c>
      <c r="C450" s="234" t="s">
        <v>389</v>
      </c>
    </row>
    <row r="451" spans="1:3">
      <c r="A451" s="239">
        <v>800345</v>
      </c>
      <c r="B451" s="234" t="s">
        <v>426</v>
      </c>
      <c r="C451" s="234" t="s">
        <v>407</v>
      </c>
    </row>
    <row r="452" spans="1:3">
      <c r="A452" s="239">
        <v>800345</v>
      </c>
      <c r="B452" s="234" t="s">
        <v>426</v>
      </c>
      <c r="C452" s="234" t="s">
        <v>407</v>
      </c>
    </row>
    <row r="453" spans="1:3">
      <c r="A453" s="239">
        <v>800345</v>
      </c>
      <c r="B453" s="234" t="s">
        <v>426</v>
      </c>
      <c r="C453" s="234" t="s">
        <v>407</v>
      </c>
    </row>
    <row r="454" spans="1:3">
      <c r="A454" s="239">
        <v>800345</v>
      </c>
      <c r="B454" s="234" t="s">
        <v>426</v>
      </c>
      <c r="C454" s="234" t="s">
        <v>407</v>
      </c>
    </row>
    <row r="455" spans="1:3">
      <c r="A455" s="239">
        <v>42559</v>
      </c>
      <c r="B455" s="234" t="s">
        <v>398</v>
      </c>
      <c r="C455" s="234" t="s">
        <v>398</v>
      </c>
    </row>
    <row r="456" spans="1:3">
      <c r="A456" s="239">
        <v>130266</v>
      </c>
      <c r="B456" s="234" t="s">
        <v>693</v>
      </c>
      <c r="C456" s="234" t="s">
        <v>363</v>
      </c>
    </row>
    <row r="457" spans="1:3">
      <c r="A457" s="239" t="s">
        <v>694</v>
      </c>
      <c r="B457" s="234" t="s">
        <v>695</v>
      </c>
      <c r="C457" s="234" t="s">
        <v>365</v>
      </c>
    </row>
    <row r="458" spans="1:3">
      <c r="A458" s="239">
        <v>800765</v>
      </c>
      <c r="B458" s="234" t="s">
        <v>617</v>
      </c>
      <c r="C458" s="234" t="s">
        <v>406</v>
      </c>
    </row>
    <row r="459" spans="1:3">
      <c r="A459" s="239">
        <v>800823</v>
      </c>
      <c r="B459" s="234" t="s">
        <v>696</v>
      </c>
      <c r="C459" s="234" t="s">
        <v>401</v>
      </c>
    </row>
    <row r="460" spans="1:3">
      <c r="A460" s="239">
        <v>803186</v>
      </c>
      <c r="B460" s="234" t="s">
        <v>697</v>
      </c>
      <c r="C460" s="234" t="s">
        <v>397</v>
      </c>
    </row>
    <row r="461" spans="1:3">
      <c r="A461" s="239">
        <v>808616</v>
      </c>
      <c r="B461" s="234" t="s">
        <v>698</v>
      </c>
      <c r="C461" s="234" t="s">
        <v>377</v>
      </c>
    </row>
    <row r="462" spans="1:3">
      <c r="A462" s="239">
        <v>808617</v>
      </c>
      <c r="B462" s="234" t="s">
        <v>699</v>
      </c>
      <c r="C462" s="234" t="s">
        <v>377</v>
      </c>
    </row>
    <row r="463" spans="1:3">
      <c r="A463" s="239">
        <v>809790</v>
      </c>
      <c r="B463" s="234" t="s">
        <v>700</v>
      </c>
      <c r="C463" s="234" t="s">
        <v>380</v>
      </c>
    </row>
    <row r="464" spans="1:3">
      <c r="A464" s="239">
        <v>840468</v>
      </c>
      <c r="B464" s="234" t="s">
        <v>701</v>
      </c>
      <c r="C464" s="234" t="s">
        <v>413</v>
      </c>
    </row>
    <row r="465" spans="1:3">
      <c r="A465" s="239">
        <v>840467</v>
      </c>
      <c r="B465" s="234" t="s">
        <v>702</v>
      </c>
      <c r="C465" s="234" t="s">
        <v>413</v>
      </c>
    </row>
    <row r="466" spans="1:3">
      <c r="A466" s="239">
        <v>840466</v>
      </c>
      <c r="B466" s="234" t="s">
        <v>703</v>
      </c>
      <c r="C466" s="234" t="s">
        <v>413</v>
      </c>
    </row>
    <row r="467" spans="1:3">
      <c r="A467" s="239">
        <v>840458</v>
      </c>
      <c r="B467" s="234" t="s">
        <v>704</v>
      </c>
      <c r="C467" s="234" t="s">
        <v>368</v>
      </c>
    </row>
    <row r="468" spans="1:3">
      <c r="A468" s="239">
        <v>840457</v>
      </c>
      <c r="B468" s="234" t="s">
        <v>705</v>
      </c>
      <c r="C468" s="234" t="s">
        <v>413</v>
      </c>
    </row>
    <row r="469" spans="1:3">
      <c r="A469" s="239">
        <v>809284</v>
      </c>
      <c r="B469" s="234" t="s">
        <v>424</v>
      </c>
      <c r="C469" s="234" t="s">
        <v>364</v>
      </c>
    </row>
    <row r="470" spans="1:3">
      <c r="A470" s="239">
        <v>805386</v>
      </c>
      <c r="B470" s="234" t="s">
        <v>706</v>
      </c>
      <c r="C470" s="234" t="s">
        <v>376</v>
      </c>
    </row>
    <row r="471" spans="1:3">
      <c r="A471" s="239">
        <v>805386</v>
      </c>
      <c r="B471" s="234" t="s">
        <v>706</v>
      </c>
      <c r="C471" s="234" t="s">
        <v>376</v>
      </c>
    </row>
    <row r="472" spans="1:3">
      <c r="A472" s="239">
        <v>843456</v>
      </c>
      <c r="B472" s="234" t="s">
        <v>707</v>
      </c>
      <c r="C472" s="234" t="s">
        <v>376</v>
      </c>
    </row>
    <row r="473" spans="1:3">
      <c r="A473" s="239">
        <v>842443</v>
      </c>
      <c r="B473" s="234" t="s">
        <v>564</v>
      </c>
      <c r="C473" s="234" t="s">
        <v>375</v>
      </c>
    </row>
    <row r="474" spans="1:3">
      <c r="A474" s="239">
        <v>810450</v>
      </c>
      <c r="B474" s="234" t="s">
        <v>561</v>
      </c>
      <c r="C474" s="234" t="s">
        <v>372</v>
      </c>
    </row>
    <row r="475" spans="1:3">
      <c r="A475" s="239">
        <v>13377</v>
      </c>
      <c r="B475" s="234" t="s">
        <v>708</v>
      </c>
      <c r="C475" s="234" t="s">
        <v>364</v>
      </c>
    </row>
    <row r="476" spans="1:3">
      <c r="A476" s="239" t="s">
        <v>709</v>
      </c>
      <c r="B476" s="234" t="s">
        <v>710</v>
      </c>
      <c r="C476" s="234" t="s">
        <v>364</v>
      </c>
    </row>
    <row r="477" spans="1:3">
      <c r="A477" s="239">
        <v>750066</v>
      </c>
      <c r="B477" s="234" t="s">
        <v>711</v>
      </c>
      <c r="C477" s="234" t="s">
        <v>364</v>
      </c>
    </row>
    <row r="478" spans="1:3">
      <c r="A478" s="239">
        <v>809292</v>
      </c>
      <c r="B478" s="234" t="s">
        <v>451</v>
      </c>
      <c r="C478" s="234" t="s">
        <v>364</v>
      </c>
    </row>
    <row r="479" spans="1:3">
      <c r="A479" s="239">
        <v>809294</v>
      </c>
      <c r="B479" s="234" t="s">
        <v>462</v>
      </c>
      <c r="C479" s="234" t="s">
        <v>364</v>
      </c>
    </row>
    <row r="480" spans="1:3">
      <c r="A480" s="239">
        <v>842887</v>
      </c>
      <c r="B480" s="234" t="s">
        <v>712</v>
      </c>
      <c r="C480" s="234" t="s">
        <v>369</v>
      </c>
    </row>
    <row r="481" spans="1:3">
      <c r="A481" s="239">
        <v>841353</v>
      </c>
      <c r="B481" s="234" t="s">
        <v>433</v>
      </c>
      <c r="C481" s="234" t="s">
        <v>362</v>
      </c>
    </row>
    <row r="482" spans="1:3">
      <c r="A482" s="239">
        <v>841353</v>
      </c>
      <c r="B482" s="234" t="s">
        <v>433</v>
      </c>
      <c r="C482" s="234" t="s">
        <v>362</v>
      </c>
    </row>
    <row r="483" spans="1:3">
      <c r="A483" s="239">
        <v>809287</v>
      </c>
      <c r="B483" s="234" t="s">
        <v>449</v>
      </c>
      <c r="C483" s="234" t="s">
        <v>364</v>
      </c>
    </row>
    <row r="484" spans="1:3">
      <c r="A484" s="239">
        <v>840209</v>
      </c>
      <c r="B484" s="234" t="s">
        <v>437</v>
      </c>
      <c r="C484" s="234" t="s">
        <v>362</v>
      </c>
    </row>
    <row r="485" spans="1:3">
      <c r="A485" s="239">
        <v>840209</v>
      </c>
      <c r="B485" s="234" t="s">
        <v>437</v>
      </c>
      <c r="C485" s="234" t="s">
        <v>362</v>
      </c>
    </row>
    <row r="486" spans="1:3">
      <c r="A486" s="239">
        <v>843453</v>
      </c>
      <c r="B486" s="234" t="s">
        <v>713</v>
      </c>
      <c r="C486" s="234" t="s">
        <v>364</v>
      </c>
    </row>
    <row r="487" spans="1:3">
      <c r="A487" s="239">
        <v>800320</v>
      </c>
      <c r="B487" s="234" t="s">
        <v>714</v>
      </c>
      <c r="C487" s="234" t="s">
        <v>364</v>
      </c>
    </row>
    <row r="488" spans="1:3">
      <c r="A488" s="239">
        <v>843453</v>
      </c>
      <c r="B488" s="234" t="s">
        <v>713</v>
      </c>
      <c r="C488" s="234" t="s">
        <v>364</v>
      </c>
    </row>
    <row r="489" spans="1:3">
      <c r="A489" s="239">
        <v>809291</v>
      </c>
      <c r="B489" s="234" t="s">
        <v>425</v>
      </c>
      <c r="C489" s="234" t="s">
        <v>364</v>
      </c>
    </row>
    <row r="490" spans="1:3">
      <c r="A490" s="239">
        <v>800320</v>
      </c>
      <c r="B490" s="234" t="s">
        <v>714</v>
      </c>
      <c r="C490" s="234" t="s">
        <v>364</v>
      </c>
    </row>
    <row r="491" spans="1:3">
      <c r="A491" s="239">
        <v>800319</v>
      </c>
      <c r="B491" s="234" t="s">
        <v>715</v>
      </c>
      <c r="C491" s="234" t="s">
        <v>364</v>
      </c>
    </row>
    <row r="492" spans="1:3">
      <c r="A492" s="239">
        <v>809289</v>
      </c>
      <c r="B492" s="234" t="s">
        <v>461</v>
      </c>
      <c r="C492" s="234" t="s">
        <v>364</v>
      </c>
    </row>
    <row r="493" spans="1:3">
      <c r="A493" s="239">
        <v>800591</v>
      </c>
      <c r="B493" s="234" t="s">
        <v>432</v>
      </c>
      <c r="C493" s="234" t="s">
        <v>366</v>
      </c>
    </row>
    <row r="494" spans="1:3">
      <c r="A494" s="239">
        <v>800591</v>
      </c>
      <c r="B494" s="234" t="s">
        <v>432</v>
      </c>
      <c r="C494" s="234" t="s">
        <v>366</v>
      </c>
    </row>
    <row r="495" spans="1:3">
      <c r="A495" s="239">
        <v>843339</v>
      </c>
      <c r="B495" s="234" t="s">
        <v>690</v>
      </c>
      <c r="C495" s="234" t="s">
        <v>366</v>
      </c>
    </row>
    <row r="496" spans="1:3">
      <c r="A496" s="239">
        <v>843339</v>
      </c>
      <c r="B496" s="234" t="s">
        <v>690</v>
      </c>
      <c r="C496" s="234" t="s">
        <v>366</v>
      </c>
    </row>
    <row r="497" spans="1:3">
      <c r="A497" s="239">
        <v>843339</v>
      </c>
      <c r="B497" s="234" t="s">
        <v>690</v>
      </c>
      <c r="C497" s="234" t="s">
        <v>366</v>
      </c>
    </row>
    <row r="498" spans="1:3">
      <c r="A498" s="239">
        <v>809592</v>
      </c>
      <c r="B498" s="234" t="s">
        <v>431</v>
      </c>
      <c r="C498" s="234" t="s">
        <v>376</v>
      </c>
    </row>
    <row r="499" spans="1:3">
      <c r="A499" s="239">
        <v>809592</v>
      </c>
      <c r="B499" s="234" t="s">
        <v>431</v>
      </c>
      <c r="C499" s="234" t="s">
        <v>376</v>
      </c>
    </row>
    <row r="500" spans="1:3">
      <c r="A500" s="239">
        <v>809294</v>
      </c>
      <c r="B500" s="234" t="s">
        <v>462</v>
      </c>
      <c r="C500" s="234" t="s">
        <v>364</v>
      </c>
    </row>
    <row r="501" spans="1:3">
      <c r="A501" s="239">
        <v>809292</v>
      </c>
      <c r="B501" s="234" t="s">
        <v>451</v>
      </c>
      <c r="C501" s="234" t="s">
        <v>364</v>
      </c>
    </row>
    <row r="502" spans="1:3">
      <c r="A502" s="239">
        <v>809293</v>
      </c>
      <c r="B502" s="234" t="s">
        <v>464</v>
      </c>
      <c r="C502" s="234" t="s">
        <v>364</v>
      </c>
    </row>
    <row r="503" spans="1:3">
      <c r="A503" s="239">
        <v>840209</v>
      </c>
      <c r="B503" s="234" t="s">
        <v>437</v>
      </c>
      <c r="C503" s="234" t="s">
        <v>362</v>
      </c>
    </row>
    <row r="504" spans="1:3">
      <c r="A504" s="239">
        <v>840209</v>
      </c>
      <c r="B504" s="234" t="s">
        <v>437</v>
      </c>
      <c r="C504" s="234" t="s">
        <v>362</v>
      </c>
    </row>
    <row r="505" spans="1:3">
      <c r="A505" s="239">
        <v>800333</v>
      </c>
      <c r="B505" s="234" t="s">
        <v>378</v>
      </c>
      <c r="C505" s="234" t="s">
        <v>378</v>
      </c>
    </row>
    <row r="506" spans="1:3">
      <c r="A506" s="239">
        <v>800333</v>
      </c>
      <c r="B506" s="234" t="s">
        <v>378</v>
      </c>
      <c r="C506" s="234" t="s">
        <v>378</v>
      </c>
    </row>
    <row r="507" spans="1:3">
      <c r="A507" s="239">
        <v>756295</v>
      </c>
      <c r="B507" s="234" t="s">
        <v>716</v>
      </c>
      <c r="C507" s="234" t="s">
        <v>405</v>
      </c>
    </row>
    <row r="508" spans="1:3">
      <c r="A508" s="239">
        <v>841353</v>
      </c>
      <c r="B508" s="234" t="s">
        <v>433</v>
      </c>
      <c r="C508" s="234" t="s">
        <v>362</v>
      </c>
    </row>
    <row r="509" spans="1:3">
      <c r="A509" s="239">
        <v>841353</v>
      </c>
      <c r="B509" s="234" t="s">
        <v>433</v>
      </c>
      <c r="C509" s="234" t="s">
        <v>362</v>
      </c>
    </row>
    <row r="510" spans="1:3">
      <c r="A510" s="239">
        <v>800345</v>
      </c>
      <c r="B510" s="234" t="s">
        <v>426</v>
      </c>
      <c r="C510" s="234" t="s">
        <v>407</v>
      </c>
    </row>
    <row r="511" spans="1:3">
      <c r="A511" s="239">
        <v>800345</v>
      </c>
      <c r="B511" s="234" t="s">
        <v>426</v>
      </c>
      <c r="C511" s="234" t="s">
        <v>407</v>
      </c>
    </row>
    <row r="512" spans="1:3">
      <c r="A512" s="239">
        <v>800346</v>
      </c>
      <c r="B512" s="234" t="s">
        <v>556</v>
      </c>
      <c r="C512" s="234" t="s">
        <v>407</v>
      </c>
    </row>
    <row r="513" spans="1:3">
      <c r="A513" s="239">
        <v>800346</v>
      </c>
      <c r="B513" s="234" t="s">
        <v>556</v>
      </c>
      <c r="C513" s="234" t="s">
        <v>407</v>
      </c>
    </row>
    <row r="514" spans="1:3">
      <c r="A514" s="239">
        <v>800591</v>
      </c>
      <c r="B514" s="234" t="s">
        <v>432</v>
      </c>
      <c r="C514" s="234" t="s">
        <v>366</v>
      </c>
    </row>
    <row r="515" spans="1:3">
      <c r="A515" s="239">
        <v>842443</v>
      </c>
      <c r="B515" s="234" t="s">
        <v>564</v>
      </c>
      <c r="C515" s="234" t="s">
        <v>375</v>
      </c>
    </row>
    <row r="516" spans="1:3">
      <c r="A516" s="239">
        <v>841077</v>
      </c>
      <c r="B516" s="234" t="s">
        <v>434</v>
      </c>
      <c r="C516" s="234" t="s">
        <v>376</v>
      </c>
    </row>
    <row r="517" spans="1:3">
      <c r="A517" s="239">
        <v>843339</v>
      </c>
      <c r="B517" s="234" t="s">
        <v>690</v>
      </c>
      <c r="C517" s="234" t="s">
        <v>366</v>
      </c>
    </row>
    <row r="518" spans="1:3">
      <c r="A518" s="239">
        <v>809297</v>
      </c>
      <c r="B518" s="234" t="s">
        <v>427</v>
      </c>
      <c r="C518" s="234" t="s">
        <v>364</v>
      </c>
    </row>
    <row r="519" spans="1:3">
      <c r="A519" s="239">
        <v>800319</v>
      </c>
      <c r="B519" s="234" t="s">
        <v>715</v>
      </c>
      <c r="C519" s="234" t="s">
        <v>364</v>
      </c>
    </row>
    <row r="520" spans="1:3">
      <c r="A520" s="239">
        <v>804711</v>
      </c>
      <c r="B520" s="234" t="s">
        <v>562</v>
      </c>
      <c r="C520" s="234" t="s">
        <v>357</v>
      </c>
    </row>
    <row r="521" spans="1:3">
      <c r="A521" s="239">
        <v>800591</v>
      </c>
      <c r="B521" s="234" t="s">
        <v>432</v>
      </c>
      <c r="C521" s="234" t="s">
        <v>366</v>
      </c>
    </row>
    <row r="522" spans="1:3">
      <c r="A522" s="239">
        <v>809284</v>
      </c>
      <c r="B522" s="234" t="s">
        <v>424</v>
      </c>
      <c r="C522" s="234" t="s">
        <v>364</v>
      </c>
    </row>
    <row r="523" spans="1:3">
      <c r="A523" s="239">
        <v>800318</v>
      </c>
      <c r="B523" s="234" t="s">
        <v>429</v>
      </c>
      <c r="C523" s="234" t="s">
        <v>364</v>
      </c>
    </row>
    <row r="524" spans="1:3">
      <c r="A524" s="239">
        <v>809288</v>
      </c>
      <c r="B524" s="234" t="s">
        <v>439</v>
      </c>
      <c r="C524" s="234" t="s">
        <v>364</v>
      </c>
    </row>
    <row r="525" spans="1:3">
      <c r="A525" s="239">
        <v>809288</v>
      </c>
      <c r="B525" s="234" t="s">
        <v>439</v>
      </c>
      <c r="C525" s="234" t="s">
        <v>364</v>
      </c>
    </row>
    <row r="526" spans="1:3">
      <c r="A526" s="239">
        <v>810450</v>
      </c>
      <c r="B526" s="234" t="s">
        <v>561</v>
      </c>
      <c r="C526" s="234" t="s">
        <v>372</v>
      </c>
    </row>
    <row r="527" spans="1:3">
      <c r="A527" s="239">
        <v>809568</v>
      </c>
      <c r="B527" s="234" t="s">
        <v>523</v>
      </c>
      <c r="C527" s="234" t="s">
        <v>364</v>
      </c>
    </row>
    <row r="528" spans="1:3">
      <c r="A528" s="239">
        <v>809287</v>
      </c>
      <c r="B528" s="234" t="s">
        <v>449</v>
      </c>
      <c r="C528" s="234" t="s">
        <v>364</v>
      </c>
    </row>
    <row r="529" spans="1:3">
      <c r="A529" s="239">
        <v>800320</v>
      </c>
      <c r="B529" s="234" t="s">
        <v>714</v>
      </c>
      <c r="C529" s="234" t="s">
        <v>364</v>
      </c>
    </row>
    <row r="530" spans="1:3">
      <c r="A530" s="239">
        <v>809591</v>
      </c>
      <c r="B530" s="234" t="s">
        <v>717</v>
      </c>
      <c r="C530" s="234" t="s">
        <v>406</v>
      </c>
    </row>
    <row r="531" spans="1:3">
      <c r="A531" s="239">
        <v>809591</v>
      </c>
      <c r="B531" s="234" t="s">
        <v>717</v>
      </c>
      <c r="C531" s="234" t="s">
        <v>406</v>
      </c>
    </row>
    <row r="532" spans="1:3">
      <c r="A532" s="239">
        <v>840209</v>
      </c>
      <c r="B532" s="234" t="s">
        <v>437</v>
      </c>
      <c r="C532" s="234" t="s">
        <v>362</v>
      </c>
    </row>
    <row r="533" spans="1:3">
      <c r="A533" s="239">
        <v>840209</v>
      </c>
      <c r="B533" s="234" t="s">
        <v>437</v>
      </c>
      <c r="C533" s="234" t="s">
        <v>362</v>
      </c>
    </row>
    <row r="534" spans="1:3">
      <c r="A534" s="239">
        <v>841353</v>
      </c>
      <c r="B534" s="234" t="s">
        <v>433</v>
      </c>
      <c r="C534" s="234" t="s">
        <v>362</v>
      </c>
    </row>
    <row r="535" spans="1:3">
      <c r="A535" s="239">
        <v>809592</v>
      </c>
      <c r="B535" s="234" t="s">
        <v>431</v>
      </c>
      <c r="C535" s="234" t="s">
        <v>376</v>
      </c>
    </row>
    <row r="536" spans="1:3">
      <c r="A536" s="239">
        <v>841519</v>
      </c>
      <c r="B536" s="234" t="s">
        <v>521</v>
      </c>
      <c r="C536" s="234" t="s">
        <v>376</v>
      </c>
    </row>
    <row r="537" spans="1:3">
      <c r="A537" s="239">
        <v>843339</v>
      </c>
      <c r="B537" s="234" t="s">
        <v>690</v>
      </c>
      <c r="C537" s="234" t="s">
        <v>366</v>
      </c>
    </row>
    <row r="538" spans="1:3">
      <c r="A538" s="239">
        <v>800345</v>
      </c>
      <c r="B538" s="234" t="s">
        <v>426</v>
      </c>
      <c r="C538" s="234" t="s">
        <v>407</v>
      </c>
    </row>
    <row r="539" spans="1:3">
      <c r="A539" s="239">
        <v>800345</v>
      </c>
      <c r="B539" s="234" t="s">
        <v>426</v>
      </c>
      <c r="C539" s="234" t="s">
        <v>407</v>
      </c>
    </row>
    <row r="540" spans="1:3">
      <c r="A540" s="239">
        <v>809285</v>
      </c>
      <c r="B540" s="234" t="s">
        <v>447</v>
      </c>
      <c r="C540" s="234" t="s">
        <v>364</v>
      </c>
    </row>
    <row r="541" spans="1:3">
      <c r="A541" s="239">
        <v>809292</v>
      </c>
      <c r="B541" s="234" t="s">
        <v>451</v>
      </c>
      <c r="C541" s="234" t="s">
        <v>364</v>
      </c>
    </row>
    <row r="542" spans="1:3">
      <c r="A542" s="239">
        <v>809293</v>
      </c>
      <c r="B542" s="234" t="s">
        <v>464</v>
      </c>
      <c r="C542" s="234" t="s">
        <v>364</v>
      </c>
    </row>
    <row r="543" spans="1:3">
      <c r="A543" s="239">
        <v>800347</v>
      </c>
      <c r="B543" s="234" t="s">
        <v>465</v>
      </c>
      <c r="C543" s="234" t="s">
        <v>407</v>
      </c>
    </row>
    <row r="544" spans="1:3">
      <c r="A544" s="239">
        <v>800347</v>
      </c>
      <c r="B544" s="234" t="s">
        <v>465</v>
      </c>
      <c r="C544" s="234" t="s">
        <v>407</v>
      </c>
    </row>
    <row r="545" spans="1:3">
      <c r="A545" s="239">
        <v>841353</v>
      </c>
      <c r="B545" s="234" t="s">
        <v>433</v>
      </c>
      <c r="C545" s="234" t="s">
        <v>362</v>
      </c>
    </row>
    <row r="546" spans="1:3">
      <c r="A546" s="239">
        <v>841353</v>
      </c>
      <c r="B546" s="234" t="s">
        <v>433</v>
      </c>
      <c r="C546" s="234" t="s">
        <v>362</v>
      </c>
    </row>
    <row r="547" spans="1:3">
      <c r="A547" s="239">
        <v>841353</v>
      </c>
      <c r="B547" s="234" t="s">
        <v>433</v>
      </c>
      <c r="C547" s="234" t="s">
        <v>362</v>
      </c>
    </row>
    <row r="548" spans="1:3">
      <c r="A548" s="239">
        <v>809284</v>
      </c>
      <c r="B548" s="234" t="s">
        <v>424</v>
      </c>
      <c r="C548" s="234" t="s">
        <v>364</v>
      </c>
    </row>
    <row r="549" spans="1:3">
      <c r="A549" s="239">
        <v>809285</v>
      </c>
      <c r="B549" s="234" t="s">
        <v>447</v>
      </c>
      <c r="C549" s="234" t="s">
        <v>364</v>
      </c>
    </row>
    <row r="550" spans="1:3">
      <c r="A550" s="239">
        <v>809286</v>
      </c>
      <c r="B550" s="234" t="s">
        <v>448</v>
      </c>
      <c r="C550" s="234" t="s">
        <v>364</v>
      </c>
    </row>
    <row r="551" spans="1:3">
      <c r="A551" s="239">
        <v>809287</v>
      </c>
      <c r="B551" s="234" t="s">
        <v>449</v>
      </c>
      <c r="C551" s="234" t="s">
        <v>364</v>
      </c>
    </row>
    <row r="552" spans="1:3">
      <c r="A552" s="239">
        <v>809288</v>
      </c>
      <c r="B552" s="234" t="s">
        <v>439</v>
      </c>
      <c r="C552" s="234" t="s">
        <v>364</v>
      </c>
    </row>
    <row r="553" spans="1:3">
      <c r="A553" s="239">
        <v>809290</v>
      </c>
      <c r="B553" s="234" t="s">
        <v>450</v>
      </c>
      <c r="C553" s="234" t="s">
        <v>364</v>
      </c>
    </row>
    <row r="554" spans="1:3">
      <c r="A554" s="239">
        <v>809291</v>
      </c>
      <c r="B554" s="234" t="s">
        <v>425</v>
      </c>
      <c r="C554" s="234" t="s">
        <v>364</v>
      </c>
    </row>
    <row r="555" spans="1:3">
      <c r="A555" s="239">
        <v>809292</v>
      </c>
      <c r="B555" s="234" t="s">
        <v>451</v>
      </c>
      <c r="C555" s="234" t="s">
        <v>364</v>
      </c>
    </row>
    <row r="556" spans="1:3">
      <c r="A556" s="239">
        <v>809293</v>
      </c>
      <c r="B556" s="234" t="s">
        <v>464</v>
      </c>
      <c r="C556" s="234" t="s">
        <v>364</v>
      </c>
    </row>
    <row r="557" spans="1:3">
      <c r="A557" s="239">
        <v>841714</v>
      </c>
      <c r="B557" s="234" t="s">
        <v>459</v>
      </c>
      <c r="C557" s="234" t="s">
        <v>364</v>
      </c>
    </row>
    <row r="558" spans="1:3">
      <c r="A558" s="239">
        <v>841353</v>
      </c>
      <c r="B558" s="234" t="s">
        <v>433</v>
      </c>
      <c r="C558" s="234" t="s">
        <v>362</v>
      </c>
    </row>
    <row r="559" spans="1:3">
      <c r="A559" s="239">
        <v>840209</v>
      </c>
      <c r="B559" s="234" t="s">
        <v>437</v>
      </c>
      <c r="C559" s="234" t="s">
        <v>362</v>
      </c>
    </row>
    <row r="560" spans="1:3">
      <c r="A560" s="239">
        <v>840209</v>
      </c>
      <c r="B560" s="234" t="s">
        <v>437</v>
      </c>
      <c r="C560" s="234" t="s">
        <v>362</v>
      </c>
    </row>
    <row r="561" spans="1:3">
      <c r="A561" s="239">
        <v>840209</v>
      </c>
      <c r="B561" s="234" t="s">
        <v>437</v>
      </c>
      <c r="C561" s="234" t="s">
        <v>362</v>
      </c>
    </row>
    <row r="562" spans="1:3">
      <c r="A562" s="239">
        <v>840209</v>
      </c>
      <c r="B562" s="234" t="s">
        <v>437</v>
      </c>
      <c r="C562" s="234" t="s">
        <v>362</v>
      </c>
    </row>
    <row r="563" spans="1:3">
      <c r="A563" s="239">
        <v>809592</v>
      </c>
      <c r="B563" s="234" t="s">
        <v>431</v>
      </c>
      <c r="C563" s="234" t="s">
        <v>376</v>
      </c>
    </row>
    <row r="564" spans="1:3">
      <c r="A564" s="239">
        <v>800208</v>
      </c>
      <c r="B564" s="234" t="s">
        <v>616</v>
      </c>
      <c r="C564" s="234" t="s">
        <v>406</v>
      </c>
    </row>
    <row r="565" spans="1:3">
      <c r="A565" s="239">
        <v>800208</v>
      </c>
      <c r="B565" s="234" t="s">
        <v>616</v>
      </c>
      <c r="C565" s="234" t="s">
        <v>406</v>
      </c>
    </row>
    <row r="566" spans="1:3">
      <c r="A566" s="239">
        <v>809591</v>
      </c>
      <c r="B566" s="234" t="s">
        <v>717</v>
      </c>
      <c r="C566" s="234" t="s">
        <v>406</v>
      </c>
    </row>
    <row r="567" spans="1:3">
      <c r="A567" s="239">
        <v>809591</v>
      </c>
      <c r="B567" s="234" t="s">
        <v>717</v>
      </c>
      <c r="C567" s="234" t="s">
        <v>406</v>
      </c>
    </row>
  </sheetData>
  <autoFilter ref="A5:AK67" xr:uid="{6DFA59D9-954A-4CD9-9F3B-FB9CF0ED0E03}">
    <filterColumn colId="15">
      <filters>
        <filter val="180.493,92"/>
        <filter val="239.984"/>
        <filter val="27.141,00"/>
        <filter val="5.924,88"/>
        <filter val="8.060,00"/>
        <filter val="8.784,00"/>
        <filter val="9.579,84"/>
      </filters>
    </filterColumn>
  </autoFilter>
  <mergeCells count="2">
    <mergeCell ref="A1:N1"/>
    <mergeCell ref="B2:E2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D96A4-7F38-4DDC-9168-4E1C517E8A79}">
  <sheetPr>
    <tabColor theme="5"/>
  </sheetPr>
  <dimension ref="A2:H12"/>
  <sheetViews>
    <sheetView showGridLines="0" workbookViewId="0">
      <selection activeCell="F14" sqref="F14"/>
    </sheetView>
  </sheetViews>
  <sheetFormatPr defaultRowHeight="15"/>
  <cols>
    <col min="1" max="1" width="21.7109375" customWidth="1"/>
    <col min="2" max="2" width="21.5703125" customWidth="1"/>
    <col min="3" max="3" width="20.7109375" bestFit="1" customWidth="1"/>
    <col min="4" max="4" width="12.5703125" bestFit="1" customWidth="1"/>
  </cols>
  <sheetData>
    <row r="2" spans="1:8" s="166" customFormat="1">
      <c r="A2" s="227" t="s">
        <v>787</v>
      </c>
    </row>
    <row r="3" spans="1:8" s="261" customFormat="1">
      <c r="A3" s="260" t="s">
        <v>786</v>
      </c>
    </row>
    <row r="4" spans="1:8" s="267" customFormat="1">
      <c r="A4" s="266"/>
    </row>
    <row r="5" spans="1:8">
      <c r="A5" t="s">
        <v>718</v>
      </c>
    </row>
    <row r="6" spans="1:8">
      <c r="A6" s="112" t="s">
        <v>803</v>
      </c>
      <c r="B6" s="112"/>
      <c r="C6" s="112"/>
      <c r="D6" s="112"/>
      <c r="E6" s="112"/>
      <c r="F6" s="112"/>
      <c r="G6" s="112"/>
      <c r="H6" s="112"/>
    </row>
    <row r="7" spans="1:8" s="47" customFormat="1">
      <c r="A7" s="262" t="s">
        <v>790</v>
      </c>
    </row>
    <row r="8" spans="1:8" s="47" customFormat="1">
      <c r="A8" s="263" t="s">
        <v>791</v>
      </c>
    </row>
    <row r="9" spans="1:8" s="47" customFormat="1">
      <c r="A9" s="264" t="s">
        <v>792</v>
      </c>
    </row>
    <row r="10" spans="1:8" s="47" customFormat="1">
      <c r="A10" s="265"/>
    </row>
    <row r="11" spans="1:8">
      <c r="A11" t="s">
        <v>789</v>
      </c>
    </row>
    <row r="12" spans="1:8">
      <c r="A12" s="112" t="s">
        <v>788</v>
      </c>
      <c r="B12" s="112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67BF-D589-473B-8F63-C4D5A247F70E}">
  <sheetPr codeName="Planilha7"/>
  <dimension ref="A1:AK94"/>
  <sheetViews>
    <sheetView showGridLines="0" workbookViewId="0">
      <selection activeCell="K19" sqref="K19"/>
    </sheetView>
  </sheetViews>
  <sheetFormatPr defaultColWidth="18.5703125" defaultRowHeight="12"/>
  <cols>
    <col min="1" max="1" width="13.140625" style="54" customWidth="1"/>
    <col min="2" max="2" width="18.28515625" style="54" customWidth="1"/>
    <col min="3" max="3" width="7.7109375" style="74" bestFit="1" customWidth="1"/>
    <col min="4" max="4" width="10" style="74" bestFit="1" customWidth="1"/>
    <col min="5" max="5" width="7.7109375" style="74" bestFit="1" customWidth="1"/>
    <col min="6" max="6" width="14.42578125" style="74" bestFit="1" customWidth="1"/>
    <col min="7" max="7" width="9.28515625" style="74" bestFit="1" customWidth="1"/>
    <col min="8" max="8" width="9.7109375" style="74" bestFit="1" customWidth="1"/>
    <col min="9" max="9" width="12.28515625" style="74" bestFit="1" customWidth="1"/>
    <col min="10" max="10" width="4.5703125" style="54" customWidth="1"/>
    <col min="11" max="11" width="14.42578125" style="78" customWidth="1"/>
    <col min="12" max="12" width="12.28515625" style="78" customWidth="1"/>
    <col min="13" max="13" width="2.42578125" style="54" customWidth="1"/>
    <col min="14" max="14" width="0.85546875" style="54" customWidth="1"/>
    <col min="15" max="15" width="1.7109375" style="54" customWidth="1"/>
    <col min="16" max="16" width="0.85546875" style="54" customWidth="1"/>
    <col min="17" max="17" width="1" style="54" customWidth="1"/>
    <col min="18" max="19" width="0.7109375" style="54" customWidth="1"/>
    <col min="20" max="20" width="1.7109375" style="54" customWidth="1"/>
    <col min="21" max="21" width="0.140625" style="54" customWidth="1"/>
    <col min="22" max="22" width="13.7109375" style="54" customWidth="1"/>
    <col min="23" max="23" width="14.140625" style="54" customWidth="1"/>
    <col min="24" max="24" width="6.7109375" style="54" customWidth="1"/>
    <col min="25" max="25" width="8.28515625" style="97" bestFit="1" customWidth="1"/>
    <col min="26" max="26" width="6.7109375" style="54" customWidth="1"/>
    <col min="27" max="27" width="4" style="54" bestFit="1" customWidth="1"/>
    <col min="28" max="28" width="1.85546875" style="54" customWidth="1"/>
    <col min="29" max="29" width="6.140625" style="54" bestFit="1" customWidth="1"/>
    <col min="30" max="30" width="3.85546875" style="54" bestFit="1" customWidth="1"/>
    <col min="31" max="34" width="18.5703125" style="54"/>
    <col min="35" max="35" width="21.7109375" style="54" customWidth="1"/>
    <col min="36" max="36" width="18.5703125" style="97"/>
    <col min="37" max="16384" width="18.5703125" style="54"/>
  </cols>
  <sheetData>
    <row r="1" spans="1:37" ht="12.75">
      <c r="A1" s="76" t="s">
        <v>115</v>
      </c>
      <c r="B1" s="76" t="s">
        <v>126</v>
      </c>
      <c r="C1" s="76" t="s">
        <v>116</v>
      </c>
      <c r="D1" s="76" t="s">
        <v>117</v>
      </c>
      <c r="E1" s="76" t="s">
        <v>118</v>
      </c>
      <c r="F1" s="76" t="s">
        <v>129</v>
      </c>
      <c r="G1" s="76" t="s">
        <v>119</v>
      </c>
      <c r="H1" s="76" t="s">
        <v>120</v>
      </c>
      <c r="I1" s="76" t="s">
        <v>142</v>
      </c>
      <c r="K1" s="76" t="s">
        <v>105</v>
      </c>
      <c r="L1" s="76" t="s">
        <v>106</v>
      </c>
      <c r="V1" s="96" t="s">
        <v>257</v>
      </c>
      <c r="W1" s="96"/>
      <c r="AA1" s="54" t="s">
        <v>132</v>
      </c>
      <c r="AC1" s="76"/>
      <c r="AD1" s="76"/>
      <c r="AF1" s="96" t="s">
        <v>254</v>
      </c>
      <c r="AG1" s="97"/>
      <c r="AI1" s="96" t="s">
        <v>252</v>
      </c>
    </row>
    <row r="2" spans="1:37" ht="36">
      <c r="A2" s="104" t="s">
        <v>121</v>
      </c>
      <c r="B2" s="104" t="s">
        <v>175</v>
      </c>
      <c r="C2" s="75">
        <v>55</v>
      </c>
      <c r="D2" s="75">
        <v>70</v>
      </c>
      <c r="E2" s="75">
        <v>55</v>
      </c>
      <c r="F2" s="75">
        <v>55</v>
      </c>
      <c r="G2" s="75">
        <v>70</v>
      </c>
      <c r="H2" s="75">
        <v>0</v>
      </c>
      <c r="I2" s="75">
        <v>0</v>
      </c>
      <c r="K2" s="79">
        <v>1</v>
      </c>
      <c r="L2" s="79">
        <v>1</v>
      </c>
      <c r="V2" s="76" t="s">
        <v>130</v>
      </c>
      <c r="W2" s="76" t="s">
        <v>126</v>
      </c>
      <c r="X2" s="76" t="s">
        <v>148</v>
      </c>
      <c r="Y2" s="100" t="s">
        <v>131</v>
      </c>
      <c r="AA2" s="54" t="s">
        <v>133</v>
      </c>
      <c r="AC2" s="54" t="s">
        <v>143</v>
      </c>
      <c r="AF2" s="76" t="s">
        <v>126</v>
      </c>
      <c r="AG2" s="100" t="s">
        <v>253</v>
      </c>
      <c r="AI2" s="76" t="s">
        <v>126</v>
      </c>
      <c r="AJ2" s="100" t="s">
        <v>250</v>
      </c>
    </row>
    <row r="3" spans="1:37" ht="24">
      <c r="A3" s="104" t="s">
        <v>122</v>
      </c>
      <c r="B3" s="104" t="s">
        <v>192</v>
      </c>
      <c r="C3" s="75">
        <v>55</v>
      </c>
      <c r="D3" s="75">
        <v>70</v>
      </c>
      <c r="E3" s="75">
        <v>55</v>
      </c>
      <c r="F3" s="75">
        <v>55</v>
      </c>
      <c r="G3" s="75">
        <v>70</v>
      </c>
      <c r="H3" s="75">
        <v>0</v>
      </c>
      <c r="I3" s="75">
        <v>0</v>
      </c>
      <c r="K3" s="79">
        <v>2</v>
      </c>
      <c r="L3" s="79">
        <v>2</v>
      </c>
      <c r="V3" s="73" t="s">
        <v>192</v>
      </c>
      <c r="W3" s="73" t="s">
        <v>225</v>
      </c>
      <c r="X3" s="73" t="str">
        <f>_xlfn.CONCAT(RIGHT(V3,2)," X ",RIGHT(W3,2))</f>
        <v>SC X SP</v>
      </c>
      <c r="Y3" s="98">
        <v>220</v>
      </c>
      <c r="AC3" s="54" t="s">
        <v>135</v>
      </c>
      <c r="AD3" s="54">
        <v>1.56</v>
      </c>
      <c r="AF3" s="73" t="s">
        <v>149</v>
      </c>
      <c r="AG3" s="98">
        <v>342.03</v>
      </c>
      <c r="AI3" s="73" t="s">
        <v>149</v>
      </c>
      <c r="AJ3" s="98">
        <v>150.15772471212907</v>
      </c>
    </row>
    <row r="4" spans="1:37" ht="24">
      <c r="A4" s="104" t="s">
        <v>123</v>
      </c>
      <c r="B4" s="104" t="s">
        <v>196</v>
      </c>
      <c r="C4" s="75">
        <v>0</v>
      </c>
      <c r="D4" s="75">
        <v>90</v>
      </c>
      <c r="E4" s="75">
        <v>90</v>
      </c>
      <c r="F4" s="75">
        <v>90</v>
      </c>
      <c r="G4" s="75">
        <v>90</v>
      </c>
      <c r="H4" s="75">
        <v>0</v>
      </c>
      <c r="I4" s="75">
        <v>0</v>
      </c>
      <c r="K4" s="79">
        <v>3</v>
      </c>
      <c r="L4" s="79">
        <v>3</v>
      </c>
      <c r="V4" s="73" t="s">
        <v>175</v>
      </c>
      <c r="W4" s="73" t="s">
        <v>225</v>
      </c>
      <c r="X4" s="73" t="str">
        <f t="shared" ref="X4:X26" si="0">_xlfn.CONCAT(RIGHT(V4,2)," X ",RIGHT(W4,2))</f>
        <v>PR X SP</v>
      </c>
      <c r="Y4" s="98">
        <v>250</v>
      </c>
      <c r="AC4" s="54" t="s">
        <v>136</v>
      </c>
      <c r="AD4" s="54">
        <v>0.71</v>
      </c>
      <c r="AF4" s="73" t="s">
        <v>150</v>
      </c>
      <c r="AG4" s="98">
        <v>310.95</v>
      </c>
      <c r="AI4" s="73" t="s">
        <v>150</v>
      </c>
      <c r="AJ4" s="98">
        <v>150.15772471212907</v>
      </c>
    </row>
    <row r="5" spans="1:37" ht="24">
      <c r="A5" s="104" t="s">
        <v>124</v>
      </c>
      <c r="B5" s="104" t="s">
        <v>199</v>
      </c>
      <c r="C5" s="75">
        <v>90</v>
      </c>
      <c r="D5" s="75">
        <v>90</v>
      </c>
      <c r="E5" s="75">
        <v>90</v>
      </c>
      <c r="F5" s="75">
        <v>90</v>
      </c>
      <c r="G5" s="75">
        <v>90</v>
      </c>
      <c r="H5" s="75">
        <v>0</v>
      </c>
      <c r="I5" s="75">
        <v>0</v>
      </c>
      <c r="K5" s="79">
        <v>4</v>
      </c>
      <c r="L5" s="79">
        <v>4</v>
      </c>
      <c r="V5" s="73" t="s">
        <v>175</v>
      </c>
      <c r="W5" s="73" t="s">
        <v>216</v>
      </c>
      <c r="X5" s="73" t="str">
        <f t="shared" si="0"/>
        <v>PR X RJ</v>
      </c>
      <c r="Y5" s="98">
        <v>200</v>
      </c>
      <c r="AF5" s="73" t="s">
        <v>151</v>
      </c>
      <c r="AG5" s="98">
        <v>243.59</v>
      </c>
      <c r="AI5" s="73" t="s">
        <v>151</v>
      </c>
      <c r="AJ5" s="98">
        <v>132</v>
      </c>
    </row>
    <row r="6" spans="1:37" ht="24">
      <c r="A6" s="104" t="s">
        <v>125</v>
      </c>
      <c r="B6" s="104" t="s">
        <v>149</v>
      </c>
      <c r="C6" s="75">
        <v>50</v>
      </c>
      <c r="D6" s="75">
        <v>70</v>
      </c>
      <c r="E6" s="75">
        <v>70</v>
      </c>
      <c r="F6" s="75">
        <v>50</v>
      </c>
      <c r="G6" s="75">
        <v>140</v>
      </c>
      <c r="H6" s="75">
        <v>0</v>
      </c>
      <c r="I6" s="75">
        <v>0</v>
      </c>
      <c r="K6" s="79">
        <v>5</v>
      </c>
      <c r="L6" s="79">
        <v>5</v>
      </c>
      <c r="V6" s="73" t="s">
        <v>175</v>
      </c>
      <c r="W6" s="73" t="s">
        <v>211</v>
      </c>
      <c r="X6" s="73" t="str">
        <f t="shared" si="0"/>
        <v>PR X RS</v>
      </c>
      <c r="Y6" s="98">
        <v>200</v>
      </c>
      <c r="AF6" s="73" t="s">
        <v>152</v>
      </c>
      <c r="AG6" s="98">
        <v>198</v>
      </c>
      <c r="AI6" s="73" t="s">
        <v>152</v>
      </c>
      <c r="AJ6" s="98">
        <v>88</v>
      </c>
    </row>
    <row r="7" spans="1:37" ht="24">
      <c r="A7" s="104" t="s">
        <v>125</v>
      </c>
      <c r="B7" s="104" t="s">
        <v>150</v>
      </c>
      <c r="C7" s="75">
        <v>50</v>
      </c>
      <c r="D7" s="75">
        <v>70</v>
      </c>
      <c r="E7" s="75">
        <v>70</v>
      </c>
      <c r="F7" s="75">
        <v>50</v>
      </c>
      <c r="G7" s="75">
        <v>140</v>
      </c>
      <c r="H7" s="75">
        <v>0</v>
      </c>
      <c r="I7" s="75">
        <v>0</v>
      </c>
      <c r="K7" s="79">
        <v>6</v>
      </c>
      <c r="L7" s="79">
        <v>6</v>
      </c>
      <c r="V7" s="73" t="s">
        <v>175</v>
      </c>
      <c r="W7" s="73" t="s">
        <v>165</v>
      </c>
      <c r="X7" s="73" t="str">
        <f t="shared" si="0"/>
        <v>PR X SP</v>
      </c>
      <c r="Y7" s="98">
        <v>430</v>
      </c>
      <c r="AF7" s="73" t="s">
        <v>153</v>
      </c>
      <c r="AG7" s="98">
        <v>383.9</v>
      </c>
      <c r="AI7" s="73" t="s">
        <v>153</v>
      </c>
      <c r="AJ7" s="98">
        <v>139</v>
      </c>
    </row>
    <row r="8" spans="1:37" ht="24">
      <c r="A8" s="104" t="s">
        <v>125</v>
      </c>
      <c r="B8" s="104" t="s">
        <v>151</v>
      </c>
      <c r="C8" s="75">
        <v>50</v>
      </c>
      <c r="D8" s="75">
        <v>70</v>
      </c>
      <c r="E8" s="75">
        <v>70</v>
      </c>
      <c r="F8" s="75">
        <v>50</v>
      </c>
      <c r="G8" s="75">
        <v>140</v>
      </c>
      <c r="H8" s="75">
        <v>0</v>
      </c>
      <c r="I8" s="75">
        <v>0</v>
      </c>
      <c r="K8" s="79">
        <v>7</v>
      </c>
      <c r="L8" s="79">
        <v>7</v>
      </c>
      <c r="V8" s="73" t="s">
        <v>175</v>
      </c>
      <c r="W8" s="73" t="s">
        <v>199</v>
      </c>
      <c r="X8" s="73" t="str">
        <f t="shared" si="0"/>
        <v>PR X AM</v>
      </c>
      <c r="Y8" s="98">
        <v>820</v>
      </c>
      <c r="AF8" s="73" t="s">
        <v>154</v>
      </c>
      <c r="AG8" s="98">
        <v>260.67</v>
      </c>
      <c r="AI8" s="73" t="s">
        <v>154</v>
      </c>
      <c r="AJ8" s="98">
        <v>150.15772471212907</v>
      </c>
    </row>
    <row r="9" spans="1:37" ht="24">
      <c r="A9" s="104" t="s">
        <v>125</v>
      </c>
      <c r="B9" s="104" t="s">
        <v>152</v>
      </c>
      <c r="C9" s="75">
        <v>50</v>
      </c>
      <c r="D9" s="75">
        <v>70</v>
      </c>
      <c r="E9" s="75">
        <v>70</v>
      </c>
      <c r="F9" s="75">
        <v>50</v>
      </c>
      <c r="G9" s="75">
        <v>140</v>
      </c>
      <c r="H9" s="75">
        <v>0</v>
      </c>
      <c r="I9" s="75">
        <v>0</v>
      </c>
      <c r="K9" s="79">
        <v>8</v>
      </c>
      <c r="L9" s="79">
        <v>8</v>
      </c>
      <c r="V9" s="73" t="s">
        <v>175</v>
      </c>
      <c r="W9" s="73" t="s">
        <v>201</v>
      </c>
      <c r="X9" s="73" t="str">
        <f t="shared" si="0"/>
        <v>PR X PR</v>
      </c>
      <c r="Y9" s="98">
        <v>300</v>
      </c>
      <c r="AF9" s="73" t="s">
        <v>155</v>
      </c>
      <c r="AG9" s="98">
        <v>361.9</v>
      </c>
      <c r="AI9" s="73" t="s">
        <v>155</v>
      </c>
      <c r="AJ9" s="98">
        <v>150.15772471212907</v>
      </c>
    </row>
    <row r="10" spans="1:37" ht="24">
      <c r="A10" s="104" t="s">
        <v>125</v>
      </c>
      <c r="B10" s="104" t="s">
        <v>153</v>
      </c>
      <c r="C10" s="75">
        <v>50</v>
      </c>
      <c r="D10" s="75">
        <v>70</v>
      </c>
      <c r="E10" s="75">
        <v>70</v>
      </c>
      <c r="F10" s="75">
        <v>50</v>
      </c>
      <c r="G10" s="75">
        <v>140</v>
      </c>
      <c r="H10" s="75">
        <v>0</v>
      </c>
      <c r="I10" s="75">
        <v>0</v>
      </c>
      <c r="K10" s="79">
        <v>9</v>
      </c>
      <c r="L10" s="79">
        <v>9</v>
      </c>
      <c r="V10" s="73" t="s">
        <v>175</v>
      </c>
      <c r="W10" s="73" t="s">
        <v>197</v>
      </c>
      <c r="X10" s="73" t="str">
        <f t="shared" si="0"/>
        <v>PR X PR</v>
      </c>
      <c r="Y10" s="98">
        <v>360</v>
      </c>
      <c r="AF10" s="73" t="s">
        <v>156</v>
      </c>
      <c r="AG10" s="98">
        <v>357</v>
      </c>
      <c r="AI10" s="73" t="s">
        <v>156</v>
      </c>
      <c r="AJ10" s="98">
        <v>150.15772471212907</v>
      </c>
    </row>
    <row r="11" spans="1:37" ht="24">
      <c r="A11" s="104" t="s">
        <v>125</v>
      </c>
      <c r="B11" s="104" t="s">
        <v>154</v>
      </c>
      <c r="C11" s="75">
        <v>50</v>
      </c>
      <c r="D11" s="75">
        <v>70</v>
      </c>
      <c r="E11" s="75">
        <v>70</v>
      </c>
      <c r="F11" s="75">
        <v>50</v>
      </c>
      <c r="G11" s="75">
        <v>140</v>
      </c>
      <c r="H11" s="75">
        <v>0</v>
      </c>
      <c r="I11" s="75">
        <v>0</v>
      </c>
      <c r="K11" s="79">
        <v>10</v>
      </c>
      <c r="L11" s="79">
        <v>10</v>
      </c>
      <c r="V11" s="73" t="s">
        <v>175</v>
      </c>
      <c r="W11" s="73" t="s">
        <v>295</v>
      </c>
      <c r="X11" s="73" t="str">
        <f t="shared" si="0"/>
        <v>PR X ES</v>
      </c>
      <c r="Y11" s="98">
        <v>430</v>
      </c>
      <c r="AF11" s="73" t="s">
        <v>157</v>
      </c>
      <c r="AG11" s="98">
        <v>334.85</v>
      </c>
      <c r="AI11" s="73" t="s">
        <v>158</v>
      </c>
      <c r="AJ11" s="98">
        <v>150.15772471212907</v>
      </c>
    </row>
    <row r="12" spans="1:37" ht="24">
      <c r="A12" s="104" t="s">
        <v>125</v>
      </c>
      <c r="B12" s="104" t="s">
        <v>155</v>
      </c>
      <c r="C12" s="75">
        <v>50</v>
      </c>
      <c r="D12" s="75">
        <v>70</v>
      </c>
      <c r="E12" s="75">
        <v>70</v>
      </c>
      <c r="F12" s="75">
        <v>50</v>
      </c>
      <c r="G12" s="75">
        <v>140</v>
      </c>
      <c r="H12" s="75">
        <v>0</v>
      </c>
      <c r="I12" s="75">
        <v>0</v>
      </c>
      <c r="K12" s="79">
        <v>11</v>
      </c>
      <c r="L12" s="79">
        <v>11</v>
      </c>
      <c r="V12" s="73" t="s">
        <v>192</v>
      </c>
      <c r="W12" s="73" t="s">
        <v>211</v>
      </c>
      <c r="X12" s="73" t="str">
        <f t="shared" si="0"/>
        <v>SC X RS</v>
      </c>
      <c r="Y12" s="98">
        <v>400</v>
      </c>
      <c r="AF12" s="73" t="s">
        <v>158</v>
      </c>
      <c r="AG12" s="98">
        <v>529.90333333333331</v>
      </c>
      <c r="AI12" s="73" t="s">
        <v>159</v>
      </c>
      <c r="AJ12" s="98">
        <v>150.15772471212907</v>
      </c>
    </row>
    <row r="13" spans="1:37" ht="24">
      <c r="A13" s="104" t="s">
        <v>125</v>
      </c>
      <c r="B13" s="104" t="s">
        <v>156</v>
      </c>
      <c r="C13" s="75">
        <v>50</v>
      </c>
      <c r="D13" s="75">
        <v>70</v>
      </c>
      <c r="E13" s="75">
        <v>70</v>
      </c>
      <c r="F13" s="75">
        <v>50</v>
      </c>
      <c r="G13" s="75">
        <v>140</v>
      </c>
      <c r="H13" s="75">
        <v>0</v>
      </c>
      <c r="I13" s="75">
        <v>0</v>
      </c>
      <c r="K13" s="79">
        <v>12</v>
      </c>
      <c r="L13" s="79">
        <v>12</v>
      </c>
      <c r="V13" s="73" t="s">
        <v>192</v>
      </c>
      <c r="W13" s="73" t="s">
        <v>165</v>
      </c>
      <c r="X13" s="73" t="str">
        <f t="shared" si="0"/>
        <v>SC X SP</v>
      </c>
      <c r="Y13" s="98">
        <v>200</v>
      </c>
      <c r="AF13" s="73" t="s">
        <v>159</v>
      </c>
      <c r="AG13" s="98">
        <v>653.56500000000005</v>
      </c>
      <c r="AI13" s="73" t="s">
        <v>160</v>
      </c>
      <c r="AJ13" s="98">
        <v>155</v>
      </c>
    </row>
    <row r="14" spans="1:37" ht="24">
      <c r="A14" s="104" t="s">
        <v>125</v>
      </c>
      <c r="B14" s="104" t="s">
        <v>158</v>
      </c>
      <c r="C14" s="75">
        <v>50</v>
      </c>
      <c r="D14" s="75">
        <v>70</v>
      </c>
      <c r="E14" s="75">
        <v>70</v>
      </c>
      <c r="F14" s="75">
        <v>50</v>
      </c>
      <c r="G14" s="75">
        <v>140</v>
      </c>
      <c r="H14" s="75">
        <v>0</v>
      </c>
      <c r="I14" s="75">
        <v>0</v>
      </c>
      <c r="K14" s="79">
        <v>13</v>
      </c>
      <c r="L14" s="79">
        <v>13</v>
      </c>
      <c r="V14" s="73" t="s">
        <v>192</v>
      </c>
      <c r="W14" s="73" t="s">
        <v>216</v>
      </c>
      <c r="X14" s="73" t="str">
        <f t="shared" si="0"/>
        <v>SC X RJ</v>
      </c>
      <c r="Y14" s="98">
        <v>200</v>
      </c>
      <c r="AF14" s="73" t="s">
        <v>160</v>
      </c>
      <c r="AG14" s="98">
        <v>498.75</v>
      </c>
      <c r="AI14" s="73" t="s">
        <v>161</v>
      </c>
      <c r="AJ14" s="98">
        <v>109.56111111111112</v>
      </c>
      <c r="AK14" s="99"/>
    </row>
    <row r="15" spans="1:37" ht="24">
      <c r="A15" s="104" t="s">
        <v>125</v>
      </c>
      <c r="B15" s="104" t="s">
        <v>159</v>
      </c>
      <c r="C15" s="75">
        <v>50</v>
      </c>
      <c r="D15" s="75">
        <v>70</v>
      </c>
      <c r="E15" s="75">
        <v>70</v>
      </c>
      <c r="F15" s="75">
        <v>50</v>
      </c>
      <c r="G15" s="75">
        <v>140</v>
      </c>
      <c r="H15" s="75">
        <v>0</v>
      </c>
      <c r="I15" s="75">
        <v>0</v>
      </c>
      <c r="K15" s="79">
        <v>14</v>
      </c>
      <c r="L15" s="79">
        <v>14</v>
      </c>
      <c r="V15" s="73" t="s">
        <v>192</v>
      </c>
      <c r="W15" s="73" t="s">
        <v>199</v>
      </c>
      <c r="X15" s="73" t="str">
        <f t="shared" si="0"/>
        <v>SC X AM</v>
      </c>
      <c r="Y15" s="98">
        <v>820</v>
      </c>
      <c r="AF15" s="73" t="s">
        <v>161</v>
      </c>
      <c r="AG15" s="98">
        <v>425.25</v>
      </c>
      <c r="AI15" s="73" t="s">
        <v>162</v>
      </c>
      <c r="AJ15" s="98">
        <v>86</v>
      </c>
    </row>
    <row r="16" spans="1:37" ht="24">
      <c r="A16" s="104" t="s">
        <v>125</v>
      </c>
      <c r="B16" s="104" t="s">
        <v>160</v>
      </c>
      <c r="C16" s="75">
        <v>50</v>
      </c>
      <c r="D16" s="75">
        <v>70</v>
      </c>
      <c r="E16" s="75">
        <v>70</v>
      </c>
      <c r="F16" s="75">
        <v>50</v>
      </c>
      <c r="G16" s="75">
        <v>140</v>
      </c>
      <c r="H16" s="75">
        <v>0</v>
      </c>
      <c r="I16" s="75">
        <v>0</v>
      </c>
      <c r="K16" s="79">
        <v>15</v>
      </c>
      <c r="L16" s="79">
        <v>15</v>
      </c>
      <c r="V16" s="73" t="s">
        <v>296</v>
      </c>
      <c r="W16" s="73" t="s">
        <v>225</v>
      </c>
      <c r="X16" s="73" t="str">
        <f t="shared" si="0"/>
        <v>SC X SP</v>
      </c>
      <c r="Y16" s="98">
        <v>250</v>
      </c>
      <c r="AF16" s="73" t="s">
        <v>162</v>
      </c>
      <c r="AG16" s="98">
        <v>196.2</v>
      </c>
      <c r="AI16" s="73"/>
      <c r="AJ16" s="98"/>
    </row>
    <row r="17" spans="1:36" ht="24">
      <c r="A17" s="104" t="s">
        <v>125</v>
      </c>
      <c r="B17" s="104" t="s">
        <v>161</v>
      </c>
      <c r="C17" s="75">
        <v>50</v>
      </c>
      <c r="D17" s="75">
        <v>70</v>
      </c>
      <c r="E17" s="75">
        <v>70</v>
      </c>
      <c r="F17" s="75">
        <v>50</v>
      </c>
      <c r="G17" s="75">
        <v>140</v>
      </c>
      <c r="H17" s="75">
        <v>0</v>
      </c>
      <c r="I17" s="75">
        <v>0</v>
      </c>
      <c r="K17" s="79">
        <v>16</v>
      </c>
      <c r="L17" s="79">
        <v>16</v>
      </c>
      <c r="V17" s="73" t="s">
        <v>297</v>
      </c>
      <c r="W17" s="73" t="s">
        <v>225</v>
      </c>
      <c r="X17" s="73" t="str">
        <f t="shared" si="0"/>
        <v>SC X SP</v>
      </c>
      <c r="Y17" s="98">
        <v>250</v>
      </c>
      <c r="AF17" s="73" t="s">
        <v>163</v>
      </c>
      <c r="AG17" s="98">
        <v>279</v>
      </c>
      <c r="AI17" s="73" t="s">
        <v>163</v>
      </c>
      <c r="AJ17" s="98">
        <v>104</v>
      </c>
    </row>
    <row r="18" spans="1:36" ht="24">
      <c r="A18" s="104" t="s">
        <v>125</v>
      </c>
      <c r="B18" s="104" t="s">
        <v>162</v>
      </c>
      <c r="C18" s="75">
        <v>50</v>
      </c>
      <c r="D18" s="75">
        <v>70</v>
      </c>
      <c r="E18" s="75">
        <v>70</v>
      </c>
      <c r="F18" s="75">
        <v>50</v>
      </c>
      <c r="G18" s="75">
        <v>140</v>
      </c>
      <c r="H18" s="75">
        <v>0</v>
      </c>
      <c r="I18" s="75">
        <v>0</v>
      </c>
      <c r="K18" s="79">
        <v>17</v>
      </c>
      <c r="L18" s="79">
        <v>17</v>
      </c>
      <c r="V18" s="73" t="s">
        <v>216</v>
      </c>
      <c r="W18" s="73" t="s">
        <v>225</v>
      </c>
      <c r="X18" s="73" t="str">
        <f t="shared" si="0"/>
        <v>RJ X SP</v>
      </c>
      <c r="Y18" s="98">
        <v>250</v>
      </c>
      <c r="AF18" s="73" t="s">
        <v>164</v>
      </c>
      <c r="AG18" s="98">
        <v>357.52499999999998</v>
      </c>
      <c r="AI18" s="73" t="s">
        <v>164</v>
      </c>
      <c r="AJ18" s="98">
        <v>138</v>
      </c>
    </row>
    <row r="19" spans="1:36" ht="24">
      <c r="A19" s="104" t="s">
        <v>125</v>
      </c>
      <c r="B19" s="73" t="s">
        <v>163</v>
      </c>
      <c r="C19" s="75">
        <v>50</v>
      </c>
      <c r="D19" s="75">
        <v>70</v>
      </c>
      <c r="E19" s="75">
        <v>70</v>
      </c>
      <c r="F19" s="75">
        <v>50</v>
      </c>
      <c r="G19" s="75">
        <v>140</v>
      </c>
      <c r="H19" s="75">
        <v>0</v>
      </c>
      <c r="I19" s="75">
        <v>0</v>
      </c>
      <c r="K19" s="79">
        <v>18</v>
      </c>
      <c r="L19" s="79">
        <v>18</v>
      </c>
      <c r="V19" s="73" t="s">
        <v>211</v>
      </c>
      <c r="W19" s="73" t="s">
        <v>225</v>
      </c>
      <c r="X19" s="73" t="str">
        <f t="shared" si="0"/>
        <v>RS X SP</v>
      </c>
      <c r="Y19" s="98">
        <v>400</v>
      </c>
      <c r="AF19" s="73" t="s">
        <v>165</v>
      </c>
      <c r="AG19" s="98">
        <v>269.33</v>
      </c>
      <c r="AI19" s="73" t="s">
        <v>165</v>
      </c>
      <c r="AJ19" s="98">
        <v>150.15772471212907</v>
      </c>
    </row>
    <row r="20" spans="1:36" ht="24">
      <c r="A20" s="104" t="s">
        <v>125</v>
      </c>
      <c r="B20" s="104" t="s">
        <v>164</v>
      </c>
      <c r="C20" s="75">
        <v>50</v>
      </c>
      <c r="D20" s="75">
        <v>70</v>
      </c>
      <c r="E20" s="75">
        <v>70</v>
      </c>
      <c r="F20" s="75">
        <v>50</v>
      </c>
      <c r="G20" s="75">
        <v>140</v>
      </c>
      <c r="H20" s="75">
        <v>0</v>
      </c>
      <c r="I20" s="75">
        <v>0</v>
      </c>
      <c r="K20" s="79">
        <v>19</v>
      </c>
      <c r="L20" s="79">
        <v>19</v>
      </c>
      <c r="V20" s="73" t="s">
        <v>175</v>
      </c>
      <c r="W20" s="73" t="s">
        <v>179</v>
      </c>
      <c r="X20" s="73" t="str">
        <f t="shared" si="0"/>
        <v>PR X CE</v>
      </c>
      <c r="Y20" s="98">
        <v>460</v>
      </c>
      <c r="AF20" s="73" t="s">
        <v>166</v>
      </c>
      <c r="AG20" s="98">
        <v>405.82</v>
      </c>
      <c r="AI20" s="73"/>
      <c r="AJ20" s="98"/>
    </row>
    <row r="21" spans="1:36" ht="24">
      <c r="A21" s="104" t="s">
        <v>125</v>
      </c>
      <c r="B21" s="73" t="s">
        <v>165</v>
      </c>
      <c r="C21" s="75">
        <v>50</v>
      </c>
      <c r="D21" s="75">
        <v>70</v>
      </c>
      <c r="E21" s="75">
        <v>70</v>
      </c>
      <c r="F21" s="75">
        <v>50</v>
      </c>
      <c r="G21" s="75">
        <v>140</v>
      </c>
      <c r="H21" s="75">
        <v>0</v>
      </c>
      <c r="I21" s="75">
        <v>0</v>
      </c>
      <c r="K21" s="79">
        <v>20</v>
      </c>
      <c r="L21" s="79">
        <v>20</v>
      </c>
      <c r="V21" s="73" t="s">
        <v>175</v>
      </c>
      <c r="W21" s="73" t="s">
        <v>219</v>
      </c>
      <c r="X21" s="73" t="str">
        <f t="shared" si="0"/>
        <v>PR X BA</v>
      </c>
      <c r="Y21" s="98">
        <v>460</v>
      </c>
      <c r="AF21" s="73" t="s">
        <v>167</v>
      </c>
      <c r="AG21" s="98">
        <v>248.67</v>
      </c>
      <c r="AI21" s="73" t="s">
        <v>166</v>
      </c>
      <c r="AJ21" s="98">
        <v>75</v>
      </c>
    </row>
    <row r="22" spans="1:36" ht="24">
      <c r="A22" s="104" t="s">
        <v>125</v>
      </c>
      <c r="B22" s="104" t="s">
        <v>166</v>
      </c>
      <c r="C22" s="75">
        <v>50</v>
      </c>
      <c r="D22" s="75">
        <v>70</v>
      </c>
      <c r="E22" s="75">
        <v>70</v>
      </c>
      <c r="F22" s="75">
        <v>50</v>
      </c>
      <c r="G22" s="75">
        <v>140</v>
      </c>
      <c r="H22" s="75">
        <v>0</v>
      </c>
      <c r="I22" s="75">
        <v>0</v>
      </c>
      <c r="K22" s="79">
        <v>21</v>
      </c>
      <c r="L22" s="79">
        <v>21</v>
      </c>
      <c r="V22" s="73" t="s">
        <v>175</v>
      </c>
      <c r="W22" s="73" t="s">
        <v>228</v>
      </c>
      <c r="X22" s="73" t="str">
        <f t="shared" si="0"/>
        <v>PR X PI</v>
      </c>
      <c r="Y22" s="98">
        <v>460</v>
      </c>
      <c r="AF22" s="73" t="s">
        <v>168</v>
      </c>
      <c r="AG22" s="98">
        <v>302.41000000000003</v>
      </c>
      <c r="AI22" s="73" t="s">
        <v>167</v>
      </c>
      <c r="AJ22" s="98">
        <v>90</v>
      </c>
    </row>
    <row r="23" spans="1:36" ht="24">
      <c r="A23" s="104" t="s">
        <v>125</v>
      </c>
      <c r="B23" s="104" t="s">
        <v>167</v>
      </c>
      <c r="C23" s="75">
        <v>50</v>
      </c>
      <c r="D23" s="75">
        <v>70</v>
      </c>
      <c r="E23" s="75">
        <v>70</v>
      </c>
      <c r="F23" s="75">
        <v>50</v>
      </c>
      <c r="G23" s="75">
        <v>140</v>
      </c>
      <c r="H23" s="75">
        <v>0</v>
      </c>
      <c r="I23" s="75">
        <v>0</v>
      </c>
      <c r="K23" s="79">
        <v>22</v>
      </c>
      <c r="L23" s="79">
        <v>22</v>
      </c>
      <c r="V23" s="73" t="s">
        <v>175</v>
      </c>
      <c r="W23" s="73" t="s">
        <v>298</v>
      </c>
      <c r="X23" s="73" t="str">
        <f t="shared" si="0"/>
        <v>PR X MA</v>
      </c>
      <c r="Y23" s="98">
        <v>460</v>
      </c>
      <c r="AF23" s="73" t="s">
        <v>169</v>
      </c>
      <c r="AG23" s="98">
        <v>258.95999999999998</v>
      </c>
      <c r="AI23" s="73" t="s">
        <v>246</v>
      </c>
      <c r="AJ23" s="98">
        <v>186.88</v>
      </c>
    </row>
    <row r="24" spans="1:36" ht="24">
      <c r="A24" s="104" t="s">
        <v>125</v>
      </c>
      <c r="B24" s="104" t="s">
        <v>246</v>
      </c>
      <c r="C24" s="75">
        <v>50</v>
      </c>
      <c r="D24" s="75">
        <v>70</v>
      </c>
      <c r="E24" s="75">
        <v>70</v>
      </c>
      <c r="F24" s="75">
        <v>50</v>
      </c>
      <c r="G24" s="75">
        <v>140</v>
      </c>
      <c r="H24" s="75">
        <v>0</v>
      </c>
      <c r="I24" s="75">
        <v>0</v>
      </c>
      <c r="K24" s="79">
        <v>23</v>
      </c>
      <c r="L24" s="79">
        <v>23</v>
      </c>
      <c r="V24" s="73" t="s">
        <v>175</v>
      </c>
      <c r="W24" s="73" t="s">
        <v>299</v>
      </c>
      <c r="X24" s="73" t="str">
        <f t="shared" si="0"/>
        <v>PR X PA</v>
      </c>
      <c r="Y24" s="98">
        <v>460</v>
      </c>
      <c r="AF24" s="73" t="s">
        <v>170</v>
      </c>
      <c r="AG24" s="98">
        <v>395</v>
      </c>
      <c r="AI24" s="73" t="s">
        <v>168</v>
      </c>
      <c r="AJ24" s="98">
        <v>186.87</v>
      </c>
    </row>
    <row r="25" spans="1:36" ht="24">
      <c r="A25" s="104" t="s">
        <v>125</v>
      </c>
      <c r="B25" s="104" t="s">
        <v>168</v>
      </c>
      <c r="C25" s="75">
        <v>50</v>
      </c>
      <c r="D25" s="75">
        <v>70</v>
      </c>
      <c r="E25" s="75">
        <v>70</v>
      </c>
      <c r="F25" s="75">
        <v>50</v>
      </c>
      <c r="G25" s="75">
        <v>140</v>
      </c>
      <c r="H25" s="75">
        <v>0</v>
      </c>
      <c r="I25" s="75">
        <v>0</v>
      </c>
      <c r="K25" s="79">
        <v>24</v>
      </c>
      <c r="L25" s="79">
        <v>24</v>
      </c>
      <c r="V25" s="73" t="s">
        <v>175</v>
      </c>
      <c r="W25" s="73" t="s">
        <v>300</v>
      </c>
      <c r="X25" s="73" t="str">
        <f t="shared" si="0"/>
        <v>PR X GO</v>
      </c>
      <c r="Y25" s="98">
        <v>460</v>
      </c>
      <c r="AF25" s="73" t="s">
        <v>171</v>
      </c>
      <c r="AG25" s="98">
        <v>317.75</v>
      </c>
      <c r="AI25" s="73" t="s">
        <v>169</v>
      </c>
      <c r="AJ25" s="98">
        <v>151</v>
      </c>
    </row>
    <row r="26" spans="1:36" ht="24">
      <c r="A26" s="104" t="s">
        <v>125</v>
      </c>
      <c r="B26" s="104" t="s">
        <v>169</v>
      </c>
      <c r="C26" s="75">
        <v>50</v>
      </c>
      <c r="D26" s="75">
        <v>70</v>
      </c>
      <c r="E26" s="75">
        <v>70</v>
      </c>
      <c r="F26" s="75">
        <v>50</v>
      </c>
      <c r="G26" s="75">
        <v>140</v>
      </c>
      <c r="H26" s="75">
        <v>0</v>
      </c>
      <c r="I26" s="75">
        <v>0</v>
      </c>
      <c r="K26" s="79">
        <v>25</v>
      </c>
      <c r="L26" s="79">
        <v>25</v>
      </c>
      <c r="V26" s="73" t="s">
        <v>175</v>
      </c>
      <c r="W26" s="73" t="s">
        <v>301</v>
      </c>
      <c r="X26" s="73" t="str">
        <f t="shared" si="0"/>
        <v>PR X MA</v>
      </c>
      <c r="Y26" s="98">
        <v>460</v>
      </c>
      <c r="AF26" s="73" t="s">
        <v>173</v>
      </c>
      <c r="AG26" s="98">
        <v>239</v>
      </c>
      <c r="AI26" s="73" t="s">
        <v>170</v>
      </c>
      <c r="AJ26" s="98">
        <v>130</v>
      </c>
    </row>
    <row r="27" spans="1:36" ht="24">
      <c r="A27" s="104" t="s">
        <v>125</v>
      </c>
      <c r="B27" s="104" t="s">
        <v>170</v>
      </c>
      <c r="C27" s="75">
        <v>50</v>
      </c>
      <c r="D27" s="75">
        <v>70</v>
      </c>
      <c r="E27" s="75">
        <v>70</v>
      </c>
      <c r="F27" s="75">
        <v>50</v>
      </c>
      <c r="G27" s="75">
        <v>140</v>
      </c>
      <c r="H27" s="75">
        <v>0</v>
      </c>
      <c r="I27" s="75">
        <v>0</v>
      </c>
      <c r="K27" s="79">
        <v>26</v>
      </c>
      <c r="L27" s="79">
        <v>26</v>
      </c>
      <c r="V27" s="73"/>
      <c r="W27" s="73"/>
      <c r="X27" s="73"/>
      <c r="Y27" s="98"/>
      <c r="AF27" s="73" t="s">
        <v>174</v>
      </c>
      <c r="AG27" s="98">
        <v>374.75</v>
      </c>
      <c r="AI27" s="73" t="s">
        <v>171</v>
      </c>
      <c r="AJ27" s="98">
        <v>75</v>
      </c>
    </row>
    <row r="28" spans="1:36" ht="24">
      <c r="A28" s="104" t="s">
        <v>125</v>
      </c>
      <c r="B28" s="104" t="s">
        <v>171</v>
      </c>
      <c r="C28" s="75">
        <v>50</v>
      </c>
      <c r="D28" s="75">
        <v>70</v>
      </c>
      <c r="E28" s="75">
        <v>70</v>
      </c>
      <c r="F28" s="75">
        <v>50</v>
      </c>
      <c r="G28" s="75">
        <v>140</v>
      </c>
      <c r="H28" s="75">
        <v>0</v>
      </c>
      <c r="I28" s="75">
        <v>0</v>
      </c>
      <c r="K28" s="79">
        <v>27</v>
      </c>
      <c r="L28" s="79">
        <v>27</v>
      </c>
      <c r="V28" s="73"/>
      <c r="W28" s="73"/>
      <c r="X28" s="73"/>
      <c r="Y28" s="98"/>
      <c r="AF28" s="73" t="s">
        <v>175</v>
      </c>
      <c r="AG28" s="98">
        <v>228.9</v>
      </c>
      <c r="AI28" s="73" t="s">
        <v>172</v>
      </c>
      <c r="AJ28" s="98">
        <v>150.15772471212907</v>
      </c>
    </row>
    <row r="29" spans="1:36" ht="24">
      <c r="A29" s="104" t="s">
        <v>125</v>
      </c>
      <c r="B29" s="73" t="s">
        <v>172</v>
      </c>
      <c r="C29" s="75">
        <v>50</v>
      </c>
      <c r="D29" s="75">
        <v>70</v>
      </c>
      <c r="E29" s="75">
        <v>70</v>
      </c>
      <c r="F29" s="75">
        <v>50</v>
      </c>
      <c r="G29" s="75">
        <v>140</v>
      </c>
      <c r="H29" s="75">
        <v>0</v>
      </c>
      <c r="I29" s="75">
        <v>0</v>
      </c>
      <c r="K29" s="79">
        <v>29</v>
      </c>
      <c r="L29" s="79">
        <v>29</v>
      </c>
      <c r="V29" s="73"/>
      <c r="W29" s="73"/>
      <c r="X29" s="73"/>
      <c r="Y29" s="98"/>
      <c r="AF29" s="73" t="s">
        <v>176</v>
      </c>
      <c r="AG29" s="98">
        <v>253</v>
      </c>
      <c r="AI29" s="73" t="s">
        <v>173</v>
      </c>
      <c r="AJ29" s="98">
        <v>104</v>
      </c>
    </row>
    <row r="30" spans="1:36" ht="24">
      <c r="A30" s="104" t="s">
        <v>125</v>
      </c>
      <c r="B30" s="73" t="s">
        <v>173</v>
      </c>
      <c r="C30" s="75">
        <v>50</v>
      </c>
      <c r="D30" s="75">
        <v>70</v>
      </c>
      <c r="E30" s="75">
        <v>70</v>
      </c>
      <c r="F30" s="75">
        <v>50</v>
      </c>
      <c r="G30" s="75">
        <v>140</v>
      </c>
      <c r="H30" s="75">
        <v>0</v>
      </c>
      <c r="I30" s="75">
        <v>0</v>
      </c>
      <c r="K30" s="79">
        <v>30</v>
      </c>
      <c r="L30" s="79">
        <v>30</v>
      </c>
      <c r="AF30" s="73" t="s">
        <v>177</v>
      </c>
      <c r="AG30" s="98">
        <v>439.42500000000001</v>
      </c>
      <c r="AI30" s="73" t="s">
        <v>174</v>
      </c>
      <c r="AJ30" s="98">
        <v>75</v>
      </c>
    </row>
    <row r="31" spans="1:36" ht="24">
      <c r="A31" s="104" t="s">
        <v>125</v>
      </c>
      <c r="B31" s="73" t="s">
        <v>174</v>
      </c>
      <c r="C31" s="75">
        <v>50</v>
      </c>
      <c r="D31" s="75">
        <v>70</v>
      </c>
      <c r="E31" s="75">
        <v>70</v>
      </c>
      <c r="F31" s="75">
        <v>50</v>
      </c>
      <c r="G31" s="75">
        <v>140</v>
      </c>
      <c r="H31" s="75">
        <v>0</v>
      </c>
      <c r="I31" s="75">
        <v>0</v>
      </c>
      <c r="K31" s="77"/>
      <c r="AF31" s="73" t="s">
        <v>178</v>
      </c>
      <c r="AG31" s="98">
        <v>337.5</v>
      </c>
      <c r="AI31" s="73" t="s">
        <v>175</v>
      </c>
      <c r="AJ31" s="98">
        <v>109.10243313492064</v>
      </c>
    </row>
    <row r="32" spans="1:36" ht="24">
      <c r="A32" s="104" t="s">
        <v>125</v>
      </c>
      <c r="B32" s="73" t="s">
        <v>176</v>
      </c>
      <c r="C32" s="75">
        <v>50</v>
      </c>
      <c r="D32" s="75">
        <v>70</v>
      </c>
      <c r="E32" s="75">
        <v>70</v>
      </c>
      <c r="F32" s="75">
        <v>50</v>
      </c>
      <c r="G32" s="75">
        <v>140</v>
      </c>
      <c r="H32" s="75">
        <v>0</v>
      </c>
      <c r="I32" s="75">
        <v>0</v>
      </c>
      <c r="AF32" s="73" t="s">
        <v>179</v>
      </c>
      <c r="AG32" s="98">
        <v>160</v>
      </c>
      <c r="AI32" s="73" t="s">
        <v>176</v>
      </c>
      <c r="AJ32" s="98">
        <v>75</v>
      </c>
    </row>
    <row r="33" spans="1:36" ht="24">
      <c r="A33" s="104" t="s">
        <v>125</v>
      </c>
      <c r="B33" s="73" t="s">
        <v>177</v>
      </c>
      <c r="C33" s="75">
        <v>50</v>
      </c>
      <c r="D33" s="75">
        <v>70</v>
      </c>
      <c r="E33" s="75">
        <v>70</v>
      </c>
      <c r="F33" s="75">
        <v>50</v>
      </c>
      <c r="G33" s="75">
        <v>140</v>
      </c>
      <c r="H33" s="75">
        <v>0</v>
      </c>
      <c r="I33" s="75">
        <v>0</v>
      </c>
      <c r="AF33" s="73" t="s">
        <v>180</v>
      </c>
      <c r="AG33" s="98">
        <v>532.94999999999993</v>
      </c>
      <c r="AI33" s="73" t="s">
        <v>177</v>
      </c>
      <c r="AJ33" s="98">
        <v>107</v>
      </c>
    </row>
    <row r="34" spans="1:36" ht="24">
      <c r="A34" s="104" t="s">
        <v>125</v>
      </c>
      <c r="B34" s="73" t="s">
        <v>178</v>
      </c>
      <c r="C34" s="75">
        <v>50</v>
      </c>
      <c r="D34" s="75">
        <v>70</v>
      </c>
      <c r="E34" s="75">
        <v>70</v>
      </c>
      <c r="F34" s="75">
        <v>50</v>
      </c>
      <c r="G34" s="75">
        <v>140</v>
      </c>
      <c r="H34" s="75">
        <v>0</v>
      </c>
      <c r="I34" s="75">
        <v>0</v>
      </c>
      <c r="AF34" s="73" t="s">
        <v>181</v>
      </c>
      <c r="AG34" s="98">
        <v>492.8</v>
      </c>
      <c r="AI34" s="73" t="s">
        <v>178</v>
      </c>
      <c r="AJ34" s="98">
        <v>78</v>
      </c>
    </row>
    <row r="35" spans="1:36" ht="24">
      <c r="A35" s="104" t="s">
        <v>125</v>
      </c>
      <c r="B35" s="73" t="s">
        <v>179</v>
      </c>
      <c r="C35" s="75">
        <v>50</v>
      </c>
      <c r="D35" s="75">
        <v>70</v>
      </c>
      <c r="E35" s="75">
        <v>70</v>
      </c>
      <c r="F35" s="75">
        <v>50</v>
      </c>
      <c r="G35" s="75">
        <v>140</v>
      </c>
      <c r="H35" s="75">
        <v>0</v>
      </c>
      <c r="I35" s="75">
        <v>0</v>
      </c>
      <c r="AF35" s="73" t="s">
        <v>182</v>
      </c>
      <c r="AG35" s="98">
        <v>616</v>
      </c>
      <c r="AI35" s="73" t="s">
        <v>179</v>
      </c>
      <c r="AJ35" s="98">
        <v>79</v>
      </c>
    </row>
    <row r="36" spans="1:36" ht="24">
      <c r="A36" s="104" t="s">
        <v>125</v>
      </c>
      <c r="B36" s="73" t="s">
        <v>180</v>
      </c>
      <c r="C36" s="75">
        <v>50</v>
      </c>
      <c r="D36" s="75">
        <v>70</v>
      </c>
      <c r="E36" s="75">
        <v>70</v>
      </c>
      <c r="F36" s="75">
        <v>50</v>
      </c>
      <c r="G36" s="75">
        <v>140</v>
      </c>
      <c r="H36" s="75">
        <v>0</v>
      </c>
      <c r="I36" s="75">
        <v>0</v>
      </c>
      <c r="AF36" s="73" t="s">
        <v>183</v>
      </c>
      <c r="AG36" s="98">
        <v>418</v>
      </c>
      <c r="AI36" s="73" t="s">
        <v>180</v>
      </c>
      <c r="AJ36" s="98">
        <v>106</v>
      </c>
    </row>
    <row r="37" spans="1:36" ht="24">
      <c r="A37" s="104" t="s">
        <v>125</v>
      </c>
      <c r="B37" s="73" t="s">
        <v>181</v>
      </c>
      <c r="C37" s="75">
        <v>50</v>
      </c>
      <c r="D37" s="75">
        <v>70</v>
      </c>
      <c r="E37" s="75">
        <v>70</v>
      </c>
      <c r="F37" s="75">
        <v>50</v>
      </c>
      <c r="G37" s="75">
        <v>140</v>
      </c>
      <c r="H37" s="75">
        <v>0</v>
      </c>
      <c r="I37" s="75">
        <v>0</v>
      </c>
      <c r="AF37" s="73" t="s">
        <v>184</v>
      </c>
      <c r="AG37" s="98">
        <v>269.33</v>
      </c>
      <c r="AI37" s="73" t="s">
        <v>181</v>
      </c>
      <c r="AJ37" s="98">
        <v>94</v>
      </c>
    </row>
    <row r="38" spans="1:36" ht="24">
      <c r="A38" s="104" t="s">
        <v>125</v>
      </c>
      <c r="B38" s="73" t="s">
        <v>182</v>
      </c>
      <c r="C38" s="75">
        <v>50</v>
      </c>
      <c r="D38" s="75">
        <v>70</v>
      </c>
      <c r="E38" s="75">
        <v>70</v>
      </c>
      <c r="F38" s="75">
        <v>50</v>
      </c>
      <c r="G38" s="75">
        <v>140</v>
      </c>
      <c r="H38" s="75">
        <v>0</v>
      </c>
      <c r="I38" s="75">
        <v>0</v>
      </c>
      <c r="AF38" s="73" t="s">
        <v>185</v>
      </c>
      <c r="AG38" s="98">
        <v>418.08</v>
      </c>
      <c r="AI38" s="73" t="s">
        <v>182</v>
      </c>
      <c r="AJ38" s="98">
        <v>87.530000000000015</v>
      </c>
    </row>
    <row r="39" spans="1:36" ht="24">
      <c r="A39" s="104" t="s">
        <v>125</v>
      </c>
      <c r="B39" s="73" t="s">
        <v>183</v>
      </c>
      <c r="C39" s="75">
        <v>50</v>
      </c>
      <c r="D39" s="75">
        <v>70</v>
      </c>
      <c r="E39" s="75">
        <v>70</v>
      </c>
      <c r="F39" s="75">
        <v>50</v>
      </c>
      <c r="G39" s="75">
        <v>140</v>
      </c>
      <c r="H39" s="75">
        <v>0</v>
      </c>
      <c r="I39" s="75">
        <v>0</v>
      </c>
      <c r="AF39" s="73" t="s">
        <v>186</v>
      </c>
      <c r="AG39" s="98">
        <v>332.185</v>
      </c>
      <c r="AI39" s="73" t="s">
        <v>183</v>
      </c>
      <c r="AJ39" s="98">
        <v>114</v>
      </c>
    </row>
    <row r="40" spans="1:36" ht="24">
      <c r="A40" s="104" t="s">
        <v>125</v>
      </c>
      <c r="B40" s="73" t="s">
        <v>184</v>
      </c>
      <c r="C40" s="75">
        <v>50</v>
      </c>
      <c r="D40" s="75">
        <v>70</v>
      </c>
      <c r="E40" s="75">
        <v>70</v>
      </c>
      <c r="F40" s="75">
        <v>50</v>
      </c>
      <c r="G40" s="75">
        <v>140</v>
      </c>
      <c r="H40" s="75">
        <v>0</v>
      </c>
      <c r="I40" s="75">
        <v>0</v>
      </c>
      <c r="AF40" s="73" t="s">
        <v>187</v>
      </c>
      <c r="AG40" s="98">
        <v>250</v>
      </c>
      <c r="AI40" s="73" t="s">
        <v>184</v>
      </c>
      <c r="AJ40" s="98">
        <v>88</v>
      </c>
    </row>
    <row r="41" spans="1:36" ht="24">
      <c r="A41" s="104" t="s">
        <v>125</v>
      </c>
      <c r="B41" s="73" t="s">
        <v>185</v>
      </c>
      <c r="C41" s="75">
        <v>50</v>
      </c>
      <c r="D41" s="75">
        <v>70</v>
      </c>
      <c r="E41" s="75">
        <v>70</v>
      </c>
      <c r="F41" s="75">
        <v>50</v>
      </c>
      <c r="G41" s="75">
        <v>140</v>
      </c>
      <c r="H41" s="75">
        <v>0</v>
      </c>
      <c r="I41" s="75">
        <v>0</v>
      </c>
      <c r="AF41" s="73" t="s">
        <v>188</v>
      </c>
      <c r="AG41" s="98">
        <v>305.02999999999997</v>
      </c>
      <c r="AI41" s="73" t="s">
        <v>185</v>
      </c>
      <c r="AJ41" s="98">
        <v>169.87958333333333</v>
      </c>
    </row>
    <row r="42" spans="1:36" ht="24">
      <c r="A42" s="104" t="s">
        <v>125</v>
      </c>
      <c r="B42" s="73" t="s">
        <v>186</v>
      </c>
      <c r="C42" s="75">
        <v>50</v>
      </c>
      <c r="D42" s="75">
        <v>70</v>
      </c>
      <c r="E42" s="75">
        <v>70</v>
      </c>
      <c r="F42" s="75">
        <v>50</v>
      </c>
      <c r="G42" s="75">
        <v>140</v>
      </c>
      <c r="H42" s="75">
        <v>0</v>
      </c>
      <c r="I42" s="75">
        <v>0</v>
      </c>
      <c r="AF42" s="73" t="s">
        <v>189</v>
      </c>
      <c r="AG42" s="98">
        <v>446.31</v>
      </c>
      <c r="AI42" s="73" t="s">
        <v>186</v>
      </c>
      <c r="AJ42" s="98">
        <v>78</v>
      </c>
    </row>
    <row r="43" spans="1:36" ht="24">
      <c r="A43" s="104" t="s">
        <v>125</v>
      </c>
      <c r="B43" s="73" t="s">
        <v>187</v>
      </c>
      <c r="C43" s="75">
        <v>50</v>
      </c>
      <c r="D43" s="75">
        <v>70</v>
      </c>
      <c r="E43" s="75">
        <v>70</v>
      </c>
      <c r="F43" s="75">
        <v>50</v>
      </c>
      <c r="G43" s="75">
        <v>140</v>
      </c>
      <c r="H43" s="75">
        <v>0</v>
      </c>
      <c r="I43" s="75">
        <v>0</v>
      </c>
      <c r="AF43" s="73" t="s">
        <v>190</v>
      </c>
      <c r="AG43" s="98">
        <v>260</v>
      </c>
      <c r="AI43" s="73" t="s">
        <v>187</v>
      </c>
      <c r="AJ43" s="98">
        <v>132</v>
      </c>
    </row>
    <row r="44" spans="1:36" ht="24">
      <c r="A44" s="104" t="s">
        <v>125</v>
      </c>
      <c r="B44" s="73" t="s">
        <v>188</v>
      </c>
      <c r="C44" s="75">
        <v>50</v>
      </c>
      <c r="D44" s="75">
        <v>70</v>
      </c>
      <c r="E44" s="75">
        <v>70</v>
      </c>
      <c r="F44" s="75">
        <v>50</v>
      </c>
      <c r="G44" s="75">
        <v>140</v>
      </c>
      <c r="H44" s="75">
        <v>0</v>
      </c>
      <c r="I44" s="75">
        <v>0</v>
      </c>
      <c r="AF44" s="73" t="s">
        <v>191</v>
      </c>
      <c r="AG44" s="98">
        <v>269.5</v>
      </c>
      <c r="AI44" s="73" t="s">
        <v>188</v>
      </c>
      <c r="AJ44" s="98">
        <v>133</v>
      </c>
    </row>
    <row r="45" spans="1:36" ht="24">
      <c r="A45" s="104" t="s">
        <v>125</v>
      </c>
      <c r="B45" s="73" t="s">
        <v>189</v>
      </c>
      <c r="C45" s="75">
        <v>50</v>
      </c>
      <c r="D45" s="75">
        <v>70</v>
      </c>
      <c r="E45" s="75">
        <v>70</v>
      </c>
      <c r="F45" s="75">
        <v>50</v>
      </c>
      <c r="G45" s="75">
        <v>140</v>
      </c>
      <c r="H45" s="75">
        <v>0</v>
      </c>
      <c r="I45" s="75">
        <v>0</v>
      </c>
      <c r="AF45" s="73" t="s">
        <v>192</v>
      </c>
      <c r="AG45" s="98">
        <v>319</v>
      </c>
      <c r="AI45" s="73" t="s">
        <v>189</v>
      </c>
      <c r="AJ45" s="98">
        <v>130</v>
      </c>
    </row>
    <row r="46" spans="1:36" ht="24">
      <c r="A46" s="104" t="s">
        <v>125</v>
      </c>
      <c r="B46" s="73" t="s">
        <v>190</v>
      </c>
      <c r="C46" s="75">
        <v>50</v>
      </c>
      <c r="D46" s="75">
        <v>70</v>
      </c>
      <c r="E46" s="75">
        <v>70</v>
      </c>
      <c r="F46" s="75">
        <v>50</v>
      </c>
      <c r="G46" s="75">
        <v>140</v>
      </c>
      <c r="H46" s="75">
        <v>0</v>
      </c>
      <c r="I46" s="75">
        <v>0</v>
      </c>
      <c r="AF46" s="73" t="s">
        <v>193</v>
      </c>
      <c r="AG46" s="98">
        <v>443.7</v>
      </c>
      <c r="AI46" s="73" t="s">
        <v>190</v>
      </c>
      <c r="AJ46" s="98">
        <v>144</v>
      </c>
    </row>
    <row r="47" spans="1:36" ht="24">
      <c r="A47" s="104" t="s">
        <v>125</v>
      </c>
      <c r="B47" s="73" t="s">
        <v>191</v>
      </c>
      <c r="C47" s="75">
        <v>50</v>
      </c>
      <c r="D47" s="75">
        <v>70</v>
      </c>
      <c r="E47" s="75">
        <v>70</v>
      </c>
      <c r="F47" s="75">
        <v>50</v>
      </c>
      <c r="G47" s="75">
        <v>140</v>
      </c>
      <c r="H47" s="75">
        <v>0</v>
      </c>
      <c r="I47" s="75">
        <v>0</v>
      </c>
      <c r="AF47" s="73" t="s">
        <v>194</v>
      </c>
      <c r="AG47" s="98">
        <v>268.17</v>
      </c>
      <c r="AI47" s="73" t="s">
        <v>191</v>
      </c>
      <c r="AJ47" s="98">
        <v>93</v>
      </c>
    </row>
    <row r="48" spans="1:36" ht="24">
      <c r="A48" s="104" t="s">
        <v>125</v>
      </c>
      <c r="B48" s="73" t="s">
        <v>193</v>
      </c>
      <c r="C48" s="75">
        <v>50</v>
      </c>
      <c r="D48" s="75">
        <v>70</v>
      </c>
      <c r="E48" s="75">
        <v>70</v>
      </c>
      <c r="F48" s="75">
        <v>50</v>
      </c>
      <c r="G48" s="75">
        <v>140</v>
      </c>
      <c r="H48" s="75">
        <v>0</v>
      </c>
      <c r="I48" s="75">
        <v>0</v>
      </c>
      <c r="AF48" s="73" t="s">
        <v>195</v>
      </c>
      <c r="AG48" s="98">
        <v>288.75</v>
      </c>
      <c r="AI48" s="73" t="s">
        <v>192</v>
      </c>
      <c r="AJ48" s="98">
        <v>89.70183333333334</v>
      </c>
    </row>
    <row r="49" spans="1:36" ht="24">
      <c r="A49" s="104" t="s">
        <v>125</v>
      </c>
      <c r="B49" s="73" t="s">
        <v>194</v>
      </c>
      <c r="C49" s="75">
        <v>50</v>
      </c>
      <c r="D49" s="75">
        <v>70</v>
      </c>
      <c r="E49" s="75">
        <v>70</v>
      </c>
      <c r="F49" s="75">
        <v>50</v>
      </c>
      <c r="G49" s="75">
        <v>140</v>
      </c>
      <c r="H49" s="75">
        <v>0</v>
      </c>
      <c r="I49" s="75">
        <v>0</v>
      </c>
      <c r="AF49" s="73" t="s">
        <v>196</v>
      </c>
      <c r="AG49" s="98">
        <v>225.03</v>
      </c>
      <c r="AI49" s="73" t="s">
        <v>193</v>
      </c>
      <c r="AJ49" s="98">
        <v>150.15772471212907</v>
      </c>
    </row>
    <row r="50" spans="1:36" ht="24">
      <c r="A50" s="104" t="s">
        <v>125</v>
      </c>
      <c r="B50" s="73" t="s">
        <v>195</v>
      </c>
      <c r="C50" s="75">
        <v>50</v>
      </c>
      <c r="D50" s="75">
        <v>70</v>
      </c>
      <c r="E50" s="75">
        <v>70</v>
      </c>
      <c r="F50" s="75">
        <v>50</v>
      </c>
      <c r="G50" s="75">
        <v>140</v>
      </c>
      <c r="H50" s="75">
        <v>0</v>
      </c>
      <c r="I50" s="75">
        <v>0</v>
      </c>
      <c r="AF50" s="73" t="s">
        <v>197</v>
      </c>
      <c r="AG50" s="98">
        <v>247.20000000000002</v>
      </c>
      <c r="AI50" s="73" t="s">
        <v>194</v>
      </c>
      <c r="AJ50" s="98">
        <v>130</v>
      </c>
    </row>
    <row r="51" spans="1:36" ht="24">
      <c r="A51" s="104" t="s">
        <v>125</v>
      </c>
      <c r="B51" s="73" t="s">
        <v>197</v>
      </c>
      <c r="C51" s="75">
        <v>50</v>
      </c>
      <c r="D51" s="75">
        <v>70</v>
      </c>
      <c r="E51" s="75">
        <v>70</v>
      </c>
      <c r="F51" s="75">
        <v>50</v>
      </c>
      <c r="G51" s="75">
        <v>140</v>
      </c>
      <c r="H51" s="75">
        <v>0</v>
      </c>
      <c r="I51" s="75">
        <v>0</v>
      </c>
      <c r="AF51" s="73" t="s">
        <v>198</v>
      </c>
      <c r="AG51" s="98">
        <v>271.92</v>
      </c>
      <c r="AI51" s="73" t="s">
        <v>195</v>
      </c>
      <c r="AJ51" s="98">
        <v>150.15772471212907</v>
      </c>
    </row>
    <row r="52" spans="1:36" ht="24">
      <c r="A52" s="104" t="s">
        <v>125</v>
      </c>
      <c r="B52" s="73" t="s">
        <v>198</v>
      </c>
      <c r="C52" s="75">
        <v>50</v>
      </c>
      <c r="D52" s="75">
        <v>70</v>
      </c>
      <c r="E52" s="75">
        <v>70</v>
      </c>
      <c r="F52" s="75">
        <v>50</v>
      </c>
      <c r="G52" s="75">
        <v>140</v>
      </c>
      <c r="H52" s="75">
        <v>0</v>
      </c>
      <c r="I52" s="75">
        <v>0</v>
      </c>
      <c r="AF52" s="101" t="s">
        <v>199</v>
      </c>
      <c r="AG52" s="102">
        <v>201.6</v>
      </c>
      <c r="AI52" s="73" t="s">
        <v>196</v>
      </c>
      <c r="AJ52" s="98">
        <v>125</v>
      </c>
    </row>
    <row r="53" spans="1:36" ht="24">
      <c r="A53" s="104" t="s">
        <v>125</v>
      </c>
      <c r="B53" s="73" t="s">
        <v>200</v>
      </c>
      <c r="C53" s="75">
        <v>50</v>
      </c>
      <c r="D53" s="75">
        <v>70</v>
      </c>
      <c r="E53" s="75">
        <v>70</v>
      </c>
      <c r="F53" s="75">
        <v>50</v>
      </c>
      <c r="G53" s="75">
        <v>140</v>
      </c>
      <c r="H53" s="75">
        <v>0</v>
      </c>
      <c r="I53" s="75">
        <v>0</v>
      </c>
      <c r="AF53" s="73" t="s">
        <v>200</v>
      </c>
      <c r="AG53" s="98">
        <v>304.05</v>
      </c>
      <c r="AI53" s="73" t="s">
        <v>197</v>
      </c>
      <c r="AJ53" s="98">
        <v>82.335714285714289</v>
      </c>
    </row>
    <row r="54" spans="1:36" ht="24">
      <c r="A54" s="104" t="s">
        <v>125</v>
      </c>
      <c r="B54" s="73" t="s">
        <v>201</v>
      </c>
      <c r="C54" s="75">
        <v>50</v>
      </c>
      <c r="D54" s="75">
        <v>70</v>
      </c>
      <c r="E54" s="75">
        <v>70</v>
      </c>
      <c r="F54" s="75">
        <v>50</v>
      </c>
      <c r="G54" s="75">
        <v>140</v>
      </c>
      <c r="H54" s="75">
        <v>0</v>
      </c>
      <c r="I54" s="75">
        <v>0</v>
      </c>
      <c r="AF54" s="73" t="s">
        <v>201</v>
      </c>
      <c r="AG54" s="98">
        <v>400.67</v>
      </c>
      <c r="AI54" s="73" t="s">
        <v>198</v>
      </c>
      <c r="AJ54" s="98">
        <v>135</v>
      </c>
    </row>
    <row r="55" spans="1:36" ht="24">
      <c r="A55" s="104" t="s">
        <v>125</v>
      </c>
      <c r="B55" s="73" t="s">
        <v>247</v>
      </c>
      <c r="C55" s="75">
        <v>50</v>
      </c>
      <c r="D55" s="75">
        <v>70</v>
      </c>
      <c r="E55" s="75">
        <v>70</v>
      </c>
      <c r="F55" s="75">
        <v>50</v>
      </c>
      <c r="G55" s="75">
        <v>140</v>
      </c>
      <c r="H55" s="75">
        <v>0</v>
      </c>
      <c r="I55" s="75">
        <v>0</v>
      </c>
      <c r="AF55" s="73" t="s">
        <v>202</v>
      </c>
      <c r="AG55" s="98">
        <v>359.7</v>
      </c>
      <c r="AI55" s="73" t="s">
        <v>199</v>
      </c>
      <c r="AJ55" s="98">
        <v>126.42982966309054</v>
      </c>
    </row>
    <row r="56" spans="1:36" ht="24">
      <c r="A56" s="104" t="s">
        <v>125</v>
      </c>
      <c r="B56" s="73" t="s">
        <v>202</v>
      </c>
      <c r="C56" s="75">
        <v>50</v>
      </c>
      <c r="D56" s="75">
        <v>70</v>
      </c>
      <c r="E56" s="75">
        <v>70</v>
      </c>
      <c r="F56" s="75">
        <v>50</v>
      </c>
      <c r="G56" s="75">
        <v>140</v>
      </c>
      <c r="H56" s="75">
        <v>0</v>
      </c>
      <c r="I56" s="75">
        <v>0</v>
      </c>
      <c r="AF56" s="73" t="s">
        <v>204</v>
      </c>
      <c r="AG56" s="98">
        <v>403.28</v>
      </c>
      <c r="AI56" s="73" t="s">
        <v>200</v>
      </c>
      <c r="AJ56" s="98">
        <v>171.57</v>
      </c>
    </row>
    <row r="57" spans="1:36" ht="24">
      <c r="A57" s="104" t="s">
        <v>125</v>
      </c>
      <c r="B57" s="73" t="s">
        <v>203</v>
      </c>
      <c r="C57" s="75">
        <v>50</v>
      </c>
      <c r="D57" s="75">
        <v>70</v>
      </c>
      <c r="E57" s="75">
        <v>70</v>
      </c>
      <c r="F57" s="75">
        <v>50</v>
      </c>
      <c r="G57" s="75">
        <v>140</v>
      </c>
      <c r="H57" s="75">
        <v>0</v>
      </c>
      <c r="I57" s="75">
        <v>0</v>
      </c>
      <c r="AF57" s="73" t="s">
        <v>205</v>
      </c>
      <c r="AG57" s="98">
        <v>357.69</v>
      </c>
      <c r="AI57" s="73" t="s">
        <v>201</v>
      </c>
      <c r="AJ57" s="98">
        <v>204.65</v>
      </c>
    </row>
    <row r="58" spans="1:36" ht="24">
      <c r="A58" s="104" t="s">
        <v>125</v>
      </c>
      <c r="B58" s="73" t="s">
        <v>204</v>
      </c>
      <c r="C58" s="75">
        <v>50</v>
      </c>
      <c r="D58" s="75">
        <v>70</v>
      </c>
      <c r="E58" s="75">
        <v>70</v>
      </c>
      <c r="F58" s="75">
        <v>50</v>
      </c>
      <c r="G58" s="75">
        <v>140</v>
      </c>
      <c r="H58" s="75">
        <v>0</v>
      </c>
      <c r="I58" s="75">
        <v>0</v>
      </c>
      <c r="AF58" s="73" t="s">
        <v>206</v>
      </c>
      <c r="AG58" s="98">
        <v>231.11</v>
      </c>
      <c r="AI58" s="73" t="s">
        <v>247</v>
      </c>
      <c r="AJ58" s="98">
        <v>169.82</v>
      </c>
    </row>
    <row r="59" spans="1:36" ht="24">
      <c r="A59" s="104" t="s">
        <v>125</v>
      </c>
      <c r="B59" s="73" t="s">
        <v>205</v>
      </c>
      <c r="C59" s="75">
        <v>50</v>
      </c>
      <c r="D59" s="75">
        <v>70</v>
      </c>
      <c r="E59" s="75">
        <v>70</v>
      </c>
      <c r="F59" s="75">
        <v>50</v>
      </c>
      <c r="G59" s="75">
        <v>140</v>
      </c>
      <c r="H59" s="75">
        <v>0</v>
      </c>
      <c r="I59" s="75">
        <v>0</v>
      </c>
      <c r="AF59" s="73" t="s">
        <v>207</v>
      </c>
      <c r="AG59" s="98">
        <v>270</v>
      </c>
      <c r="AI59" s="73" t="s">
        <v>202</v>
      </c>
      <c r="AJ59" s="98">
        <v>75</v>
      </c>
    </row>
    <row r="60" spans="1:36" ht="24">
      <c r="A60" s="104" t="s">
        <v>125</v>
      </c>
      <c r="B60" s="73" t="s">
        <v>206</v>
      </c>
      <c r="C60" s="75">
        <v>50</v>
      </c>
      <c r="D60" s="75">
        <v>70</v>
      </c>
      <c r="E60" s="75">
        <v>70</v>
      </c>
      <c r="F60" s="75">
        <v>50</v>
      </c>
      <c r="G60" s="75">
        <v>140</v>
      </c>
      <c r="H60" s="75">
        <v>0</v>
      </c>
      <c r="I60" s="75">
        <v>0</v>
      </c>
      <c r="AF60" s="73" t="s">
        <v>208</v>
      </c>
      <c r="AG60" s="98">
        <v>248.6</v>
      </c>
      <c r="AI60" s="73" t="s">
        <v>203</v>
      </c>
      <c r="AJ60" s="98">
        <v>150.15772471212907</v>
      </c>
    </row>
    <row r="61" spans="1:36" ht="24">
      <c r="A61" s="104" t="s">
        <v>125</v>
      </c>
      <c r="B61" s="73" t="s">
        <v>207</v>
      </c>
      <c r="C61" s="75">
        <v>50</v>
      </c>
      <c r="D61" s="75">
        <v>70</v>
      </c>
      <c r="E61" s="75">
        <v>70</v>
      </c>
      <c r="F61" s="75">
        <v>50</v>
      </c>
      <c r="G61" s="75">
        <v>140</v>
      </c>
      <c r="H61" s="75">
        <v>0</v>
      </c>
      <c r="I61" s="75">
        <v>0</v>
      </c>
      <c r="AF61" s="73" t="s">
        <v>209</v>
      </c>
      <c r="AG61" s="98">
        <v>262.72000000000003</v>
      </c>
      <c r="AI61" s="73" t="s">
        <v>204</v>
      </c>
      <c r="AJ61" s="98">
        <v>132</v>
      </c>
    </row>
    <row r="62" spans="1:36" ht="24">
      <c r="A62" s="104" t="s">
        <v>125</v>
      </c>
      <c r="B62" s="73" t="s">
        <v>208</v>
      </c>
      <c r="C62" s="75">
        <v>50</v>
      </c>
      <c r="D62" s="75">
        <v>70</v>
      </c>
      <c r="E62" s="75">
        <v>70</v>
      </c>
      <c r="F62" s="75">
        <v>50</v>
      </c>
      <c r="G62" s="75">
        <v>140</v>
      </c>
      <c r="H62" s="75">
        <v>0</v>
      </c>
      <c r="I62" s="75">
        <v>0</v>
      </c>
      <c r="AF62" s="73" t="s">
        <v>210</v>
      </c>
      <c r="AG62" s="98">
        <v>297.57</v>
      </c>
      <c r="AI62" s="73" t="s">
        <v>205</v>
      </c>
      <c r="AJ62" s="98">
        <v>111</v>
      </c>
    </row>
    <row r="63" spans="1:36" ht="24">
      <c r="A63" s="104" t="s">
        <v>125</v>
      </c>
      <c r="B63" s="73" t="s">
        <v>209</v>
      </c>
      <c r="C63" s="75">
        <v>50</v>
      </c>
      <c r="D63" s="75">
        <v>70</v>
      </c>
      <c r="E63" s="75">
        <v>70</v>
      </c>
      <c r="F63" s="75">
        <v>50</v>
      </c>
      <c r="G63" s="75">
        <v>140</v>
      </c>
      <c r="H63" s="75">
        <v>0</v>
      </c>
      <c r="I63" s="75">
        <v>0</v>
      </c>
      <c r="AF63" s="73" t="s">
        <v>211</v>
      </c>
      <c r="AG63" s="98">
        <v>451.32</v>
      </c>
      <c r="AI63" s="73" t="s">
        <v>206</v>
      </c>
      <c r="AJ63" s="98">
        <v>116</v>
      </c>
    </row>
    <row r="64" spans="1:36" ht="24">
      <c r="A64" s="104" t="s">
        <v>125</v>
      </c>
      <c r="B64" s="73" t="s">
        <v>210</v>
      </c>
      <c r="C64" s="75">
        <v>50</v>
      </c>
      <c r="D64" s="75">
        <v>70</v>
      </c>
      <c r="E64" s="75">
        <v>70</v>
      </c>
      <c r="F64" s="75">
        <v>50</v>
      </c>
      <c r="G64" s="75">
        <v>140</v>
      </c>
      <c r="H64" s="75">
        <v>0</v>
      </c>
      <c r="I64" s="75">
        <v>0</v>
      </c>
      <c r="AF64" s="73" t="s">
        <v>212</v>
      </c>
      <c r="AG64" s="98">
        <v>143</v>
      </c>
      <c r="AI64" s="73" t="s">
        <v>207</v>
      </c>
      <c r="AJ64" s="98">
        <v>88</v>
      </c>
    </row>
    <row r="65" spans="1:36" ht="24">
      <c r="A65" s="104" t="s">
        <v>125</v>
      </c>
      <c r="B65" s="73" t="s">
        <v>211</v>
      </c>
      <c r="C65" s="75">
        <v>50</v>
      </c>
      <c r="D65" s="75">
        <v>70</v>
      </c>
      <c r="E65" s="75">
        <v>70</v>
      </c>
      <c r="F65" s="75">
        <v>50</v>
      </c>
      <c r="G65" s="75">
        <v>140</v>
      </c>
      <c r="H65" s="75">
        <v>0</v>
      </c>
      <c r="I65" s="75">
        <v>0</v>
      </c>
      <c r="AF65" s="73" t="s">
        <v>213</v>
      </c>
      <c r="AG65" s="98">
        <v>409.5</v>
      </c>
      <c r="AI65" s="73" t="s">
        <v>208</v>
      </c>
      <c r="AJ65" s="98">
        <v>93</v>
      </c>
    </row>
    <row r="66" spans="1:36" ht="24">
      <c r="A66" s="104" t="s">
        <v>125</v>
      </c>
      <c r="B66" s="73" t="s">
        <v>212</v>
      </c>
      <c r="C66" s="75">
        <v>50</v>
      </c>
      <c r="D66" s="75">
        <v>70</v>
      </c>
      <c r="E66" s="75">
        <v>70</v>
      </c>
      <c r="F66" s="75">
        <v>50</v>
      </c>
      <c r="G66" s="75">
        <v>140</v>
      </c>
      <c r="H66" s="75">
        <v>0</v>
      </c>
      <c r="I66" s="75">
        <v>0</v>
      </c>
      <c r="AF66" s="73" t="s">
        <v>214</v>
      </c>
      <c r="AG66" s="98">
        <v>805.39</v>
      </c>
      <c r="AI66" s="73" t="s">
        <v>209</v>
      </c>
      <c r="AJ66" s="98">
        <v>150.15772471212907</v>
      </c>
    </row>
    <row r="67" spans="1:36" ht="24">
      <c r="A67" s="104" t="s">
        <v>125</v>
      </c>
      <c r="B67" s="73" t="s">
        <v>213</v>
      </c>
      <c r="C67" s="75">
        <v>50</v>
      </c>
      <c r="D67" s="75">
        <v>70</v>
      </c>
      <c r="E67" s="75">
        <v>70</v>
      </c>
      <c r="F67" s="75">
        <v>50</v>
      </c>
      <c r="G67" s="75">
        <v>140</v>
      </c>
      <c r="H67" s="75">
        <v>0</v>
      </c>
      <c r="I67" s="75">
        <v>0</v>
      </c>
      <c r="AF67" s="73" t="s">
        <v>215</v>
      </c>
      <c r="AG67" s="98">
        <v>222.26</v>
      </c>
      <c r="AI67" s="73" t="s">
        <v>210</v>
      </c>
      <c r="AJ67" s="98">
        <v>90</v>
      </c>
    </row>
    <row r="68" spans="1:36" ht="24">
      <c r="A68" s="104" t="s">
        <v>125</v>
      </c>
      <c r="B68" s="73" t="s">
        <v>214</v>
      </c>
      <c r="C68" s="75">
        <v>50</v>
      </c>
      <c r="D68" s="75">
        <v>70</v>
      </c>
      <c r="E68" s="75">
        <v>70</v>
      </c>
      <c r="F68" s="75">
        <v>50</v>
      </c>
      <c r="G68" s="75">
        <v>140</v>
      </c>
      <c r="H68" s="75">
        <v>0</v>
      </c>
      <c r="I68" s="75">
        <v>0</v>
      </c>
      <c r="AF68" s="73" t="s">
        <v>216</v>
      </c>
      <c r="AG68" s="98">
        <v>734.5</v>
      </c>
      <c r="AI68" s="73" t="s">
        <v>211</v>
      </c>
      <c r="AJ68" s="98">
        <v>75</v>
      </c>
    </row>
    <row r="69" spans="1:36" ht="24">
      <c r="A69" s="104" t="s">
        <v>125</v>
      </c>
      <c r="B69" s="73" t="s">
        <v>215</v>
      </c>
      <c r="C69" s="75">
        <v>50</v>
      </c>
      <c r="D69" s="75">
        <v>70</v>
      </c>
      <c r="E69" s="75">
        <v>70</v>
      </c>
      <c r="F69" s="75">
        <v>50</v>
      </c>
      <c r="G69" s="75">
        <v>140</v>
      </c>
      <c r="H69" s="75">
        <v>0</v>
      </c>
      <c r="I69" s="75">
        <v>0</v>
      </c>
      <c r="AF69" s="73" t="s">
        <v>217</v>
      </c>
      <c r="AG69" s="98">
        <v>231.79</v>
      </c>
      <c r="AI69" s="73" t="s">
        <v>212</v>
      </c>
      <c r="AJ69" s="98">
        <v>130</v>
      </c>
    </row>
    <row r="70" spans="1:36" ht="24">
      <c r="A70" s="104" t="s">
        <v>125</v>
      </c>
      <c r="B70" s="73" t="s">
        <v>216</v>
      </c>
      <c r="C70" s="75">
        <v>50</v>
      </c>
      <c r="D70" s="75">
        <v>70</v>
      </c>
      <c r="E70" s="75">
        <v>70</v>
      </c>
      <c r="F70" s="75">
        <v>50</v>
      </c>
      <c r="G70" s="75">
        <v>140</v>
      </c>
      <c r="H70" s="75">
        <v>0</v>
      </c>
      <c r="I70" s="75">
        <v>0</v>
      </c>
      <c r="AF70" s="73" t="s">
        <v>218</v>
      </c>
      <c r="AG70" s="98">
        <v>372.16</v>
      </c>
      <c r="AI70" s="73" t="s">
        <v>213</v>
      </c>
      <c r="AJ70" s="98">
        <v>150.15772471212907</v>
      </c>
    </row>
    <row r="71" spans="1:36" ht="24">
      <c r="A71" s="104" t="s">
        <v>125</v>
      </c>
      <c r="B71" s="73" t="s">
        <v>217</v>
      </c>
      <c r="C71" s="75">
        <v>50</v>
      </c>
      <c r="D71" s="75">
        <v>70</v>
      </c>
      <c r="E71" s="75">
        <v>70</v>
      </c>
      <c r="F71" s="75">
        <v>50</v>
      </c>
      <c r="G71" s="75">
        <v>140</v>
      </c>
      <c r="H71" s="75">
        <v>0</v>
      </c>
      <c r="I71" s="75">
        <v>0</v>
      </c>
      <c r="AF71" s="73" t="s">
        <v>219</v>
      </c>
      <c r="AG71" s="98">
        <v>810.86333333333334</v>
      </c>
      <c r="AI71" s="73" t="s">
        <v>214</v>
      </c>
      <c r="AJ71" s="98">
        <v>79</v>
      </c>
    </row>
    <row r="72" spans="1:36" ht="24">
      <c r="A72" s="104" t="s">
        <v>125</v>
      </c>
      <c r="B72" s="73" t="s">
        <v>218</v>
      </c>
      <c r="C72" s="75">
        <v>50</v>
      </c>
      <c r="D72" s="75">
        <v>70</v>
      </c>
      <c r="E72" s="75">
        <v>70</v>
      </c>
      <c r="F72" s="75">
        <v>50</v>
      </c>
      <c r="G72" s="75">
        <v>140</v>
      </c>
      <c r="H72" s="75">
        <v>0</v>
      </c>
      <c r="I72" s="75">
        <v>0</v>
      </c>
      <c r="AF72" s="73" t="s">
        <v>220</v>
      </c>
      <c r="AG72" s="98">
        <v>274.85000000000002</v>
      </c>
      <c r="AI72" s="73" t="s">
        <v>215</v>
      </c>
      <c r="AJ72" s="98">
        <v>150.15772471212907</v>
      </c>
    </row>
    <row r="73" spans="1:36" ht="24">
      <c r="A73" s="104" t="s">
        <v>125</v>
      </c>
      <c r="B73" s="73" t="s">
        <v>219</v>
      </c>
      <c r="C73" s="75">
        <v>50</v>
      </c>
      <c r="D73" s="75">
        <v>70</v>
      </c>
      <c r="E73" s="75">
        <v>70</v>
      </c>
      <c r="F73" s="75">
        <v>50</v>
      </c>
      <c r="G73" s="75">
        <v>140</v>
      </c>
      <c r="H73" s="75">
        <v>0</v>
      </c>
      <c r="I73" s="75">
        <v>0</v>
      </c>
      <c r="AF73" s="73" t="s">
        <v>221</v>
      </c>
      <c r="AG73" s="98">
        <v>468.42</v>
      </c>
      <c r="AI73" s="73" t="s">
        <v>216</v>
      </c>
      <c r="AJ73" s="98">
        <v>74</v>
      </c>
    </row>
    <row r="74" spans="1:36" ht="24">
      <c r="A74" s="104" t="s">
        <v>125</v>
      </c>
      <c r="B74" s="73" t="s">
        <v>220</v>
      </c>
      <c r="C74" s="75">
        <v>50</v>
      </c>
      <c r="D74" s="75">
        <v>70</v>
      </c>
      <c r="E74" s="75">
        <v>70</v>
      </c>
      <c r="F74" s="75">
        <v>50</v>
      </c>
      <c r="G74" s="75">
        <v>140</v>
      </c>
      <c r="H74" s="75">
        <v>0</v>
      </c>
      <c r="I74" s="75">
        <v>0</v>
      </c>
      <c r="AF74" s="73" t="s">
        <v>222</v>
      </c>
      <c r="AG74" s="98">
        <v>396.55</v>
      </c>
      <c r="AI74" s="73" t="s">
        <v>217</v>
      </c>
      <c r="AJ74" s="98">
        <v>130</v>
      </c>
    </row>
    <row r="75" spans="1:36" ht="24">
      <c r="A75" s="104" t="s">
        <v>125</v>
      </c>
      <c r="B75" s="73" t="s">
        <v>221</v>
      </c>
      <c r="C75" s="75">
        <v>50</v>
      </c>
      <c r="D75" s="75">
        <v>70</v>
      </c>
      <c r="E75" s="75">
        <v>70</v>
      </c>
      <c r="F75" s="75">
        <v>50</v>
      </c>
      <c r="G75" s="75">
        <v>140</v>
      </c>
      <c r="H75" s="75">
        <v>0</v>
      </c>
      <c r="I75" s="75">
        <v>0</v>
      </c>
      <c r="AF75" s="73" t="s">
        <v>223</v>
      </c>
      <c r="AG75" s="98">
        <v>501.28666666666663</v>
      </c>
      <c r="AI75" s="73" t="s">
        <v>218</v>
      </c>
      <c r="AJ75" s="98">
        <v>132</v>
      </c>
    </row>
    <row r="76" spans="1:36" ht="24">
      <c r="A76" s="104" t="s">
        <v>125</v>
      </c>
      <c r="B76" s="73" t="s">
        <v>222</v>
      </c>
      <c r="C76" s="75">
        <v>50</v>
      </c>
      <c r="D76" s="75">
        <v>70</v>
      </c>
      <c r="E76" s="75">
        <v>70</v>
      </c>
      <c r="F76" s="75">
        <v>50</v>
      </c>
      <c r="G76" s="75">
        <v>140</v>
      </c>
      <c r="H76" s="75">
        <v>0</v>
      </c>
      <c r="I76" s="75">
        <v>0</v>
      </c>
      <c r="AF76" s="73" t="s">
        <v>224</v>
      </c>
      <c r="AG76" s="98">
        <v>588</v>
      </c>
      <c r="AI76" s="73" t="s">
        <v>219</v>
      </c>
      <c r="AJ76" s="98">
        <v>74</v>
      </c>
    </row>
    <row r="77" spans="1:36" ht="24">
      <c r="A77" s="104" t="s">
        <v>125</v>
      </c>
      <c r="B77" s="73" t="s">
        <v>251</v>
      </c>
      <c r="C77" s="75">
        <v>50</v>
      </c>
      <c r="D77" s="75">
        <v>70</v>
      </c>
      <c r="E77" s="75">
        <v>70</v>
      </c>
      <c r="F77" s="75">
        <v>50</v>
      </c>
      <c r="G77" s="75">
        <v>140</v>
      </c>
      <c r="H77" s="75">
        <v>0</v>
      </c>
      <c r="I77" s="75">
        <v>0</v>
      </c>
      <c r="AF77" s="73" t="s">
        <v>225</v>
      </c>
      <c r="AG77" s="98">
        <v>333.9</v>
      </c>
      <c r="AI77" s="73" t="s">
        <v>220</v>
      </c>
      <c r="AJ77" s="98">
        <v>130</v>
      </c>
    </row>
    <row r="78" spans="1:36" ht="24">
      <c r="A78" s="104" t="s">
        <v>125</v>
      </c>
      <c r="B78" s="73" t="s">
        <v>223</v>
      </c>
      <c r="C78" s="75">
        <v>50</v>
      </c>
      <c r="D78" s="75">
        <v>70</v>
      </c>
      <c r="E78" s="75">
        <v>70</v>
      </c>
      <c r="F78" s="75">
        <v>50</v>
      </c>
      <c r="G78" s="75">
        <v>140</v>
      </c>
      <c r="H78" s="75">
        <v>0</v>
      </c>
      <c r="I78" s="75">
        <v>0</v>
      </c>
      <c r="AF78" s="73" t="s">
        <v>226</v>
      </c>
      <c r="AG78" s="98">
        <v>258.62</v>
      </c>
      <c r="AI78" s="73" t="s">
        <v>221</v>
      </c>
      <c r="AJ78" s="98">
        <v>130</v>
      </c>
    </row>
    <row r="79" spans="1:36" ht="24">
      <c r="A79" s="104" t="s">
        <v>125</v>
      </c>
      <c r="B79" s="73" t="s">
        <v>224</v>
      </c>
      <c r="C79" s="75">
        <v>50</v>
      </c>
      <c r="D79" s="75">
        <v>70</v>
      </c>
      <c r="E79" s="75">
        <v>70</v>
      </c>
      <c r="F79" s="75">
        <v>50</v>
      </c>
      <c r="G79" s="75">
        <v>140</v>
      </c>
      <c r="H79" s="75">
        <v>0</v>
      </c>
      <c r="I79" s="75">
        <v>0</v>
      </c>
      <c r="AF79" s="73" t="s">
        <v>227</v>
      </c>
      <c r="AG79" s="98">
        <v>347</v>
      </c>
      <c r="AI79" s="73" t="s">
        <v>222</v>
      </c>
      <c r="AJ79" s="98">
        <v>150.15772471212907</v>
      </c>
    </row>
    <row r="80" spans="1:36" ht="24">
      <c r="A80" s="104" t="s">
        <v>125</v>
      </c>
      <c r="B80" s="73" t="s">
        <v>226</v>
      </c>
      <c r="C80" s="75">
        <v>50</v>
      </c>
      <c r="D80" s="75">
        <v>70</v>
      </c>
      <c r="E80" s="75">
        <v>70</v>
      </c>
      <c r="F80" s="75">
        <v>50</v>
      </c>
      <c r="G80" s="75">
        <v>140</v>
      </c>
      <c r="H80" s="75">
        <v>0</v>
      </c>
      <c r="I80" s="75">
        <v>0</v>
      </c>
      <c r="AF80" s="73" t="s">
        <v>228</v>
      </c>
      <c r="AG80" s="98">
        <v>614.25</v>
      </c>
      <c r="AI80" s="73" t="s">
        <v>251</v>
      </c>
      <c r="AJ80" s="98">
        <v>106.06</v>
      </c>
    </row>
    <row r="81" spans="1:36" ht="24">
      <c r="A81" s="104" t="s">
        <v>125</v>
      </c>
      <c r="B81" s="73" t="s">
        <v>227</v>
      </c>
      <c r="C81" s="75">
        <v>50</v>
      </c>
      <c r="D81" s="75">
        <v>70</v>
      </c>
      <c r="E81" s="75">
        <v>70</v>
      </c>
      <c r="F81" s="75">
        <v>50</v>
      </c>
      <c r="G81" s="75">
        <v>140</v>
      </c>
      <c r="H81" s="75">
        <v>0</v>
      </c>
      <c r="I81" s="75">
        <v>0</v>
      </c>
      <c r="AF81" s="73" t="s">
        <v>229</v>
      </c>
      <c r="AG81" s="98">
        <v>224.16</v>
      </c>
      <c r="AI81" s="73" t="s">
        <v>223</v>
      </c>
      <c r="AJ81" s="98">
        <v>130</v>
      </c>
    </row>
    <row r="82" spans="1:36" ht="24">
      <c r="A82" s="104" t="s">
        <v>125</v>
      </c>
      <c r="B82" s="73" t="s">
        <v>228</v>
      </c>
      <c r="C82" s="75">
        <v>50</v>
      </c>
      <c r="D82" s="75">
        <v>70</v>
      </c>
      <c r="E82" s="75">
        <v>70</v>
      </c>
      <c r="F82" s="75">
        <v>50</v>
      </c>
      <c r="G82" s="75">
        <v>140</v>
      </c>
      <c r="H82" s="75">
        <v>0</v>
      </c>
      <c r="I82" s="75">
        <v>0</v>
      </c>
      <c r="AF82" s="73" t="s">
        <v>230</v>
      </c>
      <c r="AG82" s="98">
        <v>300.88</v>
      </c>
      <c r="AI82" s="73" t="s">
        <v>224</v>
      </c>
      <c r="AJ82" s="98">
        <v>144.23867788461536</v>
      </c>
    </row>
    <row r="83" spans="1:36" ht="24">
      <c r="A83" s="104" t="s">
        <v>125</v>
      </c>
      <c r="B83" s="73" t="s">
        <v>229</v>
      </c>
      <c r="C83" s="75">
        <v>50</v>
      </c>
      <c r="D83" s="75">
        <v>70</v>
      </c>
      <c r="E83" s="75">
        <v>70</v>
      </c>
      <c r="F83" s="75">
        <v>50</v>
      </c>
      <c r="G83" s="75">
        <v>140</v>
      </c>
      <c r="H83" s="75">
        <v>0</v>
      </c>
      <c r="I83" s="75">
        <v>0</v>
      </c>
      <c r="AF83" s="73" t="s">
        <v>231</v>
      </c>
      <c r="AG83" s="98">
        <v>298.29000000000002</v>
      </c>
      <c r="AI83" s="73" t="s">
        <v>226</v>
      </c>
      <c r="AJ83" s="98">
        <v>89</v>
      </c>
    </row>
    <row r="84" spans="1:36" ht="24">
      <c r="A84" s="104" t="s">
        <v>125</v>
      </c>
      <c r="B84" s="73" t="s">
        <v>230</v>
      </c>
      <c r="C84" s="75">
        <v>50</v>
      </c>
      <c r="D84" s="75">
        <v>70</v>
      </c>
      <c r="E84" s="75">
        <v>70</v>
      </c>
      <c r="F84" s="75">
        <v>50</v>
      </c>
      <c r="G84" s="75">
        <v>140</v>
      </c>
      <c r="H84" s="75">
        <v>0</v>
      </c>
      <c r="I84" s="75">
        <v>0</v>
      </c>
      <c r="AF84" s="73" t="s">
        <v>232</v>
      </c>
      <c r="AG84" s="98">
        <v>230.14</v>
      </c>
      <c r="AI84" s="73" t="s">
        <v>227</v>
      </c>
      <c r="AJ84" s="98">
        <v>112</v>
      </c>
    </row>
    <row r="85" spans="1:36" ht="24">
      <c r="A85" s="104" t="s">
        <v>125</v>
      </c>
      <c r="B85" s="73" t="s">
        <v>231</v>
      </c>
      <c r="C85" s="75">
        <v>50</v>
      </c>
      <c r="D85" s="75">
        <v>70</v>
      </c>
      <c r="E85" s="75">
        <v>70</v>
      </c>
      <c r="F85" s="75">
        <v>50</v>
      </c>
      <c r="G85" s="75">
        <v>140</v>
      </c>
      <c r="H85" s="75">
        <v>0</v>
      </c>
      <c r="I85" s="75">
        <v>0</v>
      </c>
      <c r="AF85" s="73" t="s">
        <v>233</v>
      </c>
      <c r="AG85" s="98">
        <v>312.55</v>
      </c>
      <c r="AI85" s="73" t="s">
        <v>228</v>
      </c>
      <c r="AJ85" s="98">
        <v>86</v>
      </c>
    </row>
    <row r="86" spans="1:36" ht="24">
      <c r="A86" s="104" t="s">
        <v>125</v>
      </c>
      <c r="B86" s="73" t="s">
        <v>232</v>
      </c>
      <c r="C86" s="75">
        <v>50</v>
      </c>
      <c r="D86" s="75">
        <v>70</v>
      </c>
      <c r="E86" s="75">
        <v>70</v>
      </c>
      <c r="F86" s="75">
        <v>50</v>
      </c>
      <c r="G86" s="75">
        <v>140</v>
      </c>
      <c r="H86" s="75">
        <v>0</v>
      </c>
      <c r="I86" s="75">
        <v>0</v>
      </c>
      <c r="AF86" s="73" t="s">
        <v>234</v>
      </c>
      <c r="AG86" s="98">
        <v>421.49</v>
      </c>
      <c r="AI86" s="73" t="s">
        <v>229</v>
      </c>
      <c r="AJ86" s="98">
        <v>116</v>
      </c>
    </row>
    <row r="87" spans="1:36" ht="24">
      <c r="A87" s="104" t="s">
        <v>125</v>
      </c>
      <c r="B87" s="73" t="s">
        <v>233</v>
      </c>
      <c r="C87" s="75">
        <v>50</v>
      </c>
      <c r="D87" s="75">
        <v>70</v>
      </c>
      <c r="E87" s="75">
        <v>70</v>
      </c>
      <c r="F87" s="75">
        <v>50</v>
      </c>
      <c r="G87" s="75">
        <v>140</v>
      </c>
      <c r="H87" s="75">
        <v>0</v>
      </c>
      <c r="I87" s="75">
        <v>0</v>
      </c>
      <c r="AF87" s="73" t="s">
        <v>235</v>
      </c>
      <c r="AG87" s="98">
        <v>469.47500000000002</v>
      </c>
      <c r="AI87" s="73" t="s">
        <v>230</v>
      </c>
      <c r="AJ87" s="98">
        <v>130</v>
      </c>
    </row>
    <row r="88" spans="1:36" ht="24">
      <c r="A88" s="104" t="s">
        <v>125</v>
      </c>
      <c r="B88" s="73" t="s">
        <v>234</v>
      </c>
      <c r="C88" s="75">
        <v>50</v>
      </c>
      <c r="D88" s="75">
        <v>70</v>
      </c>
      <c r="E88" s="75">
        <v>70</v>
      </c>
      <c r="F88" s="75">
        <v>50</v>
      </c>
      <c r="G88" s="75">
        <v>140</v>
      </c>
      <c r="H88" s="75">
        <v>0</v>
      </c>
      <c r="I88" s="75">
        <v>0</v>
      </c>
      <c r="AF88" s="73" t="s">
        <v>236</v>
      </c>
      <c r="AG88" s="98">
        <v>434.28</v>
      </c>
      <c r="AI88" s="73" t="s">
        <v>231</v>
      </c>
      <c r="AJ88" s="98">
        <v>78</v>
      </c>
    </row>
    <row r="89" spans="1:36" ht="24">
      <c r="A89" s="104" t="s">
        <v>125</v>
      </c>
      <c r="B89" s="73" t="s">
        <v>235</v>
      </c>
      <c r="C89" s="75">
        <v>50</v>
      </c>
      <c r="D89" s="75">
        <v>70</v>
      </c>
      <c r="E89" s="75">
        <v>70</v>
      </c>
      <c r="F89" s="75">
        <v>50</v>
      </c>
      <c r="G89" s="75">
        <v>140</v>
      </c>
      <c r="H89" s="75">
        <v>0</v>
      </c>
      <c r="I89" s="75">
        <v>0</v>
      </c>
      <c r="AF89" s="73"/>
      <c r="AG89" s="98"/>
      <c r="AI89" s="73" t="s">
        <v>232</v>
      </c>
      <c r="AJ89" s="98">
        <v>88</v>
      </c>
    </row>
    <row r="90" spans="1:36" ht="24">
      <c r="A90" s="104" t="s">
        <v>125</v>
      </c>
      <c r="B90" s="73" t="s">
        <v>236</v>
      </c>
      <c r="C90" s="75">
        <v>50</v>
      </c>
      <c r="D90" s="75">
        <v>70</v>
      </c>
      <c r="E90" s="75">
        <v>70</v>
      </c>
      <c r="F90" s="75">
        <v>50</v>
      </c>
      <c r="G90" s="75">
        <v>140</v>
      </c>
      <c r="H90" s="75">
        <v>0</v>
      </c>
      <c r="I90" s="75">
        <v>0</v>
      </c>
      <c r="AI90" s="73" t="s">
        <v>233</v>
      </c>
      <c r="AJ90" s="98">
        <v>114</v>
      </c>
    </row>
    <row r="91" spans="1:36" ht="24">
      <c r="A91" s="104" t="s">
        <v>125</v>
      </c>
      <c r="B91" s="73" t="s">
        <v>248</v>
      </c>
      <c r="C91" s="75">
        <v>50</v>
      </c>
      <c r="D91" s="75">
        <v>70</v>
      </c>
      <c r="E91" s="75">
        <v>70</v>
      </c>
      <c r="F91" s="75">
        <v>50</v>
      </c>
      <c r="G91" s="75">
        <v>140</v>
      </c>
      <c r="H91" s="75">
        <v>0</v>
      </c>
      <c r="I91" s="75">
        <v>0</v>
      </c>
      <c r="AI91" s="73" t="s">
        <v>234</v>
      </c>
      <c r="AJ91" s="98">
        <v>78</v>
      </c>
    </row>
    <row r="92" spans="1:36">
      <c r="AI92" s="73" t="s">
        <v>235</v>
      </c>
      <c r="AJ92" s="98">
        <v>100</v>
      </c>
    </row>
    <row r="93" spans="1:36">
      <c r="AI93" s="73" t="s">
        <v>236</v>
      </c>
      <c r="AJ93" s="98">
        <v>89</v>
      </c>
    </row>
    <row r="94" spans="1:36">
      <c r="AI94" s="73" t="s">
        <v>248</v>
      </c>
      <c r="AJ94" s="98">
        <v>59.842933333333335</v>
      </c>
    </row>
  </sheetData>
  <sheetProtection algorithmName="SHA-512" hashValue="YKUd9ILhItPIeRzumHgLHXKZbahuVsmFjbRAC3KOfrGTAZSCujGeimymKEkRWQnUE36mrg6RaKoiMrLx9//4tA==" saltValue="6QTBD3OI5FzNoJcRKpwfSg==" spinCount="100000" sheet="1" objects="1" scenarios="1"/>
  <sortState xmlns:xlrd2="http://schemas.microsoft.com/office/spreadsheetml/2017/richdata2" ref="K2:L30">
    <sortCondition ref="K2:K30"/>
  </sortState>
  <conditionalFormatting sqref="A6:A91">
    <cfRule type="duplicateValues" dxfId="1" priority="1"/>
  </conditionalFormatting>
  <conditionalFormatting sqref="B99:B1048576 B1:B91">
    <cfRule type="duplicateValues" dxfId="0" priority="20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INSTRUÇÃO</vt:lpstr>
      <vt:lpstr>Geral</vt:lpstr>
      <vt:lpstr>CC</vt:lpstr>
      <vt:lpstr>ORÇAMENTO 2026</vt:lpstr>
      <vt:lpstr>DETALHAMENTO</vt:lpstr>
      <vt:lpstr>4300081 - MANUT. E ALUGUEL DE S</vt:lpstr>
      <vt:lpstr>VIAGENS</vt:lpstr>
      <vt:lpstr>4300056 e 4300052 - FRETES</vt:lpstr>
      <vt:lpstr>4100002 - MATERIAL DE EMBALAGEM</vt:lpstr>
      <vt:lpstr>4300070 - REFUGO SUCATA</vt:lpstr>
      <vt:lpstr>ABA SUPORTE VIAGENS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Gabriela Cortese Passuello</dc:creator>
  <cp:lastModifiedBy>Jadina Orben Wolff</cp:lastModifiedBy>
  <dcterms:created xsi:type="dcterms:W3CDTF">2021-11-24T12:11:07Z</dcterms:created>
  <dcterms:modified xsi:type="dcterms:W3CDTF">2026-04-29T19:17:46Z</dcterms:modified>
</cp:coreProperties>
</file>