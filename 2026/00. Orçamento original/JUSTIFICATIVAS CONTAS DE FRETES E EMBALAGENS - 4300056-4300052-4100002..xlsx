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\\diamante\COMPARTILHADO\ORÇAMENTO\AT LOGISTICA\2026\00. Orçamento original\"/>
    </mc:Choice>
  </mc:AlternateContent>
  <xr:revisionPtr revIDLastSave="0" documentId="13_ncr:1_{5CD55964-6D30-4C5A-8688-1967127A9F76}" xr6:coauthVersionLast="47" xr6:coauthVersionMax="47" xr10:uidLastSave="{00000000-0000-0000-0000-000000000000}"/>
  <bookViews>
    <workbookView xWindow="-120" yWindow="-120" windowWidth="29040" windowHeight="15720" tabRatio="815" activeTab="4" xr2:uid="{D75D5C87-7DDC-4445-84AB-A693DFBB9DD3}"/>
  </bookViews>
  <sheets>
    <sheet name="Geral AT" sheetId="5" r:id="rId1"/>
    <sheet name="Detalhamento Embalagem" sheetId="8" state="hidden" r:id="rId2"/>
    <sheet name="Análise Correios 2026" sheetId="11" r:id="rId3"/>
    <sheet name="Detalhamento Frete" sheetId="6" state="hidden" r:id="rId4"/>
    <sheet name="Análise Frete Transp 2026" sheetId="12" r:id="rId5"/>
    <sheet name="Embalagem 2026" sheetId="13" r:id="rId6"/>
  </sheets>
  <externalReferences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5" i="12" l="1"/>
  <c r="P24" i="12"/>
  <c r="Q5" i="12" s="1"/>
  <c r="P18" i="12"/>
  <c r="P5" i="12" s="1"/>
  <c r="P12" i="12"/>
  <c r="R5" i="12" s="1"/>
  <c r="K19" i="12"/>
  <c r="K13" i="12"/>
  <c r="O5" i="12" l="1"/>
  <c r="S5" i="12" s="1"/>
  <c r="N54" i="12" l="1"/>
  <c r="B53" i="13"/>
  <c r="L24" i="12"/>
  <c r="L46" i="12"/>
  <c r="C46" i="12"/>
  <c r="D46" i="12"/>
  <c r="E46" i="12"/>
  <c r="F46" i="12"/>
  <c r="G46" i="12"/>
  <c r="H46" i="12"/>
  <c r="I46" i="12"/>
  <c r="J46" i="12"/>
  <c r="K46" i="12"/>
  <c r="M46" i="12"/>
  <c r="D62" i="13"/>
  <c r="D63" i="13"/>
  <c r="M9" i="5"/>
  <c r="H9" i="5"/>
  <c r="M24" i="12" l="1"/>
  <c r="O24" i="12" s="1"/>
  <c r="L18" i="12" l="1"/>
  <c r="M18" i="12" s="1"/>
  <c r="N18" i="12" s="1"/>
  <c r="C61" i="13"/>
  <c r="D61" i="13" s="1"/>
  <c r="F5" i="13"/>
  <c r="F6" i="13" s="1"/>
  <c r="M14" i="13"/>
  <c r="L14" i="13"/>
  <c r="K14" i="13"/>
  <c r="J14" i="13"/>
  <c r="I14" i="13"/>
  <c r="H14" i="13"/>
  <c r="G14" i="13"/>
  <c r="F14" i="13"/>
  <c r="E14" i="13"/>
  <c r="D14" i="13"/>
  <c r="C14" i="13"/>
  <c r="B14" i="13"/>
  <c r="K23" i="13"/>
  <c r="M23" i="13"/>
  <c r="L23" i="13"/>
  <c r="J23" i="13"/>
  <c r="I23" i="13"/>
  <c r="H23" i="13"/>
  <c r="G23" i="13"/>
  <c r="F23" i="13"/>
  <c r="E23" i="13"/>
  <c r="D23" i="13"/>
  <c r="C23" i="13"/>
  <c r="B23" i="13"/>
  <c r="C53" i="13"/>
  <c r="D53" i="13"/>
  <c r="E53" i="13"/>
  <c r="G53" i="13"/>
  <c r="H53" i="13"/>
  <c r="I53" i="13"/>
  <c r="J53" i="13"/>
  <c r="J54" i="13" s="1"/>
  <c r="K53" i="13"/>
  <c r="L53" i="13"/>
  <c r="M53" i="13"/>
  <c r="O51" i="13" l="1"/>
  <c r="O52" i="13"/>
  <c r="O53" i="13" s="1"/>
  <c r="F15" i="13"/>
  <c r="B54" i="13"/>
  <c r="F54" i="13"/>
  <c r="D15" i="13"/>
  <c r="H15" i="13"/>
  <c r="M15" i="13"/>
  <c r="G15" i="13"/>
  <c r="I15" i="13"/>
  <c r="L15" i="13"/>
  <c r="J15" i="13"/>
  <c r="I54" i="13"/>
  <c r="H54" i="13"/>
  <c r="E54" i="13"/>
  <c r="K15" i="13"/>
  <c r="E15" i="13"/>
  <c r="B15" i="13"/>
  <c r="G54" i="13"/>
  <c r="M54" i="13"/>
  <c r="L54" i="13"/>
  <c r="D54" i="13"/>
  <c r="C15" i="13"/>
  <c r="K54" i="13"/>
  <c r="C54" i="13"/>
  <c r="B60" i="13" l="1"/>
  <c r="H60" i="13" s="1"/>
  <c r="O14" i="12"/>
  <c r="I48" i="12" s="1"/>
  <c r="C34" i="12"/>
  <c r="D34" i="12"/>
  <c r="E34" i="12"/>
  <c r="F34" i="12"/>
  <c r="G34" i="12"/>
  <c r="H34" i="12"/>
  <c r="I34" i="12"/>
  <c r="J34" i="12"/>
  <c r="K34" i="12"/>
  <c r="L34" i="12"/>
  <c r="M34" i="12"/>
  <c r="B34" i="12"/>
  <c r="M19" i="12"/>
  <c r="M20" i="12" s="1"/>
  <c r="L19" i="12"/>
  <c r="L20" i="12" s="1"/>
  <c r="M12" i="12"/>
  <c r="L12" i="12"/>
  <c r="N35" i="13"/>
  <c r="F31" i="13"/>
  <c r="N43" i="13"/>
  <c r="O46" i="12" l="1"/>
  <c r="O20" i="12"/>
  <c r="B38" i="12" s="1"/>
  <c r="N12" i="12"/>
  <c r="N36" i="13"/>
  <c r="G41" i="13"/>
  <c r="K24" i="13"/>
  <c r="L24" i="13"/>
  <c r="M24" i="13"/>
  <c r="F32" i="13"/>
  <c r="K48" i="12"/>
  <c r="H48" i="12"/>
  <c r="G48" i="12"/>
  <c r="E48" i="12"/>
  <c r="F48" i="12"/>
  <c r="M48" i="12"/>
  <c r="L48" i="12"/>
  <c r="J48" i="12"/>
  <c r="K25" i="12"/>
  <c r="K26" i="12" s="1"/>
  <c r="I36" i="12"/>
  <c r="I20" i="11" s="1"/>
  <c r="B36" i="12"/>
  <c r="G36" i="12"/>
  <c r="F36" i="12"/>
  <c r="M36" i="12"/>
  <c r="E36" i="12"/>
  <c r="H36" i="12"/>
  <c r="L36" i="12"/>
  <c r="K36" i="12"/>
  <c r="C36" i="12"/>
  <c r="J36" i="12"/>
  <c r="D36" i="12"/>
  <c r="O12" i="12"/>
  <c r="M13" i="12"/>
  <c r="L13" i="12"/>
  <c r="E40" i="13"/>
  <c r="M40" i="13"/>
  <c r="H41" i="13"/>
  <c r="I40" i="13"/>
  <c r="D41" i="13"/>
  <c r="L41" i="13"/>
  <c r="B41" i="13"/>
  <c r="J40" i="13"/>
  <c r="F40" i="13"/>
  <c r="I41" i="13"/>
  <c r="C41" i="13"/>
  <c r="B40" i="13"/>
  <c r="E41" i="13"/>
  <c r="M41" i="13"/>
  <c r="C40" i="13"/>
  <c r="K40" i="13"/>
  <c r="F41" i="13"/>
  <c r="G40" i="13"/>
  <c r="J41" i="13"/>
  <c r="H40" i="13"/>
  <c r="K41" i="13"/>
  <c r="D40" i="13"/>
  <c r="L40" i="13"/>
  <c r="N24" i="12" l="1"/>
  <c r="F38" i="12"/>
  <c r="H38" i="12"/>
  <c r="E38" i="12"/>
  <c r="J38" i="12"/>
  <c r="G38" i="12"/>
  <c r="C38" i="12"/>
  <c r="K38" i="12"/>
  <c r="M38" i="12"/>
  <c r="I38" i="12"/>
  <c r="D38" i="12"/>
  <c r="L38" i="12"/>
  <c r="G46" i="13"/>
  <c r="M46" i="13"/>
  <c r="F46" i="13"/>
  <c r="L25" i="12"/>
  <c r="L26" i="12" s="1"/>
  <c r="E46" i="13"/>
  <c r="K46" i="13"/>
  <c r="N41" i="13"/>
  <c r="B46" i="13"/>
  <c r="L46" i="13"/>
  <c r="D46" i="13"/>
  <c r="J46" i="13"/>
  <c r="H46" i="13"/>
  <c r="N40" i="13"/>
  <c r="C46" i="13"/>
  <c r="I46" i="13"/>
  <c r="M25" i="12" l="1"/>
  <c r="M26" i="12" s="1"/>
  <c r="O26" i="12" s="1"/>
  <c r="N42" i="13"/>
  <c r="N44" i="13" s="1"/>
  <c r="N46" i="13"/>
  <c r="J55" i="12" l="1"/>
  <c r="K55" i="12"/>
  <c r="L55" i="12"/>
  <c r="M55" i="12"/>
  <c r="F55" i="12"/>
  <c r="E55" i="12"/>
  <c r="G55" i="12"/>
  <c r="H55" i="12"/>
  <c r="I55" i="12"/>
  <c r="L15" i="11" l="1"/>
  <c r="C85" i="12"/>
  <c r="C84" i="12"/>
  <c r="C83" i="12"/>
  <c r="B85" i="12"/>
  <c r="B84" i="12"/>
  <c r="B83" i="12"/>
  <c r="D78" i="12"/>
  <c r="D77" i="12"/>
  <c r="D76" i="12"/>
  <c r="E76" i="12" s="1"/>
  <c r="D83" i="12" l="1"/>
  <c r="D84" i="12"/>
  <c r="D85" i="12"/>
  <c r="D29" i="11" l="1"/>
  <c r="D28" i="11"/>
  <c r="D27" i="11"/>
  <c r="L13" i="11" l="1"/>
  <c r="K13" i="11"/>
  <c r="D71" i="12"/>
  <c r="D70" i="12"/>
  <c r="D69" i="12"/>
  <c r="E69" i="12" s="1"/>
  <c r="L14" i="11" l="1"/>
  <c r="K14" i="11"/>
  <c r="M56" i="12" l="1"/>
  <c r="M62" i="12" s="1"/>
  <c r="L56" i="12"/>
  <c r="L62" i="12" s="1"/>
  <c r="K56" i="12"/>
  <c r="K62" i="12" s="1"/>
  <c r="J56" i="12"/>
  <c r="J62" i="12" s="1"/>
  <c r="I56" i="12"/>
  <c r="I62" i="12" s="1"/>
  <c r="H56" i="12"/>
  <c r="H62" i="12" s="1"/>
  <c r="G56" i="12"/>
  <c r="G62" i="12" s="1"/>
  <c r="F56" i="12"/>
  <c r="F62" i="12" s="1"/>
  <c r="E56" i="12"/>
  <c r="E62" i="12" s="1"/>
  <c r="D56" i="12"/>
  <c r="D62" i="12" s="1"/>
  <c r="C56" i="12"/>
  <c r="C62" i="12" s="1"/>
  <c r="B56" i="12"/>
  <c r="B62" i="12" s="1"/>
  <c r="R5" i="6"/>
  <c r="R4" i="6"/>
  <c r="Q11" i="6"/>
  <c r="Q12" i="6" s="1"/>
  <c r="M45" i="12"/>
  <c r="L45" i="12"/>
  <c r="K45" i="12"/>
  <c r="J45" i="12"/>
  <c r="I45" i="12"/>
  <c r="H45" i="12"/>
  <c r="G45" i="12"/>
  <c r="F45" i="12"/>
  <c r="E45" i="12"/>
  <c r="D45" i="12"/>
  <c r="C45" i="12"/>
  <c r="B45" i="12"/>
  <c r="G49" i="12" l="1"/>
  <c r="G61" i="12" s="1"/>
  <c r="B46" i="12"/>
  <c r="N46" i="12" s="1"/>
  <c r="F49" i="12"/>
  <c r="F61" i="12" s="1"/>
  <c r="M49" i="12"/>
  <c r="M61" i="12" s="1"/>
  <c r="E20" i="11"/>
  <c r="E22" i="11" s="1"/>
  <c r="L49" i="12"/>
  <c r="L61" i="12" s="1"/>
  <c r="D20" i="11"/>
  <c r="D22" i="11" s="1"/>
  <c r="K20" i="11"/>
  <c r="K22" i="11" s="1"/>
  <c r="C47" i="12"/>
  <c r="J49" i="12"/>
  <c r="J61" i="12" s="1"/>
  <c r="M47" i="12" l="1"/>
  <c r="J47" i="12"/>
  <c r="J20" i="11"/>
  <c r="J22" i="11" s="1"/>
  <c r="L47" i="12"/>
  <c r="H49" i="12"/>
  <c r="H61" i="12" s="1"/>
  <c r="F20" i="11"/>
  <c r="F22" i="11" s="1"/>
  <c r="C20" i="11"/>
  <c r="C22" i="11" s="1"/>
  <c r="H20" i="11"/>
  <c r="H22" i="11" s="1"/>
  <c r="L20" i="11"/>
  <c r="L22" i="11" s="1"/>
  <c r="I49" i="12"/>
  <c r="I61" i="12" s="1"/>
  <c r="E37" i="12"/>
  <c r="E39" i="12" s="1"/>
  <c r="E60" i="12" s="1"/>
  <c r="C49" i="12"/>
  <c r="C61" i="12" s="1"/>
  <c r="M20" i="11"/>
  <c r="M22" i="11" s="1"/>
  <c r="K37" i="12"/>
  <c r="K39" i="12" s="1"/>
  <c r="K60" i="12" s="1"/>
  <c r="O48" i="12"/>
  <c r="O49" i="12" s="1"/>
  <c r="O50" i="12" s="1"/>
  <c r="D37" i="12"/>
  <c r="D39" i="12" s="1"/>
  <c r="D60" i="12" s="1"/>
  <c r="G20" i="11"/>
  <c r="G22" i="11" s="1"/>
  <c r="I22" i="11"/>
  <c r="B20" i="11"/>
  <c r="B22" i="11" s="1"/>
  <c r="J37" i="12"/>
  <c r="J39" i="12" s="1"/>
  <c r="J60" i="12" s="1"/>
  <c r="J63" i="12" s="1"/>
  <c r="J64" i="12" s="1"/>
  <c r="G47" i="12"/>
  <c r="B47" i="12"/>
  <c r="B49" i="12"/>
  <c r="B61" i="12" s="1"/>
  <c r="F47" i="12"/>
  <c r="M37" i="12" l="1"/>
  <c r="M39" i="12" s="1"/>
  <c r="M60" i="12" s="1"/>
  <c r="M63" i="12" s="1"/>
  <c r="M64" i="12" s="1"/>
  <c r="I47" i="12"/>
  <c r="C37" i="12"/>
  <c r="C39" i="12" s="1"/>
  <c r="C60" i="12" s="1"/>
  <c r="C63" i="12" s="1"/>
  <c r="C64" i="12" s="1"/>
  <c r="G37" i="12"/>
  <c r="G39" i="12" s="1"/>
  <c r="G60" i="12" s="1"/>
  <c r="G63" i="12" s="1"/>
  <c r="G64" i="12" s="1"/>
  <c r="H47" i="12"/>
  <c r="B37" i="12"/>
  <c r="F37" i="12"/>
  <c r="F39" i="12" s="1"/>
  <c r="F60" i="12" s="1"/>
  <c r="F63" i="12" s="1"/>
  <c r="F64" i="12" s="1"/>
  <c r="I37" i="12"/>
  <c r="I39" i="12" s="1"/>
  <c r="I60" i="12" s="1"/>
  <c r="I63" i="12" s="1"/>
  <c r="I64" i="12" s="1"/>
  <c r="D47" i="12"/>
  <c r="D49" i="12"/>
  <c r="D61" i="12" s="1"/>
  <c r="D63" i="12" s="1"/>
  <c r="D64" i="12" s="1"/>
  <c r="K47" i="12"/>
  <c r="K49" i="12"/>
  <c r="K61" i="12" s="1"/>
  <c r="K63" i="12" s="1"/>
  <c r="K64" i="12" s="1"/>
  <c r="E49" i="12"/>
  <c r="E61" i="12" s="1"/>
  <c r="E63" i="12" s="1"/>
  <c r="E64" i="12" s="1"/>
  <c r="E47" i="12"/>
  <c r="L37" i="12"/>
  <c r="L39" i="12" s="1"/>
  <c r="L60" i="12" s="1"/>
  <c r="L63" i="12" s="1"/>
  <c r="L64" i="12" s="1"/>
  <c r="B26" i="11"/>
  <c r="B75" i="12" s="1"/>
  <c r="H37" i="12"/>
  <c r="H39" i="12" s="1"/>
  <c r="H60" i="12" s="1"/>
  <c r="H63" i="12" s="1"/>
  <c r="H64" i="12" s="1"/>
  <c r="J25" i="12"/>
  <c r="I25" i="12"/>
  <c r="H25" i="12"/>
  <c r="G25" i="12"/>
  <c r="F25" i="12"/>
  <c r="E25" i="12"/>
  <c r="D25" i="12"/>
  <c r="C25" i="12"/>
  <c r="B25" i="12"/>
  <c r="O18" i="12"/>
  <c r="C19" i="12"/>
  <c r="D19" i="12"/>
  <c r="E19" i="12"/>
  <c r="F19" i="12"/>
  <c r="G19" i="12"/>
  <c r="H19" i="12"/>
  <c r="I19" i="12"/>
  <c r="J19" i="12"/>
  <c r="B19" i="12"/>
  <c r="C13" i="12"/>
  <c r="D13" i="12"/>
  <c r="E13" i="12"/>
  <c r="F13" i="12"/>
  <c r="G13" i="12"/>
  <c r="H13" i="12"/>
  <c r="I13" i="12"/>
  <c r="J13" i="12"/>
  <c r="B13" i="12"/>
  <c r="B39" i="12" l="1"/>
  <c r="B60" i="12" s="1"/>
  <c r="B63" i="12" s="1"/>
  <c r="B64" i="12" s="1"/>
  <c r="N37" i="12"/>
  <c r="O47" i="12"/>
  <c r="N19" i="12"/>
  <c r="O25" i="12"/>
  <c r="N25" i="12"/>
  <c r="O19" i="12"/>
  <c r="N13" i="12"/>
  <c r="O13" i="12"/>
  <c r="C3" i="6"/>
  <c r="D3" i="6"/>
  <c r="E3" i="6"/>
  <c r="F3" i="6"/>
  <c r="G3" i="6"/>
  <c r="H3" i="6"/>
  <c r="I3" i="6"/>
  <c r="J3" i="6"/>
  <c r="K3" i="6"/>
  <c r="L3" i="6"/>
  <c r="M3" i="6"/>
  <c r="C4" i="6"/>
  <c r="D4" i="6"/>
  <c r="E4" i="6"/>
  <c r="F4" i="6"/>
  <c r="G4" i="6"/>
  <c r="H4" i="6"/>
  <c r="I4" i="6"/>
  <c r="J4" i="6"/>
  <c r="K4" i="6"/>
  <c r="L4" i="6"/>
  <c r="M4" i="6"/>
  <c r="C5" i="6"/>
  <c r="D5" i="6"/>
  <c r="E5" i="6"/>
  <c r="F5" i="6"/>
  <c r="G5" i="6"/>
  <c r="H5" i="6"/>
  <c r="I5" i="6"/>
  <c r="J5" i="6"/>
  <c r="D2" i="6"/>
  <c r="E2" i="6"/>
  <c r="F2" i="6"/>
  <c r="G2" i="6"/>
  <c r="H2" i="6"/>
  <c r="I2" i="6"/>
  <c r="J2" i="6"/>
  <c r="K2" i="6"/>
  <c r="L2" i="6"/>
  <c r="M2" i="6"/>
  <c r="C2" i="6"/>
  <c r="B3" i="6"/>
  <c r="B4" i="6"/>
  <c r="B5" i="6"/>
  <c r="B2" i="6"/>
  <c r="O4" i="12"/>
  <c r="N4" i="12"/>
  <c r="O3" i="12"/>
  <c r="N3" i="12"/>
  <c r="O2" i="12"/>
  <c r="N2" i="12"/>
  <c r="O6" i="11"/>
  <c r="N6" i="11"/>
  <c r="P6" i="11" s="1"/>
  <c r="O5" i="11"/>
  <c r="N5" i="11"/>
  <c r="O4" i="11"/>
  <c r="N4" i="11"/>
  <c r="C9" i="5"/>
  <c r="J8" i="5"/>
  <c r="J7" i="5"/>
  <c r="J6" i="5"/>
  <c r="J5" i="5"/>
  <c r="N63" i="12" l="1"/>
  <c r="N64" i="12" s="1"/>
  <c r="B68" i="12"/>
  <c r="B82" i="12" s="1"/>
  <c r="I81" i="12" s="1"/>
  <c r="P5" i="11"/>
  <c r="P4" i="11"/>
  <c r="S3" i="12"/>
  <c r="S4" i="12"/>
  <c r="S2" i="12"/>
  <c r="O5" i="8" l="1"/>
  <c r="O4" i="8"/>
  <c r="O3" i="8"/>
  <c r="O2" i="8"/>
  <c r="N5" i="8"/>
  <c r="S5" i="8" s="1"/>
  <c r="N4" i="8"/>
  <c r="S4" i="8" s="1"/>
  <c r="N3" i="8"/>
  <c r="S3" i="8" s="1"/>
  <c r="N2" i="8"/>
  <c r="S2" i="8" s="1"/>
  <c r="O3" i="6"/>
  <c r="O4" i="6"/>
  <c r="O5" i="6"/>
  <c r="O2" i="6"/>
  <c r="N5" i="6"/>
  <c r="N2" i="6"/>
  <c r="N4" i="6"/>
  <c r="N3" i="6"/>
  <c r="E8" i="5"/>
  <c r="E7" i="5"/>
  <c r="E6" i="5"/>
  <c r="E5" i="5"/>
  <c r="T4" i="6" l="1"/>
  <c r="T2" i="6"/>
  <c r="T5" i="6"/>
  <c r="O8" i="6" s="1"/>
  <c r="O9" i="6" s="1"/>
  <c r="T3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 Felipe Reis Franca</author>
  </authors>
  <commentList>
    <comment ref="A34" authorId="0" shapeId="0" xr:uid="{C628DB24-97F4-4529-9884-A965A41B78C2}">
      <text>
        <r>
          <rPr>
            <b/>
            <sz val="9"/>
            <color indexed="81"/>
            <rFont val="Segoe UI"/>
            <family val="2"/>
          </rPr>
          <t>Andre Felipe Reis Franca:</t>
        </r>
        <r>
          <rPr>
            <sz val="9"/>
            <color indexed="81"/>
            <rFont val="Segoe UI"/>
            <family val="2"/>
          </rPr>
          <t xml:space="preserve">
Considerado 30% do volume projetado para 2026</t>
        </r>
      </text>
    </comment>
    <comment ref="A35" authorId="0" shapeId="0" xr:uid="{EE0A4E9C-20D2-4C5A-B229-174988D30D51}">
      <text>
        <r>
          <rPr>
            <b/>
            <sz val="9"/>
            <color indexed="81"/>
            <rFont val="Segoe UI"/>
            <family val="2"/>
          </rPr>
          <t>Andre Felipe Reis Franca:</t>
        </r>
        <r>
          <rPr>
            <sz val="9"/>
            <color indexed="81"/>
            <rFont val="Segoe UI"/>
            <family val="2"/>
          </rPr>
          <t xml:space="preserve">
Considerado 1% do volume projetado em peças para 2026</t>
        </r>
      </text>
    </comment>
    <comment ref="A36" authorId="0" shapeId="0" xr:uid="{E509E8F8-5DDC-4B1E-A423-27A4E3476851}">
      <text>
        <r>
          <rPr>
            <b/>
            <sz val="9"/>
            <color indexed="81"/>
            <rFont val="Segoe UI"/>
            <family val="2"/>
          </rPr>
          <t>Andre Felipe Reis Franca:</t>
        </r>
        <r>
          <rPr>
            <sz val="9"/>
            <color indexed="81"/>
            <rFont val="Segoe UI"/>
            <family val="2"/>
          </rPr>
          <t xml:space="preserve">
Volume correios considerado 8% de expedição ao mês.</t>
        </r>
      </text>
    </comment>
    <comment ref="A54" authorId="0" shapeId="0" xr:uid="{BB7E20D2-041A-4EBF-A41E-8E9713C4866C}">
      <text>
        <r>
          <rPr>
            <b/>
            <sz val="9"/>
            <color indexed="81"/>
            <rFont val="Segoe UI"/>
            <family val="2"/>
          </rPr>
          <t>Andre Felipe Reis Franca:</t>
        </r>
        <r>
          <rPr>
            <sz val="9"/>
            <color indexed="81"/>
            <rFont val="Segoe UI"/>
            <family val="2"/>
          </rPr>
          <t xml:space="preserve">
Média expedida até Set  2025, com acréscimo de 17% </t>
        </r>
      </text>
    </comment>
  </commentList>
</comments>
</file>

<file path=xl/sharedStrings.xml><?xml version="1.0" encoding="utf-8"?>
<sst xmlns="http://schemas.openxmlformats.org/spreadsheetml/2006/main" count="386" uniqueCount="106">
  <si>
    <t>Total Geral</t>
  </si>
  <si>
    <t>Despesa Real</t>
  </si>
  <si>
    <t>Custo Peça Expedida</t>
  </si>
  <si>
    <t>Peças Expedidas</t>
  </si>
  <si>
    <t>Ano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</si>
  <si>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</si>
  <si>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</si>
  <si>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</si>
  <si>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</si>
  <si>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</si>
  <si>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</si>
  <si>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</si>
  <si>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</si>
  <si>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</si>
  <si>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</si>
  <si>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</si>
  <si>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</si>
  <si>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Produto Acabado</t>
  </si>
  <si>
    <t>Display</t>
  </si>
  <si>
    <t>Total Expedido</t>
  </si>
  <si>
    <t>Total Frete</t>
  </si>
  <si>
    <t>Total Gasto</t>
  </si>
  <si>
    <t>Custo Frete Peça</t>
  </si>
  <si>
    <t>Custo Embalagem Peça</t>
  </si>
  <si>
    <t>FOB</t>
  </si>
  <si>
    <t>GERAL</t>
  </si>
  <si>
    <t>CIF</t>
  </si>
  <si>
    <t>Total Expedido CIF</t>
  </si>
  <si>
    <t>Peças</t>
  </si>
  <si>
    <t>Frete Pago</t>
  </si>
  <si>
    <t>Total</t>
  </si>
  <si>
    <t>Média</t>
  </si>
  <si>
    <t>Valor Pago Unidade</t>
  </si>
  <si>
    <t>Cenário Proposto 2026</t>
  </si>
  <si>
    <t>Vol FOB</t>
  </si>
  <si>
    <t>Vol. Display</t>
  </si>
  <si>
    <t>Saldo Peças CIF</t>
  </si>
  <si>
    <t>Média Peça</t>
  </si>
  <si>
    <t>Frete Orçado</t>
  </si>
  <si>
    <t>Vol. 2026</t>
  </si>
  <si>
    <t>Frete Display</t>
  </si>
  <si>
    <t>Frete Produto</t>
  </si>
  <si>
    <t>Frete Peças</t>
  </si>
  <si>
    <t>Orçado</t>
  </si>
  <si>
    <t>Realizado</t>
  </si>
  <si>
    <t>Saldo</t>
  </si>
  <si>
    <t>Expedição Correios</t>
  </si>
  <si>
    <t>Média Custo Peça</t>
  </si>
  <si>
    <t>Média Custo Display</t>
  </si>
  <si>
    <t>Projetado 2026</t>
  </si>
  <si>
    <t>Projeção Mensal até Dez/25</t>
  </si>
  <si>
    <t>Cenário 2025 - Base Despesa Realizada</t>
  </si>
  <si>
    <t xml:space="preserve">Cenário 2025 - Base Faturas Pagas </t>
  </si>
  <si>
    <t>Total Expedido QTD</t>
  </si>
  <si>
    <t>Total Frete Correios R$</t>
  </si>
  <si>
    <t>Peças Expedidas QTD</t>
  </si>
  <si>
    <t>Analise dos Correios anos Anteriores</t>
  </si>
  <si>
    <t>Premissas Orçamentárias</t>
  </si>
  <si>
    <t>Valor R$emb/pç</t>
  </si>
  <si>
    <t>Informar memória de cálculo e conceito para a conta</t>
  </si>
  <si>
    <t>aplicado IGPM</t>
  </si>
  <si>
    <t>TOTAL SAÍDAS</t>
  </si>
  <si>
    <t>TOTAL ENTRADAS</t>
  </si>
  <si>
    <t>VENDAS OBSOLETOS</t>
  </si>
  <si>
    <t>R$ TOTAL SAÍDAS</t>
  </si>
  <si>
    <t>R$ TOTAL ENTRADAS</t>
  </si>
  <si>
    <t>Indexador %</t>
  </si>
  <si>
    <t>Display - Acréscimo de 12 % nos últimos 3 meses, devido epidemia de TV.</t>
  </si>
  <si>
    <t>FOB - Considerado 30% do volume para 2026</t>
  </si>
  <si>
    <t>Display - Considerado 1% do volume para 2026</t>
  </si>
  <si>
    <t>% Indexador</t>
  </si>
  <si>
    <t>Correios - Expedição de 4% do volume para 2026</t>
  </si>
  <si>
    <t xml:space="preserve">Aumento estimado de reajuste no custo de frete das transportadoras </t>
  </si>
  <si>
    <t>Aumento de 10% na expedição de produtos acabados em relação a 2025</t>
  </si>
  <si>
    <t>Saidas Previstas</t>
  </si>
  <si>
    <t>Entradas Previstas</t>
  </si>
  <si>
    <t>Movimentação Prevista</t>
  </si>
  <si>
    <t>Peças Movimentadas</t>
  </si>
  <si>
    <t>Cenário Realizado 2025</t>
  </si>
  <si>
    <t>Cenário Orçado 2025</t>
  </si>
  <si>
    <t>Pçs  Expedidas</t>
  </si>
  <si>
    <t>Produtos Expedidos</t>
  </si>
  <si>
    <t>Comparativo (Anos) Transportadora + Correios</t>
  </si>
  <si>
    <t>Comparativo (Anos) Correios</t>
  </si>
  <si>
    <t>Comparativo  (Anos) Transportadoras</t>
  </si>
  <si>
    <t>Diferença em ralação à 2025</t>
  </si>
  <si>
    <t>OBS</t>
  </si>
  <si>
    <t xml:space="preserve">Média Custo Prod </t>
  </si>
  <si>
    <t>Soma de Orçamento final ( Produto + Display + Pçs )</t>
  </si>
  <si>
    <t>Vol, 2026 PCM</t>
  </si>
  <si>
    <t>Valor Pago Pç</t>
  </si>
  <si>
    <t>Valor Pago Acb.</t>
  </si>
  <si>
    <t>Valor Pago Dislp.</t>
  </si>
  <si>
    <t>Out/Nov/Dez, projeção com base na média do ano.</t>
  </si>
  <si>
    <t>Reajuste estimado das transportadora a partir de Abril 2026</t>
  </si>
  <si>
    <t>Volume 2025</t>
  </si>
  <si>
    <t>Previsão 2026</t>
  </si>
  <si>
    <t>% de aumento em relação a 2025</t>
  </si>
  <si>
    <t>Indexador Custo/Peça Anos</t>
  </si>
  <si>
    <t>Diferença em relação à 2025</t>
  </si>
  <si>
    <t>Peças movimentadas em 2025</t>
  </si>
  <si>
    <t>Previsão de peças movimentadas para 2026</t>
  </si>
  <si>
    <t>% de aumento de peças movimentadas 2025 x 2026</t>
  </si>
  <si>
    <t>Orç 2025 já com corte de 210K ou 14,87%</t>
  </si>
  <si>
    <t>Orc 2025 já com corte 1,1M.I ou 15,38%</t>
  </si>
  <si>
    <t>Previsão de peçs a mais para 2026 devido a epidemia de TV.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</si>
</sst>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* #,##0_);_(* \(#,##0\);_(* &quot;-&quot;??_);_(@_)"/>
    <numFmt numFmtId="165" formatCode="&quot;R$&quot;\ #,##0.00"/>
  </numFmts>
  <fonts count="1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sz val="11"/>
      <color theme="1"/>
      <name val="Calibri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1"/>
      <color theme="0"/>
      <name val="Aptos Narrow"/>
      <family val="2"/>
      <scheme val="minor"/>
    </font>
    <font>
      <sz val="11"/>
      <color rgb="FF242424"/>
      <name val="Segoe UI"/>
      <family val="2"/>
    </font>
    <font>
      <b/>
      <sz val="10"/>
      <color rgb="FF000000"/>
      <name val="Aptos Narrow"/>
      <family val="2"/>
    </font>
    <font>
      <sz val="11"/>
      <color rgb="FF000000"/>
      <name val="Aptos Narrow"/>
      <family val="2"/>
    </font>
    <font>
      <sz val="10"/>
      <color rgb="FF000000"/>
      <name val="Aptos Narrow"/>
      <family val="2"/>
    </font>
    <font>
      <b/>
      <sz val="16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AEDFB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BFDE7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0"/>
        <bgColor theme="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theme="2" tint="-9.9978637043366805E-2"/>
      </left>
      <right/>
      <top style="thin">
        <color theme="2" tint="-9.9978637043366805E-2"/>
      </top>
      <bottom/>
      <diagonal/>
    </border>
    <border>
      <left style="thin">
        <color theme="2" tint="-9.9978637043366805E-2"/>
      </left>
      <right/>
      <top/>
      <bottom/>
      <diagonal/>
    </border>
    <border>
      <left/>
      <right style="thin">
        <color theme="2" tint="-9.9978637043366805E-2"/>
      </right>
      <top/>
      <bottom/>
      <diagonal/>
    </border>
    <border>
      <left style="thin">
        <color theme="2" tint="-9.9978637043366805E-2"/>
      </left>
      <right/>
      <top/>
      <bottom style="thin">
        <color theme="2" tint="-9.9978637043366805E-2"/>
      </bottom>
      <diagonal/>
    </border>
    <border>
      <left/>
      <right/>
      <top/>
      <bottom style="thin">
        <color theme="2" tint="-9.9978637043366805E-2"/>
      </bottom>
      <diagonal/>
    </border>
    <border>
      <left/>
      <right style="thin">
        <color theme="2" tint="-9.9978637043366805E-2"/>
      </right>
      <top/>
      <bottom style="thin">
        <color theme="2" tint="-9.9978637043366805E-2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indexed="64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 style="medium">
        <color indexed="64"/>
      </left>
      <right style="medium">
        <color rgb="FF808080"/>
      </right>
      <top/>
      <bottom style="medium">
        <color rgb="FF808080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4">
    <xf numFmtId="0" fontId="0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100">
    <xf numFmtId="0" fontId="0" fillId="0" borderId="0" xfId="0"/>
    <xf numFmtId="3" fontId="0" fillId="0" borderId="0" xfId="0" applyNumberFormat="1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4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vertical="center" wrapText="1"/>
    </xf>
    <xf numFmtId="1" fontId="0" fillId="0" borderId="0" xfId="0" applyNumberForma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44" fontId="0" fillId="0" borderId="0" xfId="0" applyNumberFormat="1"/>
    <xf numFmtId="164" fontId="0" fillId="0" borderId="0" xfId="0" applyNumberFormat="1"/>
    <xf numFmtId="3" fontId="5" fillId="0" borderId="0" xfId="0" applyNumberFormat="1" applyFont="1" applyAlignment="1">
      <alignment horizontal="center" vertical="center"/>
    </xf>
    <xf numFmtId="9" fontId="0" fillId="0" borderId="0" xfId="1" applyFont="1"/>
    <xf numFmtId="4" fontId="5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9" fontId="0" fillId="0" borderId="0" xfId="1" applyFont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3" xfId="0" applyNumberFormat="1" applyBorder="1" applyAlignment="1">
      <alignment horizontal="center" vertical="center"/>
    </xf>
    <xf numFmtId="2" fontId="1" fillId="0" borderId="3" xfId="0" applyNumberFormat="1" applyFont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9" fillId="2" borderId="0" xfId="0" applyFont="1" applyFill="1" applyAlignment="1">
      <alignment wrapText="1"/>
    </xf>
    <xf numFmtId="17" fontId="10" fillId="3" borderId="7" xfId="0" applyNumberFormat="1" applyFont="1" applyFill="1" applyBorder="1" applyAlignment="1">
      <alignment horizontal="center" vertical="center" wrapText="1"/>
    </xf>
    <xf numFmtId="17" fontId="10" fillId="3" borderId="8" xfId="0" applyNumberFormat="1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3" fontId="12" fillId="4" borderId="10" xfId="0" applyNumberFormat="1" applyFont="1" applyFill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 wrapText="1"/>
    </xf>
    <xf numFmtId="44" fontId="0" fillId="0" borderId="0" xfId="3" applyFont="1" applyAlignment="1">
      <alignment vertical="center"/>
    </xf>
    <xf numFmtId="4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43" fontId="0" fillId="0" borderId="0" xfId="2" applyFont="1"/>
    <xf numFmtId="2" fontId="0" fillId="0" borderId="0" xfId="0" applyNumberFormat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0" xfId="0" applyFont="1" applyAlignment="1">
      <alignment horizontal="center"/>
    </xf>
    <xf numFmtId="1" fontId="0" fillId="5" borderId="0" xfId="0" applyNumberFormat="1" applyFill="1" applyAlignment="1">
      <alignment horizontal="center" vertical="center"/>
    </xf>
    <xf numFmtId="3" fontId="0" fillId="5" borderId="0" xfId="0" applyNumberFormat="1" applyFill="1" applyAlignment="1">
      <alignment horizontal="center" vertical="center"/>
    </xf>
    <xf numFmtId="2" fontId="1" fillId="5" borderId="0" xfId="0" applyNumberFormat="1" applyFont="1" applyFill="1" applyAlignment="1">
      <alignment horizontal="center" vertical="center"/>
    </xf>
    <xf numFmtId="0" fontId="8" fillId="0" borderId="0" xfId="0" applyFont="1"/>
    <xf numFmtId="2" fontId="8" fillId="0" borderId="0" xfId="0" applyNumberFormat="1" applyFont="1"/>
    <xf numFmtId="2" fontId="1" fillId="0" borderId="5" xfId="0" applyNumberFormat="1" applyFont="1" applyBorder="1" applyAlignment="1">
      <alignment horizontal="center" vertical="center"/>
    </xf>
    <xf numFmtId="2" fontId="1" fillId="5" borderId="5" xfId="0" applyNumberFormat="1" applyFont="1" applyFill="1" applyBorder="1" applyAlignment="1">
      <alignment horizontal="center" vertical="center"/>
    </xf>
    <xf numFmtId="2" fontId="1" fillId="0" borderId="6" xfId="0" applyNumberFormat="1" applyFon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2" fontId="1" fillId="0" borderId="4" xfId="0" applyNumberFormat="1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3" fontId="1" fillId="0" borderId="0" xfId="0" applyNumberFormat="1" applyFont="1" applyAlignment="1">
      <alignment horizontal="center"/>
    </xf>
    <xf numFmtId="3" fontId="5" fillId="6" borderId="0" xfId="0" applyNumberFormat="1" applyFont="1" applyFill="1" applyAlignment="1">
      <alignment horizontal="center" vertical="center"/>
    </xf>
    <xf numFmtId="3" fontId="1" fillId="6" borderId="0" xfId="0" applyNumberFormat="1" applyFont="1" applyFill="1" applyAlignment="1">
      <alignment horizontal="center" vertical="center"/>
    </xf>
    <xf numFmtId="0" fontId="4" fillId="0" borderId="5" xfId="0" applyFont="1" applyBorder="1" applyAlignment="1">
      <alignment horizontal="center"/>
    </xf>
    <xf numFmtId="3" fontId="0" fillId="0" borderId="0" xfId="0" applyNumberFormat="1" applyAlignment="1">
      <alignment vertical="center"/>
    </xf>
    <xf numFmtId="0" fontId="15" fillId="7" borderId="12" xfId="0" applyFont="1" applyFill="1" applyBorder="1" applyAlignment="1">
      <alignment horizontal="center" vertical="center"/>
    </xf>
    <xf numFmtId="0" fontId="15" fillId="7" borderId="13" xfId="0" applyFont="1" applyFill="1" applyBorder="1" applyAlignment="1">
      <alignment horizontal="center" vertical="center"/>
    </xf>
    <xf numFmtId="0" fontId="4" fillId="0" borderId="5" xfId="0" applyFont="1" applyBorder="1"/>
    <xf numFmtId="0" fontId="4" fillId="0" borderId="0" xfId="0" applyFont="1"/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15" fillId="8" borderId="0" xfId="0" applyFont="1" applyFill="1" applyAlignment="1">
      <alignment horizontal="center" vertical="center"/>
    </xf>
    <xf numFmtId="0" fontId="15" fillId="7" borderId="12" xfId="0" applyFont="1" applyFill="1" applyBorder="1" applyAlignment="1">
      <alignment horizontal="center" vertical="center" wrapText="1"/>
    </xf>
    <xf numFmtId="2" fontId="0" fillId="0" borderId="0" xfId="0" applyNumberFormat="1"/>
    <xf numFmtId="9" fontId="5" fillId="0" borderId="0" xfId="1" applyFont="1" applyAlignment="1">
      <alignment horizontal="center" vertical="center"/>
    </xf>
    <xf numFmtId="3" fontId="5" fillId="9" borderId="0" xfId="0" applyNumberFormat="1" applyFont="1" applyFill="1" applyAlignment="1">
      <alignment horizontal="center" vertical="center"/>
    </xf>
    <xf numFmtId="41" fontId="0" fillId="5" borderId="0" xfId="0" applyNumberFormat="1" applyFill="1" applyAlignment="1">
      <alignment horizontal="center" vertical="center"/>
    </xf>
    <xf numFmtId="10" fontId="0" fillId="0" borderId="0" xfId="1" applyNumberFormat="1" applyFont="1"/>
    <xf numFmtId="9" fontId="0" fillId="0" borderId="0" xfId="1" applyFont="1" applyAlignment="1">
      <alignment horizontal="center" vertical="center"/>
    </xf>
    <xf numFmtId="9" fontId="0" fillId="0" borderId="0" xfId="1" applyFont="1" applyAlignment="1">
      <alignment vertical="center"/>
    </xf>
    <xf numFmtId="9" fontId="0" fillId="0" borderId="0" xfId="1" applyFont="1" applyAlignment="1"/>
    <xf numFmtId="10" fontId="1" fillId="0" borderId="0" xfId="1" applyNumberFormat="1" applyFont="1" applyAlignment="1">
      <alignment horizontal="center"/>
    </xf>
    <xf numFmtId="3" fontId="1" fillId="10" borderId="0" xfId="0" applyNumberFormat="1" applyFont="1" applyFill="1" applyAlignment="1">
      <alignment horizontal="center" vertical="center"/>
    </xf>
    <xf numFmtId="165" fontId="0" fillId="0" borderId="0" xfId="0" applyNumberFormat="1" applyAlignment="1">
      <alignment horizontal="center"/>
    </xf>
    <xf numFmtId="1" fontId="0" fillId="0" borderId="0" xfId="0" applyNumberFormat="1"/>
    <xf numFmtId="0" fontId="0" fillId="0" borderId="0" xfId="0" applyAlignment="1">
      <alignment horizontal="center"/>
    </xf>
    <xf numFmtId="0" fontId="15" fillId="7" borderId="13" xfId="0" applyFont="1" applyFill="1" applyBorder="1" applyAlignment="1">
      <alignment horizontal="center" vertical="center"/>
    </xf>
    <xf numFmtId="0" fontId="15" fillId="7" borderId="14" xfId="0" applyFont="1" applyFill="1" applyBorder="1" applyAlignment="1">
      <alignment horizontal="center" vertical="center"/>
    </xf>
    <xf numFmtId="0" fontId="15" fillId="7" borderId="15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/>
    </xf>
    <xf numFmtId="3" fontId="5" fillId="0" borderId="0" xfId="0" applyNumberFormat="1" applyFont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4" fillId="0" borderId="4" xfId="0" applyFont="1" applyBorder="1" applyAlignment="1">
      <alignment horizontal="center"/>
    </xf>
    <xf numFmtId="0" fontId="13" fillId="0" borderId="0" xfId="0" applyFon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5" fillId="7" borderId="16" xfId="0" applyFont="1" applyFill="1" applyBorder="1" applyAlignment="1">
      <alignment horizontal="center" vertical="center"/>
    </xf>
    <xf numFmtId="0" fontId="15" fillId="7" borderId="0" xfId="0" applyFont="1" applyFill="1" applyAlignment="1">
      <alignment horizontal="center" vertic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17" xfId="0" applyBorder="1" applyAlignment="1">
      <alignment horizontal="center"/>
    </xf>
  </cellXfs>
  <cellStyles count="4">
    <cellStyle name="Moeda" xfId="3" builtinId="4"/>
    <cellStyle name="Normal" xfId="0" builtinId="0"/>
    <cellStyle name="Porcentagem" xfId="1" builtinId="5"/>
    <cellStyle name="Vírgula" xfId="2" builtinId="3"/>
  </cellStyles>
  <dxfs count="0"/>
  <tableStyles count="0" defaultTableStyle="TableStyleMedium2" defaultPivotStyle="PivotStyleLight16"/>
  <colors>
    <mruColors>
      <color rgb="FFFBFD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diamante\COMPARTILHADO\OR&#199;AMENTO\AT%20LOGISTICA\2025\00.%20Or&#231;amento%20original\TEMPLATE%20Or&#231;%202025%20-%20Assist&#234;ncia%20T&#233;cnica%20-%20Log&#237;stica%20-%20final.xlsm" TargetMode="External"/><Relationship Id="rId1" Type="http://schemas.openxmlformats.org/officeDocument/2006/relationships/externalLinkPath" Target="/OR&#199;AMENTO/AT%20LOGISTICA/2025/00.%20Or&#231;amento%20original/TEMPLATE%20Or&#231;%202025%20-%20Assist&#234;ncia%20T&#233;cnica%20-%20Log&#237;stica%20-%20final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strução"/>
      <sheetName val="Geral"/>
      <sheetName val="CC"/>
      <sheetName val="Base"/>
      <sheetName val="Detalhamento "/>
      <sheetName val="4300081 - MANUT. E ALUGUEL DE S"/>
      <sheetName val="4300056 4300052- FRETES E POST"/>
      <sheetName val="4100002 - MATERIAL DE EMBALAGEM"/>
      <sheetName val="4300070 - REFUGO SUCATA"/>
      <sheetName val="4100003 - Materiais Auxiliares"/>
    </sheetNames>
    <sheetDataSet>
      <sheetData sheetId="0"/>
      <sheetData sheetId="1">
        <row r="6">
          <cell r="B6"/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7727F-D4FA-4D3C-8B30-526D49E7C0B2}">
  <dimension ref="B3:O13"/>
  <sheetViews>
    <sheetView showGridLines="0" workbookViewId="0">
      <selection activeCell="H6" sqref="H6:H8"/>
    </sheetView>
  </sheetViews>
  <sheetFormatPr defaultRowHeight="15" x14ac:dyDescent="0.25"/>
  <cols>
    <col min="1" max="1" width="3.5703125" customWidth="1"/>
    <col min="2" max="2" width="14.85546875" customWidth="1"/>
    <col min="3" max="3" width="14.5703125" bestFit="1" customWidth="1"/>
    <col min="4" max="4" width="12.7109375" bestFit="1" customWidth="1"/>
    <col min="5" max="5" width="15" customWidth="1"/>
    <col min="7" max="7" width="9.7109375" bestFit="1" customWidth="1"/>
    <col min="8" max="8" width="15.140625" bestFit="1" customWidth="1"/>
    <col min="9" max="9" width="12.7109375" bestFit="1" customWidth="1"/>
    <col min="10" max="10" width="11.28515625" customWidth="1"/>
    <col min="13" max="13" width="15.140625" bestFit="1" customWidth="1"/>
    <col min="14" max="14" width="12.7109375" bestFit="1" customWidth="1"/>
  </cols>
  <sheetData>
    <row r="3" spans="2:15" x14ac:dyDescent="0.25">
      <c r="B3" s="80" t="s">
        <v>25</v>
      </c>
      <c r="C3" s="80"/>
      <c r="D3" s="80"/>
      <c r="E3" s="80"/>
      <c r="G3" s="80" t="s">
        <v>26</v>
      </c>
      <c r="H3" s="80"/>
      <c r="I3" s="80"/>
      <c r="J3" s="80"/>
      <c r="L3" s="80" t="s">
        <v>24</v>
      </c>
      <c r="M3" s="80"/>
      <c r="N3" s="80"/>
      <c r="O3" s="80"/>
    </row>
    <row r="4" spans="2:15" ht="60" x14ac:dyDescent="0.25">
      <c r="B4" s="67" t="s">
        <v>4</v>
      </c>
      <c r="C4" s="67" t="s">
        <v>3</v>
      </c>
      <c r="D4" s="67" t="s">
        <v>1</v>
      </c>
      <c r="E4" s="67" t="s">
        <v>2</v>
      </c>
      <c r="G4" s="67" t="s">
        <v>4</v>
      </c>
      <c r="H4" s="67" t="s">
        <v>3</v>
      </c>
      <c r="I4" s="67" t="s">
        <v>1</v>
      </c>
      <c r="J4" s="67" t="s">
        <v>2</v>
      </c>
      <c r="L4" s="67" t="s">
        <v>4</v>
      </c>
      <c r="M4" s="67" t="s">
        <v>3</v>
      </c>
      <c r="N4" s="67" t="s">
        <v>1</v>
      </c>
      <c r="O4" s="67" t="s">
        <v>2</v>
      </c>
    </row>
    <row r="5" spans="2:15" x14ac:dyDescent="0.25">
      <c r="B5" s="2">
        <v>2022</v>
      </c>
      <c r="C5" s="3">
        <v>3788321</v>
      </c>
      <c r="D5" s="6">
        <v>10769256</v>
      </c>
      <c r="E5" s="4">
        <f>D5/C5</f>
        <v>2.842751709794392</v>
      </c>
      <c r="G5" s="2">
        <v>2022</v>
      </c>
      <c r="H5" s="3">
        <v>2340461</v>
      </c>
      <c r="I5" s="6">
        <v>10769256</v>
      </c>
      <c r="J5" s="4">
        <f>I5/H5</f>
        <v>4.6013396506072946</v>
      </c>
      <c r="L5" s="2">
        <v>2022</v>
      </c>
      <c r="M5" s="3">
        <v>1447860</v>
      </c>
      <c r="N5" s="6">
        <v>10769256</v>
      </c>
      <c r="O5" s="4"/>
    </row>
    <row r="6" spans="2:15" x14ac:dyDescent="0.25">
      <c r="B6" s="2">
        <v>2023</v>
      </c>
      <c r="C6" s="3">
        <v>2908636</v>
      </c>
      <c r="D6" s="6">
        <v>14181854</v>
      </c>
      <c r="E6" s="4">
        <f t="shared" ref="E6:E8" si="0">D6/C6</f>
        <v>4.8757747617783727</v>
      </c>
      <c r="G6" s="2">
        <v>2023</v>
      </c>
      <c r="H6" s="3">
        <v>1683240</v>
      </c>
      <c r="I6" s="6">
        <v>14181854</v>
      </c>
      <c r="J6" s="4">
        <f t="shared" ref="J6:J8" si="1">I6/H6</f>
        <v>8.4253309094365623</v>
      </c>
      <c r="L6" s="2">
        <v>2023</v>
      </c>
      <c r="M6" s="3">
        <v>1225396</v>
      </c>
      <c r="N6" s="6">
        <v>14181854</v>
      </c>
      <c r="O6" s="4"/>
    </row>
    <row r="7" spans="2:15" x14ac:dyDescent="0.25">
      <c r="B7" s="2">
        <v>2024</v>
      </c>
      <c r="C7" s="3">
        <v>3289442</v>
      </c>
      <c r="D7" s="6">
        <v>13082060</v>
      </c>
      <c r="E7" s="4">
        <f t="shared" si="0"/>
        <v>3.9769845463151503</v>
      </c>
      <c r="G7" s="2">
        <v>2024</v>
      </c>
      <c r="H7" s="3">
        <v>2030066</v>
      </c>
      <c r="I7" s="6">
        <v>13082060</v>
      </c>
      <c r="J7" s="4">
        <f t="shared" si="1"/>
        <v>6.4441550176201172</v>
      </c>
      <c r="L7" s="2">
        <v>2024</v>
      </c>
      <c r="M7" s="3">
        <v>1259376</v>
      </c>
      <c r="N7" s="6">
        <v>13082060</v>
      </c>
      <c r="O7" s="4"/>
    </row>
    <row r="8" spans="2:15" x14ac:dyDescent="0.25">
      <c r="B8" s="2">
        <v>2025</v>
      </c>
      <c r="C8" s="3">
        <v>2364001</v>
      </c>
      <c r="D8" s="6">
        <v>10357371</v>
      </c>
      <c r="E8" s="4">
        <f t="shared" si="0"/>
        <v>4.3812887558000186</v>
      </c>
      <c r="G8" s="2">
        <v>2025</v>
      </c>
      <c r="H8" s="3">
        <v>1627152</v>
      </c>
      <c r="I8" s="6">
        <v>10357371</v>
      </c>
      <c r="J8" s="4">
        <f t="shared" si="1"/>
        <v>6.3653371043393614</v>
      </c>
      <c r="L8" s="2">
        <v>2025</v>
      </c>
      <c r="M8" s="3">
        <v>736849</v>
      </c>
      <c r="N8" s="6">
        <v>10357371</v>
      </c>
      <c r="O8" s="4"/>
    </row>
    <row r="9" spans="2:15" x14ac:dyDescent="0.25">
      <c r="B9" s="2" t="s">
        <v>0</v>
      </c>
      <c r="C9" s="3">
        <f>SUM(C5:C8)</f>
        <v>12350400</v>
      </c>
      <c r="G9" s="2" t="s">
        <v>0</v>
      </c>
      <c r="H9" s="3">
        <f>SUM(H5:H8)</f>
        <v>7680919</v>
      </c>
      <c r="L9" s="2" t="s">
        <v>0</v>
      </c>
      <c r="M9" s="3">
        <f>SUM(M5:M8)</f>
        <v>4669481</v>
      </c>
    </row>
    <row r="12" spans="2:15" x14ac:dyDescent="0.25">
      <c r="H12" s="16"/>
    </row>
    <row r="13" spans="2:15" x14ac:dyDescent="0.25">
      <c r="H13" s="16"/>
    </row>
  </sheetData>
  <mergeCells count="3">
    <mergeCell ref="L3:O3"/>
    <mergeCell ref="B3:E3"/>
    <mergeCell ref="G3:J3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571BF-0053-4F36-A7A4-A0B58CBA76BC}">
  <dimension ref="A1:S5"/>
  <sheetViews>
    <sheetView showGridLines="0" workbookViewId="0">
      <selection activeCell="B5" sqref="B5:J5"/>
    </sheetView>
  </sheetViews>
  <sheetFormatPr defaultRowHeight="15" x14ac:dyDescent="0.25"/>
  <cols>
    <col min="2" max="2" width="9.5703125" bestFit="1" customWidth="1"/>
    <col min="3" max="3" width="10.28515625" bestFit="1" customWidth="1"/>
    <col min="4" max="9" width="10.5703125" bestFit="1" customWidth="1"/>
    <col min="10" max="10" width="9.5703125" bestFit="1" customWidth="1"/>
    <col min="11" max="11" width="10.5703125" bestFit="1" customWidth="1"/>
    <col min="12" max="12" width="9.5703125" bestFit="1" customWidth="1"/>
    <col min="13" max="13" width="10.5703125" bestFit="1" customWidth="1"/>
    <col min="14" max="14" width="11.5703125" bestFit="1" customWidth="1"/>
    <col min="16" max="16" width="10.7109375" customWidth="1"/>
    <col min="19" max="19" width="12.140625" customWidth="1"/>
  </cols>
  <sheetData>
    <row r="1" spans="1:19" ht="45" x14ac:dyDescent="0.25">
      <c r="A1" s="5" t="s">
        <v>4</v>
      </c>
      <c r="B1" s="5" t="s">
        <v>5</v>
      </c>
      <c r="C1" s="5" t="s">
        <v>6</v>
      </c>
      <c r="D1" s="5" t="s">
        <v>7</v>
      </c>
      <c r="E1" s="5" t="s">
        <v>8</v>
      </c>
      <c r="F1" s="5" t="s">
        <v>9</v>
      </c>
      <c r="G1" s="5" t="s">
        <v>10</v>
      </c>
      <c r="H1" s="5" t="s">
        <v>11</v>
      </c>
      <c r="I1" s="5" t="s">
        <v>12</v>
      </c>
      <c r="J1" s="5" t="s">
        <v>13</v>
      </c>
      <c r="K1" s="5" t="s">
        <v>14</v>
      </c>
      <c r="L1" s="5" t="s">
        <v>15</v>
      </c>
      <c r="M1" s="5" t="s">
        <v>16</v>
      </c>
      <c r="N1" s="5" t="s">
        <v>21</v>
      </c>
      <c r="O1" s="5" t="s">
        <v>19</v>
      </c>
      <c r="P1" s="5" t="s">
        <v>3</v>
      </c>
      <c r="Q1" s="5" t="s">
        <v>17</v>
      </c>
      <c r="R1" s="5" t="s">
        <v>18</v>
      </c>
      <c r="S1" s="5" t="s">
        <v>23</v>
      </c>
    </row>
    <row r="2" spans="1:19" x14ac:dyDescent="0.25">
      <c r="A2">
        <v>2022</v>
      </c>
      <c r="B2" s="1">
        <v>88708.48000000001</v>
      </c>
      <c r="C2" s="1">
        <v>89132.84</v>
      </c>
      <c r="D2" s="1">
        <v>115882.61</v>
      </c>
      <c r="E2" s="1">
        <v>206750.52999999997</v>
      </c>
      <c r="F2" s="1">
        <v>128667.54000000001</v>
      </c>
      <c r="G2" s="1">
        <v>156783.47</v>
      </c>
      <c r="H2" s="1">
        <v>97035.199999999997</v>
      </c>
      <c r="I2" s="1">
        <v>141822.77000000002</v>
      </c>
      <c r="J2" s="1">
        <v>176881.20999999996</v>
      </c>
      <c r="K2" s="1">
        <v>64948.889999999992</v>
      </c>
      <c r="L2" s="1">
        <v>141063.36000000002</v>
      </c>
      <c r="M2" s="1">
        <v>103661.54000000001</v>
      </c>
      <c r="N2" s="1">
        <f>SUM(B2:M2)</f>
        <v>1511338.44</v>
      </c>
      <c r="O2" s="1">
        <f>SUM(P2:R2)</f>
        <v>2340461</v>
      </c>
      <c r="P2" s="1">
        <v>2306170</v>
      </c>
      <c r="Q2" s="1">
        <v>19741</v>
      </c>
      <c r="R2" s="1">
        <v>14550</v>
      </c>
      <c r="S2" s="4">
        <f>N2/O2</f>
        <v>0.64574391113545582</v>
      </c>
    </row>
    <row r="3" spans="1:19" x14ac:dyDescent="0.25">
      <c r="A3">
        <v>2023</v>
      </c>
      <c r="B3" s="1">
        <v>206698.89000000004</v>
      </c>
      <c r="C3" s="1">
        <v>113371.61000000002</v>
      </c>
      <c r="D3" s="1">
        <v>118907.06</v>
      </c>
      <c r="E3" s="1">
        <v>91323.25</v>
      </c>
      <c r="F3" s="1">
        <v>62787.03</v>
      </c>
      <c r="G3" s="1">
        <v>199447.69999999998</v>
      </c>
      <c r="H3" s="1">
        <v>185207.89</v>
      </c>
      <c r="I3" s="1">
        <v>128038.96000000002</v>
      </c>
      <c r="J3" s="1">
        <v>106603.53</v>
      </c>
      <c r="K3" s="1">
        <v>130366.85</v>
      </c>
      <c r="L3" s="1">
        <v>164116.54</v>
      </c>
      <c r="M3" s="1">
        <v>163800.56999999995</v>
      </c>
      <c r="N3" s="1">
        <f>SUM(B3:M3)</f>
        <v>1670669.8800000004</v>
      </c>
      <c r="O3" s="1">
        <f t="shared" ref="O3:O5" si="0">SUM(P3:R3)</f>
        <v>1683240</v>
      </c>
      <c r="P3" s="1">
        <v>1642194</v>
      </c>
      <c r="Q3" s="1">
        <v>18516</v>
      </c>
      <c r="R3" s="1">
        <v>22530</v>
      </c>
      <c r="S3" s="4">
        <f t="shared" ref="S3:S5" si="1">N3/O3</f>
        <v>0.99253218792329101</v>
      </c>
    </row>
    <row r="4" spans="1:19" x14ac:dyDescent="0.25">
      <c r="A4">
        <v>2024</v>
      </c>
      <c r="B4" s="1">
        <v>146132.84000000008</v>
      </c>
      <c r="C4" s="1">
        <v>197495.89000000004</v>
      </c>
      <c r="D4" s="1">
        <v>146266.14000000004</v>
      </c>
      <c r="E4" s="1">
        <v>87593.209999999977</v>
      </c>
      <c r="F4" s="1">
        <v>241947.77</v>
      </c>
      <c r="G4" s="1">
        <v>77384.340000000011</v>
      </c>
      <c r="H4" s="1">
        <v>134034.10000000006</v>
      </c>
      <c r="I4" s="1">
        <v>219286.02</v>
      </c>
      <c r="J4" s="1">
        <v>98368.209999999992</v>
      </c>
      <c r="K4" s="1">
        <v>189383.39</v>
      </c>
      <c r="L4" s="1">
        <v>154909.55000000002</v>
      </c>
      <c r="M4" s="1">
        <v>141661.25999999995</v>
      </c>
      <c r="N4" s="1">
        <f>SUM(B4:M4)</f>
        <v>1834462.7200000002</v>
      </c>
      <c r="O4" s="1">
        <f t="shared" si="0"/>
        <v>2030066</v>
      </c>
      <c r="P4" s="1">
        <v>1999338</v>
      </c>
      <c r="Q4" s="1">
        <v>21646</v>
      </c>
      <c r="R4" s="1">
        <v>9082</v>
      </c>
      <c r="S4" s="4">
        <f t="shared" si="1"/>
        <v>0.90364683709790727</v>
      </c>
    </row>
    <row r="5" spans="1:19" x14ac:dyDescent="0.25">
      <c r="A5">
        <v>2025</v>
      </c>
      <c r="B5" s="1">
        <v>66666.8</v>
      </c>
      <c r="C5" s="1">
        <v>204065.50999999998</v>
      </c>
      <c r="D5" s="1">
        <v>220407.73</v>
      </c>
      <c r="E5" s="1">
        <v>148897.07999999999</v>
      </c>
      <c r="F5" s="1">
        <v>102752.56999999999</v>
      </c>
      <c r="G5" s="1">
        <v>160987.70999999996</v>
      </c>
      <c r="H5" s="1">
        <v>173852.39999999997</v>
      </c>
      <c r="I5" s="1">
        <v>167658.79</v>
      </c>
      <c r="J5" s="1">
        <v>89648.040000000008</v>
      </c>
      <c r="K5" s="1"/>
      <c r="L5" s="1"/>
      <c r="M5" s="1"/>
      <c r="N5" s="1">
        <f>SUM(B5:M5)</f>
        <v>1334936.6299999999</v>
      </c>
      <c r="O5" s="1">
        <f t="shared" si="0"/>
        <v>1627152</v>
      </c>
      <c r="P5" s="1">
        <v>1593398</v>
      </c>
      <c r="Q5" s="1">
        <v>23051</v>
      </c>
      <c r="R5" s="1">
        <v>10703</v>
      </c>
      <c r="S5" s="4">
        <f t="shared" si="1"/>
        <v>0.82041298538796614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C5A6A-7DE3-4AEA-8A72-878FF7B745F7}">
  <dimension ref="A2:R34"/>
  <sheetViews>
    <sheetView showGridLines="0" workbookViewId="0">
      <selection activeCell="A18" sqref="A18:M22"/>
    </sheetView>
  </sheetViews>
  <sheetFormatPr defaultRowHeight="15" x14ac:dyDescent="0.25"/>
  <cols>
    <col min="1" max="1" width="17.28515625" bestFit="1" customWidth="1"/>
    <col min="2" max="2" width="9.140625" bestFit="1" customWidth="1"/>
    <col min="3" max="3" width="9.28515625" bestFit="1" customWidth="1"/>
    <col min="4" max="4" width="8.28515625" bestFit="1" customWidth="1"/>
    <col min="5" max="13" width="7.5703125" bestFit="1" customWidth="1"/>
    <col min="14" max="14" width="23.28515625" customWidth="1"/>
    <col min="15" max="15" width="23.5703125" customWidth="1"/>
    <col min="16" max="16" width="16.42578125" bestFit="1" customWidth="1"/>
    <col min="17" max="17" width="20.5703125" bestFit="1" customWidth="1"/>
    <col min="18" max="18" width="16.28515625" bestFit="1" customWidth="1"/>
    <col min="19" max="19" width="13.28515625" customWidth="1"/>
  </cols>
  <sheetData>
    <row r="2" spans="1:18" ht="27" customHeight="1" x14ac:dyDescent="0.25">
      <c r="A2" s="84" t="s">
        <v>56</v>
      </c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</row>
    <row r="3" spans="1:18" x14ac:dyDescent="0.25">
      <c r="A3" s="56" t="s">
        <v>4</v>
      </c>
      <c r="B3" s="56" t="s">
        <v>5</v>
      </c>
      <c r="C3" s="56" t="s">
        <v>6</v>
      </c>
      <c r="D3" s="56" t="s">
        <v>7</v>
      </c>
      <c r="E3" s="56" t="s">
        <v>8</v>
      </c>
      <c r="F3" s="56" t="s">
        <v>9</v>
      </c>
      <c r="G3" s="56" t="s">
        <v>10</v>
      </c>
      <c r="H3" s="56" t="s">
        <v>11</v>
      </c>
      <c r="I3" s="56" t="s">
        <v>12</v>
      </c>
      <c r="J3" s="56" t="s">
        <v>13</v>
      </c>
      <c r="K3" s="56" t="s">
        <v>14</v>
      </c>
      <c r="L3" s="56" t="s">
        <v>15</v>
      </c>
      <c r="M3" s="56" t="s">
        <v>16</v>
      </c>
      <c r="N3" s="56" t="s">
        <v>54</v>
      </c>
      <c r="O3" s="56" t="s">
        <v>53</v>
      </c>
      <c r="P3" s="56" t="s">
        <v>22</v>
      </c>
      <c r="Q3" s="56" t="s">
        <v>55</v>
      </c>
      <c r="R3" s="56" t="s">
        <v>17</v>
      </c>
    </row>
    <row r="4" spans="1:18" x14ac:dyDescent="0.25">
      <c r="A4" s="12">
        <v>2022</v>
      </c>
      <c r="B4" s="1">
        <v>88265.02</v>
      </c>
      <c r="C4" s="1">
        <v>81505.279999999999</v>
      </c>
      <c r="D4" s="1">
        <v>52202.649999999994</v>
      </c>
      <c r="E4" s="1">
        <v>48986.67</v>
      </c>
      <c r="F4" s="1">
        <v>57440.04</v>
      </c>
      <c r="G4" s="1">
        <v>1482.65</v>
      </c>
      <c r="H4" s="1">
        <v>58119.08</v>
      </c>
      <c r="I4" s="1">
        <v>51753.73</v>
      </c>
      <c r="J4" s="1">
        <v>50036.41</v>
      </c>
      <c r="K4" s="1">
        <v>48824.29</v>
      </c>
      <c r="L4" s="1">
        <v>42139.46</v>
      </c>
      <c r="M4" s="1">
        <v>101595.94</v>
      </c>
      <c r="N4" s="21">
        <f>SUM(B4:M4)</f>
        <v>682351.22</v>
      </c>
      <c r="O4" s="21">
        <f>SUM(Q4:R4)</f>
        <v>85664</v>
      </c>
      <c r="P4" s="4">
        <f>N4/O4</f>
        <v>7.9654372898767276</v>
      </c>
      <c r="Q4" s="21">
        <v>85661</v>
      </c>
      <c r="R4" s="21">
        <v>3</v>
      </c>
    </row>
    <row r="5" spans="1:18" x14ac:dyDescent="0.25">
      <c r="A5" s="12">
        <v>2023</v>
      </c>
      <c r="B5" s="1">
        <v>1198.96</v>
      </c>
      <c r="C5" s="1">
        <v>45930.6</v>
      </c>
      <c r="D5" s="1">
        <v>62570.96</v>
      </c>
      <c r="E5" s="1">
        <v>767.26</v>
      </c>
      <c r="F5" s="1">
        <v>99418.36</v>
      </c>
      <c r="G5" s="1">
        <v>89162.4</v>
      </c>
      <c r="H5" s="1">
        <v>121377.36</v>
      </c>
      <c r="I5" s="1">
        <v>104655.61</v>
      </c>
      <c r="J5" s="1">
        <v>978.53</v>
      </c>
      <c r="K5" s="1">
        <v>4941.93</v>
      </c>
      <c r="L5" s="1">
        <v>139314.46</v>
      </c>
      <c r="M5" s="1">
        <v>143138.47</v>
      </c>
      <c r="N5" s="21">
        <f>SUM(B5:M5)</f>
        <v>813454.9</v>
      </c>
      <c r="O5" s="21">
        <f>SUM(Q5:R5)</f>
        <v>140079</v>
      </c>
      <c r="P5" s="4">
        <f>N5/O5</f>
        <v>5.8071152706686942</v>
      </c>
      <c r="Q5" s="21">
        <v>140077</v>
      </c>
      <c r="R5" s="21">
        <v>2</v>
      </c>
    </row>
    <row r="6" spans="1:18" x14ac:dyDescent="0.25">
      <c r="A6" s="12">
        <v>2024</v>
      </c>
      <c r="B6" s="1">
        <v>138661.35999999999</v>
      </c>
      <c r="C6" s="1">
        <v>148156.97</v>
      </c>
      <c r="D6" s="1">
        <v>134999</v>
      </c>
      <c r="E6" s="1">
        <v>80458.36</v>
      </c>
      <c r="F6" s="1">
        <v>6386.39</v>
      </c>
      <c r="G6" s="1">
        <v>4225.1000000000004</v>
      </c>
      <c r="H6" s="1">
        <v>2933.1</v>
      </c>
      <c r="I6" s="1">
        <v>3902.41</v>
      </c>
      <c r="J6" s="1">
        <v>3944.45</v>
      </c>
      <c r="K6" s="1">
        <v>97389.6</v>
      </c>
      <c r="L6" s="1">
        <v>117410.09</v>
      </c>
      <c r="M6" s="1">
        <v>3358.37</v>
      </c>
      <c r="N6" s="21">
        <f>SUM(B6:M6)</f>
        <v>741825.19999999984</v>
      </c>
      <c r="O6" s="21">
        <f>SUM(Q6:R6)</f>
        <v>56175</v>
      </c>
      <c r="P6" s="4">
        <f>N6/O6</f>
        <v>13.205611036938137</v>
      </c>
      <c r="Q6" s="21">
        <v>56168</v>
      </c>
      <c r="R6" s="21">
        <v>7</v>
      </c>
    </row>
    <row r="9" spans="1:18" ht="28.5" x14ac:dyDescent="0.45">
      <c r="A9" s="86" t="s">
        <v>52</v>
      </c>
      <c r="B9" s="86"/>
      <c r="C9" s="86"/>
      <c r="D9" s="86"/>
      <c r="E9" s="86"/>
      <c r="F9" s="86"/>
      <c r="G9" s="86"/>
      <c r="H9" s="86"/>
      <c r="I9" s="86"/>
      <c r="J9" s="86"/>
      <c r="K9" s="86"/>
      <c r="L9" s="86"/>
    </row>
    <row r="11" spans="1:18" x14ac:dyDescent="0.25">
      <c r="A11" s="7" t="s">
        <v>4</v>
      </c>
      <c r="B11" s="85" t="s">
        <v>28</v>
      </c>
      <c r="C11" s="85"/>
      <c r="D11" s="85"/>
      <c r="E11" s="85"/>
      <c r="F11" s="85"/>
      <c r="G11" s="85"/>
      <c r="H11" s="85"/>
      <c r="I11" s="85"/>
      <c r="J11" s="85"/>
      <c r="K11" s="85"/>
      <c r="L11" s="85"/>
    </row>
    <row r="12" spans="1:18" x14ac:dyDescent="0.25">
      <c r="A12" s="2"/>
      <c r="B12" s="56" t="s">
        <v>5</v>
      </c>
      <c r="C12" s="56" t="s">
        <v>6</v>
      </c>
      <c r="D12" s="56" t="s">
        <v>7</v>
      </c>
      <c r="E12" s="56" t="s">
        <v>8</v>
      </c>
      <c r="F12" s="56" t="s">
        <v>9</v>
      </c>
      <c r="G12" s="56" t="s">
        <v>10</v>
      </c>
      <c r="H12" s="56" t="s">
        <v>11</v>
      </c>
      <c r="I12" s="56" t="s">
        <v>12</v>
      </c>
      <c r="J12" s="56" t="s">
        <v>13</v>
      </c>
      <c r="K12" s="56" t="s">
        <v>30</v>
      </c>
      <c r="L12" s="56" t="s">
        <v>31</v>
      </c>
    </row>
    <row r="13" spans="1:18" x14ac:dyDescent="0.25">
      <c r="A13" s="7">
        <v>2025</v>
      </c>
      <c r="B13" s="10"/>
      <c r="C13" s="10"/>
      <c r="D13" s="10"/>
      <c r="E13" s="10"/>
      <c r="F13" s="10"/>
      <c r="G13" s="10"/>
      <c r="H13" s="10">
        <v>14802</v>
      </c>
      <c r="I13" s="10">
        <v>16908</v>
      </c>
      <c r="J13" s="10">
        <v>11471</v>
      </c>
      <c r="K13" s="10">
        <f>SUM(B13:J13)</f>
        <v>43181</v>
      </c>
      <c r="L13" s="3">
        <f>AVERAGE(B13:J13)</f>
        <v>14393.666666666666</v>
      </c>
    </row>
    <row r="14" spans="1:18" x14ac:dyDescent="0.25">
      <c r="A14" s="8" t="s">
        <v>29</v>
      </c>
      <c r="B14" s="3"/>
      <c r="C14" s="3"/>
      <c r="D14" s="3"/>
      <c r="E14" s="3"/>
      <c r="F14" s="3"/>
      <c r="G14" s="3"/>
      <c r="H14" s="3">
        <v>172295.28</v>
      </c>
      <c r="I14" s="3">
        <v>229711.91892000003</v>
      </c>
      <c r="J14" s="3">
        <v>153904.91576999999</v>
      </c>
      <c r="K14" s="3">
        <f>SUM(B14:J14)</f>
        <v>555912.11468999996</v>
      </c>
      <c r="L14" s="3">
        <f>AVERAGE(B14:J14)</f>
        <v>185304.03822999998</v>
      </c>
    </row>
    <row r="15" spans="1:18" ht="30" x14ac:dyDescent="0.25">
      <c r="A15" s="9" t="s">
        <v>32</v>
      </c>
      <c r="B15" s="11"/>
      <c r="C15" s="11"/>
      <c r="D15" s="11"/>
      <c r="E15" s="11"/>
      <c r="F15" s="11"/>
      <c r="G15" s="11"/>
      <c r="H15" s="11">
        <v>11.64</v>
      </c>
      <c r="I15" s="11">
        <v>13.59</v>
      </c>
      <c r="J15" s="11">
        <v>13.42</v>
      </c>
      <c r="K15" s="11"/>
      <c r="L15" s="11">
        <f>AVERAGE(B15:J15)</f>
        <v>12.883333333333333</v>
      </c>
    </row>
    <row r="17" spans="1:16" ht="28.5" x14ac:dyDescent="0.45">
      <c r="A17" s="86" t="s">
        <v>33</v>
      </c>
      <c r="B17" s="86"/>
      <c r="C17" s="86"/>
      <c r="D17" s="86"/>
      <c r="E17" s="86"/>
      <c r="F17" s="86"/>
      <c r="G17" s="86"/>
      <c r="H17" s="86"/>
      <c r="I17" s="86"/>
      <c r="J17" s="86"/>
      <c r="K17" s="86"/>
      <c r="L17" s="86"/>
    </row>
    <row r="18" spans="1:16" x14ac:dyDescent="0.25">
      <c r="A18" s="7" t="s">
        <v>4</v>
      </c>
      <c r="B18" s="85" t="s">
        <v>28</v>
      </c>
      <c r="C18" s="85"/>
      <c r="D18" s="85"/>
      <c r="E18" s="85"/>
      <c r="F18" s="85"/>
      <c r="G18" s="85"/>
      <c r="H18" s="85"/>
      <c r="I18" s="85"/>
      <c r="J18" s="85"/>
      <c r="K18" s="85"/>
      <c r="L18" s="85"/>
      <c r="M18" s="85"/>
    </row>
    <row r="19" spans="1:16" x14ac:dyDescent="0.25">
      <c r="A19" s="2"/>
      <c r="B19" s="56" t="s">
        <v>5</v>
      </c>
      <c r="C19" s="56" t="s">
        <v>6</v>
      </c>
      <c r="D19" s="56" t="s">
        <v>7</v>
      </c>
      <c r="E19" s="56" t="s">
        <v>8</v>
      </c>
      <c r="F19" s="56" t="s">
        <v>9</v>
      </c>
      <c r="G19" s="56" t="s">
        <v>10</v>
      </c>
      <c r="H19" s="56" t="s">
        <v>11</v>
      </c>
      <c r="I19" s="56" t="s">
        <v>12</v>
      </c>
      <c r="J19" s="56" t="s">
        <v>13</v>
      </c>
      <c r="K19" s="56" t="s">
        <v>14</v>
      </c>
      <c r="L19" s="56" t="s">
        <v>15</v>
      </c>
      <c r="M19" s="57" t="s">
        <v>16</v>
      </c>
    </row>
    <row r="20" spans="1:16" x14ac:dyDescent="0.25">
      <c r="A20" s="7" t="s">
        <v>46</v>
      </c>
      <c r="B20" s="15">
        <f>'Análise Frete Transp 2026'!B36</f>
        <v>9813.844000000001</v>
      </c>
      <c r="C20" s="15">
        <f>'Análise Frete Transp 2026'!C36</f>
        <v>7041.7519999999995</v>
      </c>
      <c r="D20" s="15">
        <f>'Análise Frete Transp 2026'!D36</f>
        <v>7134.5040000000008</v>
      </c>
      <c r="E20" s="15">
        <f>'Análise Frete Transp 2026'!E36</f>
        <v>7223.1680000000006</v>
      </c>
      <c r="F20" s="15">
        <f>'Análise Frete Transp 2026'!F36</f>
        <v>6783.8080000000009</v>
      </c>
      <c r="G20" s="15">
        <f>'Análise Frete Transp 2026'!G36</f>
        <v>8441.8919999999998</v>
      </c>
      <c r="H20" s="15">
        <f>'Análise Frete Transp 2026'!H36</f>
        <v>9101.9652000000006</v>
      </c>
      <c r="I20" s="15">
        <f>'Análise Frete Transp 2026'!I36</f>
        <v>8280.2183999999997</v>
      </c>
      <c r="J20" s="15">
        <f>'Análise Frete Transp 2026'!J36</f>
        <v>9507.0235200000006</v>
      </c>
      <c r="K20" s="15">
        <f>'Análise Frete Transp 2026'!K36</f>
        <v>9880.8052800000005</v>
      </c>
      <c r="L20" s="15">
        <f>'Análise Frete Transp 2026'!L36</f>
        <v>8780.6928000000007</v>
      </c>
      <c r="M20" s="15">
        <f>'Análise Frete Transp 2026'!M36</f>
        <v>7264.0016000000005</v>
      </c>
    </row>
    <row r="21" spans="1:16" x14ac:dyDescent="0.25">
      <c r="A21" s="7" t="s">
        <v>37</v>
      </c>
      <c r="B21" s="17">
        <v>12.88</v>
      </c>
      <c r="C21" s="17">
        <v>12.88</v>
      </c>
      <c r="D21" s="17">
        <v>12.88</v>
      </c>
      <c r="E21" s="17">
        <v>12.88</v>
      </c>
      <c r="F21" s="17">
        <v>12.88</v>
      </c>
      <c r="G21" s="17">
        <v>12.88</v>
      </c>
      <c r="H21" s="17">
        <v>12.88</v>
      </c>
      <c r="I21" s="17">
        <v>12.88</v>
      </c>
      <c r="J21" s="17">
        <v>12.88</v>
      </c>
      <c r="K21" s="17">
        <v>12.88</v>
      </c>
      <c r="L21" s="17">
        <v>12.88</v>
      </c>
      <c r="M21" s="17">
        <v>12.88</v>
      </c>
    </row>
    <row r="22" spans="1:16" x14ac:dyDescent="0.25">
      <c r="A22" s="12" t="s">
        <v>38</v>
      </c>
      <c r="B22" s="18">
        <f>B20*B21</f>
        <v>126402.31072000002</v>
      </c>
      <c r="C22" s="18">
        <f t="shared" ref="C22:M22" si="0">C20*C21</f>
        <v>90697.765759999995</v>
      </c>
      <c r="D22" s="18">
        <f t="shared" si="0"/>
        <v>91892.411520000023</v>
      </c>
      <c r="E22" s="18">
        <f t="shared" si="0"/>
        <v>93034.403840000014</v>
      </c>
      <c r="F22" s="18">
        <f t="shared" si="0"/>
        <v>87375.447040000014</v>
      </c>
      <c r="G22" s="18">
        <f t="shared" si="0"/>
        <v>108731.56896</v>
      </c>
      <c r="H22" s="18">
        <f t="shared" si="0"/>
        <v>117233.31177600002</v>
      </c>
      <c r="I22" s="18">
        <f t="shared" si="0"/>
        <v>106649.212992</v>
      </c>
      <c r="J22" s="18">
        <f t="shared" si="0"/>
        <v>122450.46293760002</v>
      </c>
      <c r="K22" s="18">
        <f t="shared" si="0"/>
        <v>127264.77200640002</v>
      </c>
      <c r="L22" s="18">
        <f t="shared" si="0"/>
        <v>113095.32326400002</v>
      </c>
      <c r="M22" s="18">
        <f t="shared" si="0"/>
        <v>93560.340608000013</v>
      </c>
    </row>
    <row r="24" spans="1:16" x14ac:dyDescent="0.25">
      <c r="A24" s="81" t="s">
        <v>83</v>
      </c>
      <c r="B24" s="82"/>
      <c r="C24" s="82"/>
      <c r="D24" s="83"/>
      <c r="E24" s="81" t="s">
        <v>86</v>
      </c>
      <c r="F24" s="82"/>
      <c r="G24" s="82"/>
      <c r="H24" s="14"/>
      <c r="I24" s="14"/>
      <c r="J24" s="14"/>
      <c r="K24" s="14"/>
      <c r="L24" s="14"/>
      <c r="M24" s="14"/>
      <c r="N24" s="14"/>
      <c r="O24" s="13"/>
      <c r="P24" s="13"/>
    </row>
    <row r="25" spans="1:16" x14ac:dyDescent="0.25">
      <c r="A25" s="56" t="s">
        <v>4</v>
      </c>
      <c r="B25" s="56" t="s">
        <v>43</v>
      </c>
      <c r="C25" s="56" t="s">
        <v>44</v>
      </c>
      <c r="D25" s="56" t="s">
        <v>45</v>
      </c>
      <c r="E25" s="2"/>
    </row>
    <row r="26" spans="1:16" x14ac:dyDescent="0.25">
      <c r="A26" s="2">
        <v>2026</v>
      </c>
      <c r="B26" s="3">
        <f>SUM(B22:M22)</f>
        <v>1278387.3314240002</v>
      </c>
      <c r="C26" s="7"/>
      <c r="D26" s="7"/>
      <c r="E26" s="2"/>
    </row>
    <row r="27" spans="1:16" x14ac:dyDescent="0.25">
      <c r="A27" s="2">
        <v>2025</v>
      </c>
      <c r="B27" s="3">
        <v>989714.17541709868</v>
      </c>
      <c r="C27" s="3">
        <v>559528.5</v>
      </c>
      <c r="D27" s="3">
        <f>B27-C27</f>
        <v>430185.67541709868</v>
      </c>
      <c r="E27" s="3"/>
    </row>
    <row r="28" spans="1:16" x14ac:dyDescent="0.25">
      <c r="A28" s="2">
        <v>2024</v>
      </c>
      <c r="B28" s="3">
        <v>537466.64932142722</v>
      </c>
      <c r="C28" s="3">
        <v>741825.19999999984</v>
      </c>
      <c r="D28" s="3">
        <f>B28-C28</f>
        <v>-204358.55067857262</v>
      </c>
      <c r="E28" s="2"/>
    </row>
    <row r="29" spans="1:16" x14ac:dyDescent="0.25">
      <c r="A29" s="2">
        <v>2023</v>
      </c>
      <c r="B29" s="3">
        <v>845637.02023751137</v>
      </c>
      <c r="C29" s="3">
        <v>813454.9</v>
      </c>
      <c r="D29" s="3">
        <f>B29-C29</f>
        <v>32182.12023751135</v>
      </c>
      <c r="E29" s="2"/>
    </row>
    <row r="31" spans="1:16" x14ac:dyDescent="0.25">
      <c r="C31" s="1"/>
    </row>
    <row r="33" spans="6:6" x14ac:dyDescent="0.25">
      <c r="F33" s="1"/>
    </row>
    <row r="34" spans="6:6" x14ac:dyDescent="0.25">
      <c r="F34" s="16"/>
    </row>
  </sheetData>
  <mergeCells count="7">
    <mergeCell ref="A24:D24"/>
    <mergeCell ref="E24:G24"/>
    <mergeCell ref="A2:R2"/>
    <mergeCell ref="B11:L11"/>
    <mergeCell ref="A17:L17"/>
    <mergeCell ref="B18:M18"/>
    <mergeCell ref="A9:L9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70719-FAA6-4051-8C21-5AE8884D5623}">
  <dimension ref="A1:T12"/>
  <sheetViews>
    <sheetView topLeftCell="E1" workbookViewId="0">
      <selection activeCell="Q12" sqref="Q12"/>
    </sheetView>
  </sheetViews>
  <sheetFormatPr defaultRowHeight="15" x14ac:dyDescent="0.25"/>
  <cols>
    <col min="2" max="2" width="9.5703125" bestFit="1" customWidth="1"/>
    <col min="3" max="3" width="10.28515625" bestFit="1" customWidth="1"/>
    <col min="4" max="9" width="10.5703125" bestFit="1" customWidth="1"/>
    <col min="10" max="10" width="9.5703125" bestFit="1" customWidth="1"/>
    <col min="11" max="11" width="10.5703125" bestFit="1" customWidth="1"/>
    <col min="12" max="12" width="9.5703125" bestFit="1" customWidth="1"/>
    <col min="13" max="13" width="10.5703125" bestFit="1" customWidth="1"/>
    <col min="14" max="14" width="12" bestFit="1" customWidth="1"/>
    <col min="15" max="15" width="13.5703125" customWidth="1"/>
    <col min="16" max="18" width="10.7109375" customWidth="1"/>
    <col min="19" max="19" width="9.7109375" customWidth="1"/>
    <col min="20" max="20" width="10.7109375" customWidth="1"/>
  </cols>
  <sheetData>
    <row r="1" spans="1:20" ht="30" x14ac:dyDescent="0.25">
      <c r="A1" s="5" t="s">
        <v>4</v>
      </c>
      <c r="B1" s="5" t="s">
        <v>5</v>
      </c>
      <c r="C1" s="5" t="s">
        <v>6</v>
      </c>
      <c r="D1" s="5" t="s">
        <v>7</v>
      </c>
      <c r="E1" s="5" t="s">
        <v>8</v>
      </c>
      <c r="F1" s="5" t="s">
        <v>9</v>
      </c>
      <c r="G1" s="5" t="s">
        <v>10</v>
      </c>
      <c r="H1" s="5" t="s">
        <v>11</v>
      </c>
      <c r="I1" s="5" t="s">
        <v>12</v>
      </c>
      <c r="J1" s="5" t="s">
        <v>13</v>
      </c>
      <c r="K1" s="5" t="s">
        <v>14</v>
      </c>
      <c r="L1" s="5" t="s">
        <v>15</v>
      </c>
      <c r="M1" s="5" t="s">
        <v>16</v>
      </c>
      <c r="N1" s="5" t="s">
        <v>20</v>
      </c>
      <c r="O1" s="5" t="s">
        <v>27</v>
      </c>
      <c r="P1" s="5" t="s">
        <v>3</v>
      </c>
      <c r="Q1" s="5" t="s">
        <v>17</v>
      </c>
      <c r="R1" s="5"/>
      <c r="S1" s="5" t="s">
        <v>18</v>
      </c>
      <c r="T1" s="5" t="s">
        <v>22</v>
      </c>
    </row>
    <row r="2" spans="1:20" x14ac:dyDescent="0.25">
      <c r="A2">
        <v>2022</v>
      </c>
      <c r="B2" s="1">
        <f>'Análise Frete Transp 2026'!B2+'Análise Correios 2026'!B4</f>
        <v>930813.47</v>
      </c>
      <c r="C2" s="1">
        <f>'Análise Frete Transp 2026'!C2+'Análise Correios 2026'!C4</f>
        <v>674807.28</v>
      </c>
      <c r="D2" s="1">
        <f>'Análise Frete Transp 2026'!D2+'Análise Correios 2026'!D4</f>
        <v>894883.44000000018</v>
      </c>
      <c r="E2" s="1">
        <f>'Análise Frete Transp 2026'!E2+'Análise Correios 2026'!E4</f>
        <v>665255.89000000036</v>
      </c>
      <c r="F2" s="1">
        <f>'Análise Frete Transp 2026'!F2+'Análise Correios 2026'!F4</f>
        <v>819103.63999999966</v>
      </c>
      <c r="G2" s="1">
        <f>'Análise Frete Transp 2026'!G2+'Análise Correios 2026'!G4</f>
        <v>803327.71000000008</v>
      </c>
      <c r="H2" s="1">
        <f>'Análise Frete Transp 2026'!H2+'Análise Correios 2026'!H4</f>
        <v>697967.71999999962</v>
      </c>
      <c r="I2" s="1">
        <f>'Análise Frete Transp 2026'!I2+'Análise Correios 2026'!I4</f>
        <v>1212842.3999999987</v>
      </c>
      <c r="J2" s="1">
        <f>'Análise Frete Transp 2026'!J2+'Análise Correios 2026'!J4</f>
        <v>325296.57999999973</v>
      </c>
      <c r="K2" s="1">
        <f>'Análise Frete Transp 2026'!K2+'Análise Correios 2026'!K4</f>
        <v>1269110.8300000003</v>
      </c>
      <c r="L2" s="1">
        <f>'Análise Frete Transp 2026'!L2+'Análise Correios 2026'!L4</f>
        <v>757563.0199999992</v>
      </c>
      <c r="M2" s="1">
        <f>'Análise Frete Transp 2026'!M2+'Análise Correios 2026'!M4</f>
        <v>678219.75000000023</v>
      </c>
      <c r="N2" s="1">
        <f>SUM(B2:M2)</f>
        <v>9729191.7299999986</v>
      </c>
      <c r="O2" s="1">
        <f>SUM(P2:S2)</f>
        <v>2340461</v>
      </c>
      <c r="P2" s="1">
        <v>2306170</v>
      </c>
      <c r="Q2" s="1">
        <v>19741</v>
      </c>
      <c r="R2" s="1"/>
      <c r="S2" s="1">
        <v>14550</v>
      </c>
      <c r="T2" s="4">
        <f>N2/O2</f>
        <v>4.1569552878685005</v>
      </c>
    </row>
    <row r="3" spans="1:20" x14ac:dyDescent="0.25">
      <c r="A3">
        <v>2023</v>
      </c>
      <c r="B3" s="1">
        <f>'Análise Frete Transp 2026'!B3+'Análise Correios 2026'!B5</f>
        <v>987558.7099999995</v>
      </c>
      <c r="C3" s="1">
        <f>'Análise Frete Transp 2026'!C3+'Análise Correios 2026'!C5</f>
        <v>916096.90000000014</v>
      </c>
      <c r="D3" s="1">
        <f>'Análise Frete Transp 2026'!D3+'Análise Correios 2026'!D5</f>
        <v>1070225.7</v>
      </c>
      <c r="E3" s="1">
        <f>'Análise Frete Transp 2026'!E3+'Análise Correios 2026'!E5</f>
        <v>903914.50000000023</v>
      </c>
      <c r="F3" s="1">
        <f>'Análise Frete Transp 2026'!F3+'Análise Correios 2026'!F5</f>
        <v>1181976.2400000007</v>
      </c>
      <c r="G3" s="1">
        <f>'Análise Frete Transp 2026'!G3+'Análise Correios 2026'!G5</f>
        <v>1264348.9299999992</v>
      </c>
      <c r="H3" s="1">
        <f>'Análise Frete Transp 2026'!H3+'Análise Correios 2026'!H5</f>
        <v>1228270.8099999998</v>
      </c>
      <c r="I3" s="1">
        <f>'Análise Frete Transp 2026'!I3+'Análise Correios 2026'!I5</f>
        <v>1123744.1600000011</v>
      </c>
      <c r="J3" s="1">
        <f>'Análise Frete Transp 2026'!J3+'Análise Correios 2026'!J5</f>
        <v>663890.30000000005</v>
      </c>
      <c r="K3" s="1">
        <f>'Análise Frete Transp 2026'!K3+'Análise Correios 2026'!K5</f>
        <v>878892.42999999993</v>
      </c>
      <c r="L3" s="1">
        <f>'Análise Frete Transp 2026'!L3+'Análise Correios 2026'!L5</f>
        <v>941881.87999999942</v>
      </c>
      <c r="M3" s="1">
        <f>'Análise Frete Transp 2026'!M3+'Análise Correios 2026'!M5</f>
        <v>1190593.3400000003</v>
      </c>
      <c r="N3" s="1">
        <f>SUM(B3:M3)</f>
        <v>12351393.9</v>
      </c>
      <c r="O3" s="1">
        <f t="shared" ref="O3:O5" si="0">SUM(P3:S3)</f>
        <v>1683240</v>
      </c>
      <c r="P3" s="1">
        <v>1642194</v>
      </c>
      <c r="Q3" s="1">
        <v>18516</v>
      </c>
      <c r="R3" s="1"/>
      <c r="S3" s="1">
        <v>22530</v>
      </c>
      <c r="T3" s="4">
        <f t="shared" ref="T3:T5" si="1">N3/O3</f>
        <v>7.3378685748912815</v>
      </c>
    </row>
    <row r="4" spans="1:20" x14ac:dyDescent="0.25">
      <c r="A4">
        <v>2024</v>
      </c>
      <c r="B4" s="1">
        <f>'Análise Frete Transp 2026'!B4+'Análise Correios 2026'!B6</f>
        <v>474383.84000000061</v>
      </c>
      <c r="C4" s="1">
        <f>'Análise Frete Transp 2026'!C4+'Análise Correios 2026'!C6</f>
        <v>1098917.1799999992</v>
      </c>
      <c r="D4" s="1">
        <f>'Análise Frete Transp 2026'!D4+'Análise Correios 2026'!D6</f>
        <v>764247.92999999865</v>
      </c>
      <c r="E4" s="1">
        <f>'Análise Frete Transp 2026'!E4+'Análise Correios 2026'!E6</f>
        <v>1303732.01</v>
      </c>
      <c r="F4" s="1">
        <f>'Análise Frete Transp 2026'!F4+'Análise Correios 2026'!F6</f>
        <v>902712.51000000047</v>
      </c>
      <c r="G4" s="1">
        <f>'Análise Frete Transp 2026'!G4+'Análise Correios 2026'!G6</f>
        <v>629009.85000000044</v>
      </c>
      <c r="H4" s="1">
        <f>'Análise Frete Transp 2026'!H4+'Análise Correios 2026'!H6</f>
        <v>680416.01000000036</v>
      </c>
      <c r="I4" s="1">
        <f>'Análise Frete Transp 2026'!I4+'Análise Correios 2026'!I6</f>
        <v>990550.54000000108</v>
      </c>
      <c r="J4" s="1">
        <f>'Análise Frete Transp 2026'!J4+'Análise Correios 2026'!J6</f>
        <v>616508.95999999915</v>
      </c>
      <c r="K4" s="1">
        <f>'Análise Frete Transp 2026'!K4+'Análise Correios 2026'!K6</f>
        <v>1350433.6799999992</v>
      </c>
      <c r="L4" s="1">
        <f>'Análise Frete Transp 2026'!L4+'Análise Correios 2026'!L6</f>
        <v>997760.32999999856</v>
      </c>
      <c r="M4" s="1">
        <f>'Análise Frete Transp 2026'!M4+'Análise Correios 2026'!M6</f>
        <v>1305365.2499999995</v>
      </c>
      <c r="N4" s="1">
        <f>SUM(B4:M4)</f>
        <v>11114038.089999998</v>
      </c>
      <c r="O4" s="1">
        <f t="shared" si="0"/>
        <v>2030066.1690429898</v>
      </c>
      <c r="P4" s="1">
        <v>1999338</v>
      </c>
      <c r="Q4" s="1">
        <v>21646</v>
      </c>
      <c r="R4" s="16">
        <f>(Q4-Q3)/Q3</f>
        <v>0.16904298984661914</v>
      </c>
      <c r="S4" s="1">
        <v>9082</v>
      </c>
      <c r="T4" s="4">
        <f t="shared" si="1"/>
        <v>5.4747171592142525</v>
      </c>
    </row>
    <row r="5" spans="1:20" x14ac:dyDescent="0.25">
      <c r="A5">
        <v>2025</v>
      </c>
      <c r="B5" s="1" t="e">
        <f>'Análise Frete Transp 2026'!#REF!+'Análise Correios 2026'!#REF!</f>
        <v>#REF!</v>
      </c>
      <c r="C5" s="1" t="e">
        <f>'Análise Frete Transp 2026'!#REF!+'Análise Correios 2026'!#REF!</f>
        <v>#REF!</v>
      </c>
      <c r="D5" s="1" t="e">
        <f>'Análise Frete Transp 2026'!#REF!+'Análise Correios 2026'!#REF!</f>
        <v>#REF!</v>
      </c>
      <c r="E5" s="1" t="e">
        <f>'Análise Frete Transp 2026'!#REF!+'Análise Correios 2026'!#REF!</f>
        <v>#REF!</v>
      </c>
      <c r="F5" s="1" t="e">
        <f>'Análise Frete Transp 2026'!#REF!+'Análise Correios 2026'!#REF!</f>
        <v>#REF!</v>
      </c>
      <c r="G5" s="1" t="e">
        <f>'Análise Frete Transp 2026'!#REF!+'Análise Correios 2026'!#REF!</f>
        <v>#REF!</v>
      </c>
      <c r="H5" s="1" t="e">
        <f>'Análise Frete Transp 2026'!#REF!+'Análise Correios 2026'!#REF!</f>
        <v>#REF!</v>
      </c>
      <c r="I5" s="1" t="e">
        <f>'Análise Frete Transp 2026'!#REF!+'Análise Correios 2026'!#REF!</f>
        <v>#REF!</v>
      </c>
      <c r="J5" s="1" t="e">
        <f>'Análise Frete Transp 2026'!#REF!+'Análise Correios 2026'!#REF!</f>
        <v>#REF!</v>
      </c>
      <c r="K5" s="1"/>
      <c r="L5" s="1"/>
      <c r="M5" s="1"/>
      <c r="N5" s="1" t="e">
        <f>SUM(B5:M5)</f>
        <v>#REF!</v>
      </c>
      <c r="O5" s="1">
        <f t="shared" si="0"/>
        <v>1627152.0649080661</v>
      </c>
      <c r="P5" s="1">
        <v>1593398</v>
      </c>
      <c r="Q5" s="1">
        <v>23051</v>
      </c>
      <c r="R5" s="16">
        <f>(Q5-Q4)/Q4</f>
        <v>6.4908066155409769E-2</v>
      </c>
      <c r="S5" s="1">
        <v>10703</v>
      </c>
      <c r="T5" s="4" t="e">
        <f t="shared" si="1"/>
        <v>#REF!</v>
      </c>
    </row>
    <row r="7" spans="1:20" x14ac:dyDescent="0.25">
      <c r="O7">
        <v>180000</v>
      </c>
    </row>
    <row r="8" spans="1:20" x14ac:dyDescent="0.25">
      <c r="O8" t="e">
        <f>O7*T5</f>
        <v>#REF!</v>
      </c>
    </row>
    <row r="9" spans="1:20" x14ac:dyDescent="0.25">
      <c r="O9" t="e">
        <f>O8*12</f>
        <v>#REF!</v>
      </c>
    </row>
    <row r="11" spans="1:20" x14ac:dyDescent="0.25">
      <c r="Q11">
        <f>Q5/9</f>
        <v>2561.2222222222222</v>
      </c>
    </row>
    <row r="12" spans="1:20" x14ac:dyDescent="0.25">
      <c r="Q12">
        <f>Q11*1.17</f>
        <v>2996.6299999999997</v>
      </c>
    </row>
  </sheetData>
  <phoneticPr fontId="2" type="noConversion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A513C-B391-48A0-9682-5FA8DA45CD0B}">
  <dimension ref="A1:W87"/>
  <sheetViews>
    <sheetView showGridLines="0" tabSelected="1" topLeftCell="A4" zoomScaleNormal="100" workbookViewId="0">
      <selection activeCell="K24" sqref="K24"/>
    </sheetView>
  </sheetViews>
  <sheetFormatPr defaultRowHeight="15" x14ac:dyDescent="0.25"/>
  <cols>
    <col min="1" max="1" width="19.140625" style="19" bestFit="1" customWidth="1"/>
    <col min="2" max="3" width="10.140625" bestFit="1" customWidth="1"/>
    <col min="4" max="4" width="9.85546875" bestFit="1" customWidth="1"/>
    <col min="5" max="13" width="9.140625" bestFit="1" customWidth="1"/>
    <col min="14" max="14" width="10.5703125" style="19" bestFit="1" customWidth="1"/>
    <col min="15" max="15" width="14.42578125" bestFit="1" customWidth="1"/>
    <col min="16" max="16" width="15.5703125" customWidth="1"/>
    <col min="17" max="17" width="19.28515625" bestFit="1" customWidth="1"/>
    <col min="18" max="18" width="12.7109375" customWidth="1"/>
    <col min="19" max="19" width="16.42578125" bestFit="1" customWidth="1"/>
  </cols>
  <sheetData>
    <row r="1" spans="1:23" x14ac:dyDescent="0.25">
      <c r="A1" s="56" t="s">
        <v>4</v>
      </c>
      <c r="B1" s="56" t="s">
        <v>5</v>
      </c>
      <c r="C1" s="56" t="s">
        <v>6</v>
      </c>
      <c r="D1" s="56" t="s">
        <v>7</v>
      </c>
      <c r="E1" s="56" t="s">
        <v>8</v>
      </c>
      <c r="F1" s="56" t="s">
        <v>9</v>
      </c>
      <c r="G1" s="56" t="s">
        <v>10</v>
      </c>
      <c r="H1" s="56" t="s">
        <v>11</v>
      </c>
      <c r="I1" s="56" t="s">
        <v>12</v>
      </c>
      <c r="J1" s="56" t="s">
        <v>13</v>
      </c>
      <c r="K1" s="56" t="s">
        <v>14</v>
      </c>
      <c r="L1" s="56" t="s">
        <v>15</v>
      </c>
      <c r="M1" s="56" t="s">
        <v>16</v>
      </c>
      <c r="N1" s="56" t="s">
        <v>20</v>
      </c>
      <c r="O1" s="56" t="s">
        <v>19</v>
      </c>
      <c r="P1" s="56" t="s">
        <v>80</v>
      </c>
      <c r="Q1" s="56" t="s">
        <v>81</v>
      </c>
      <c r="R1" s="56" t="s">
        <v>18</v>
      </c>
      <c r="S1" s="56" t="s">
        <v>22</v>
      </c>
    </row>
    <row r="2" spans="1:23" x14ac:dyDescent="0.25">
      <c r="A2" s="12">
        <v>2022</v>
      </c>
      <c r="B2" s="1">
        <v>842548.45</v>
      </c>
      <c r="C2" s="1">
        <v>593302</v>
      </c>
      <c r="D2" s="1">
        <v>842680.79000000015</v>
      </c>
      <c r="E2" s="1">
        <v>616269.22000000032</v>
      </c>
      <c r="F2" s="1">
        <v>761663.59999999963</v>
      </c>
      <c r="G2" s="1">
        <v>801845.06</v>
      </c>
      <c r="H2" s="1">
        <v>639848.63999999966</v>
      </c>
      <c r="I2" s="1">
        <v>1161088.6699999988</v>
      </c>
      <c r="J2" s="1">
        <v>275260.16999999969</v>
      </c>
      <c r="K2" s="1">
        <v>1220286.5400000003</v>
      </c>
      <c r="L2" s="1">
        <v>715423.55999999924</v>
      </c>
      <c r="M2" s="1">
        <v>576623.81000000029</v>
      </c>
      <c r="N2" s="55">
        <f>SUM(B2:M2)</f>
        <v>9046840.5099999979</v>
      </c>
      <c r="O2" s="21">
        <f>SUM(P2:R2)</f>
        <v>2254026</v>
      </c>
      <c r="P2" s="3">
        <v>2220509</v>
      </c>
      <c r="Q2" s="3">
        <v>19738</v>
      </c>
      <c r="R2" s="3">
        <v>13779</v>
      </c>
      <c r="S2" s="4">
        <f>N2/O2</f>
        <v>4.0136362712763729</v>
      </c>
    </row>
    <row r="3" spans="1:23" x14ac:dyDescent="0.25">
      <c r="A3" s="12">
        <v>2023</v>
      </c>
      <c r="B3" s="1">
        <v>986359.74999999953</v>
      </c>
      <c r="C3" s="1">
        <v>870166.30000000016</v>
      </c>
      <c r="D3" s="1">
        <v>1007654.74</v>
      </c>
      <c r="E3" s="1">
        <v>903147.24000000022</v>
      </c>
      <c r="F3" s="1">
        <v>1082557.8800000006</v>
      </c>
      <c r="G3" s="1">
        <v>1175186.5299999993</v>
      </c>
      <c r="H3" s="1">
        <v>1106893.4499999997</v>
      </c>
      <c r="I3" s="1">
        <v>1019088.5500000011</v>
      </c>
      <c r="J3" s="1">
        <v>662911.77</v>
      </c>
      <c r="K3" s="1">
        <v>873950.49999999988</v>
      </c>
      <c r="L3" s="1">
        <v>802567.41999999946</v>
      </c>
      <c r="M3" s="1">
        <v>1047454.8700000002</v>
      </c>
      <c r="N3" s="55">
        <f>SUM(B3:M3)</f>
        <v>11537939.000000002</v>
      </c>
      <c r="O3" s="21">
        <f>SUM(P3:R3)</f>
        <v>1542177</v>
      </c>
      <c r="P3" s="3">
        <v>1502117</v>
      </c>
      <c r="Q3" s="3">
        <v>18514</v>
      </c>
      <c r="R3" s="3">
        <v>21546</v>
      </c>
      <c r="S3" s="4">
        <f>N3/O3</f>
        <v>7.4815919314060588</v>
      </c>
    </row>
    <row r="4" spans="1:23" x14ac:dyDescent="0.25">
      <c r="A4" s="12">
        <v>2024</v>
      </c>
      <c r="B4" s="1">
        <v>335722.48000000062</v>
      </c>
      <c r="C4" s="1">
        <v>950760.20999999926</v>
      </c>
      <c r="D4" s="1">
        <v>629248.92999999865</v>
      </c>
      <c r="E4" s="1">
        <v>1223273.6499999999</v>
      </c>
      <c r="F4" s="1">
        <v>896326.12000000046</v>
      </c>
      <c r="G4" s="1">
        <v>624784.75000000047</v>
      </c>
      <c r="H4" s="1">
        <v>677482.91000000038</v>
      </c>
      <c r="I4" s="1">
        <v>986648.13000000105</v>
      </c>
      <c r="J4" s="1">
        <v>612564.50999999919</v>
      </c>
      <c r="K4" s="1">
        <v>1253044.0799999991</v>
      </c>
      <c r="L4" s="1">
        <v>880350.23999999859</v>
      </c>
      <c r="M4" s="1">
        <v>1302006.8799999994</v>
      </c>
      <c r="N4" s="55">
        <f>SUM(B4:M4)</f>
        <v>10372212.889999997</v>
      </c>
      <c r="O4" s="21">
        <f>SUM(P4:R4)</f>
        <v>1973720</v>
      </c>
      <c r="P4" s="3">
        <v>1943170</v>
      </c>
      <c r="Q4" s="3">
        <v>21639</v>
      </c>
      <c r="R4" s="3">
        <v>8911</v>
      </c>
      <c r="S4" s="4">
        <f>N4/O4</f>
        <v>5.2551592373791607</v>
      </c>
    </row>
    <row r="5" spans="1:23" x14ac:dyDescent="0.25">
      <c r="A5" s="12">
        <v>2025</v>
      </c>
      <c r="B5" s="1">
        <v>1001898.0500000002</v>
      </c>
      <c r="C5" s="1">
        <v>809656.21</v>
      </c>
      <c r="D5" s="1">
        <v>819691.6800000004</v>
      </c>
      <c r="E5" s="1">
        <v>716399.90999999864</v>
      </c>
      <c r="F5" s="1">
        <v>654641.94999999867</v>
      </c>
      <c r="G5" s="1">
        <v>1447312.2599999998</v>
      </c>
      <c r="H5" s="1">
        <v>432813.59999999974</v>
      </c>
      <c r="I5" s="1">
        <v>1619438.41</v>
      </c>
      <c r="J5" s="1">
        <v>666605.23000000045</v>
      </c>
      <c r="K5" s="1">
        <v>858771.31000000029</v>
      </c>
      <c r="L5" s="1"/>
      <c r="M5" s="1"/>
      <c r="N5" s="55">
        <f>SUM(B5:K5)</f>
        <v>9027228.6099999975</v>
      </c>
      <c r="O5" s="21">
        <f>SUM(P5:R5)</f>
        <v>1853654</v>
      </c>
      <c r="P5" s="3">
        <f>P18</f>
        <v>1808467</v>
      </c>
      <c r="Q5" s="3">
        <f>P24</f>
        <v>28468</v>
      </c>
      <c r="R5" s="3">
        <f>P12</f>
        <v>16719</v>
      </c>
      <c r="S5" s="4">
        <f>N5/O5</f>
        <v>4.8699641950439494</v>
      </c>
    </row>
    <row r="6" spans="1:23" x14ac:dyDescent="0.25">
      <c r="A6" s="12">
        <v>2026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55"/>
      <c r="O6" s="21"/>
      <c r="P6" s="3"/>
      <c r="Q6" s="3"/>
      <c r="R6" s="3"/>
      <c r="S6" s="4"/>
    </row>
    <row r="8" spans="1:23" ht="28.5" x14ac:dyDescent="0.45">
      <c r="A8" s="90" t="s">
        <v>51</v>
      </c>
      <c r="B8" s="86"/>
      <c r="C8" s="86"/>
      <c r="D8" s="86"/>
      <c r="E8" s="86"/>
      <c r="F8" s="86"/>
      <c r="G8" s="86"/>
      <c r="H8" s="86"/>
      <c r="I8" s="86"/>
      <c r="J8" s="86"/>
      <c r="K8" s="86"/>
      <c r="L8" s="86"/>
      <c r="M8" s="86"/>
      <c r="N8" s="86"/>
      <c r="O8" s="86"/>
    </row>
    <row r="9" spans="1:23" ht="15" customHeight="1" x14ac:dyDescent="0.45">
      <c r="A9" s="37"/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</row>
    <row r="10" spans="1:23" ht="21" x14ac:dyDescent="0.25">
      <c r="A10" s="60"/>
      <c r="B10" s="91" t="s">
        <v>18</v>
      </c>
      <c r="C10" s="91"/>
      <c r="D10" s="91"/>
      <c r="E10" s="91"/>
      <c r="F10" s="91"/>
      <c r="G10" s="91"/>
      <c r="H10" s="91"/>
      <c r="I10" s="91"/>
      <c r="J10" s="91"/>
      <c r="K10" s="91"/>
      <c r="L10" s="91"/>
      <c r="M10" s="91"/>
      <c r="N10" s="91"/>
      <c r="O10" s="91"/>
    </row>
    <row r="11" spans="1:23" ht="15" customHeight="1" x14ac:dyDescent="0.25">
      <c r="A11" s="60"/>
      <c r="B11" s="56" t="s">
        <v>5</v>
      </c>
      <c r="C11" s="56" t="s">
        <v>6</v>
      </c>
      <c r="D11" s="56" t="s">
        <v>7</v>
      </c>
      <c r="E11" s="56" t="s">
        <v>8</v>
      </c>
      <c r="F11" s="56" t="s">
        <v>9</v>
      </c>
      <c r="G11" s="56" t="s">
        <v>10</v>
      </c>
      <c r="H11" s="56" t="s">
        <v>11</v>
      </c>
      <c r="I11" s="56" t="s">
        <v>12</v>
      </c>
      <c r="J11" s="56" t="s">
        <v>13</v>
      </c>
      <c r="K11" s="56" t="s">
        <v>14</v>
      </c>
      <c r="L11" s="56" t="s">
        <v>15</v>
      </c>
      <c r="M11" s="56" t="s">
        <v>16</v>
      </c>
      <c r="N11" s="56" t="s">
        <v>30</v>
      </c>
      <c r="O11" s="56" t="s">
        <v>31</v>
      </c>
      <c r="Q11" s="56" t="s">
        <v>66</v>
      </c>
      <c r="R11" s="95" t="s">
        <v>57</v>
      </c>
      <c r="S11" s="96"/>
      <c r="T11" s="96"/>
      <c r="U11" s="96"/>
      <c r="V11" s="96"/>
      <c r="W11" s="96"/>
    </row>
    <row r="12" spans="1:23" x14ac:dyDescent="0.25">
      <c r="A12" s="60">
        <v>2025</v>
      </c>
      <c r="B12" s="47">
        <v>1513</v>
      </c>
      <c r="C12" s="10">
        <v>1279</v>
      </c>
      <c r="D12" s="10">
        <v>936</v>
      </c>
      <c r="E12" s="10">
        <v>1083</v>
      </c>
      <c r="F12" s="10">
        <v>1147</v>
      </c>
      <c r="G12" s="10">
        <v>1384</v>
      </c>
      <c r="H12" s="10">
        <v>2457</v>
      </c>
      <c r="I12" s="10">
        <v>1499</v>
      </c>
      <c r="J12" s="10">
        <v>2458</v>
      </c>
      <c r="K12" s="39">
        <v>2963</v>
      </c>
      <c r="L12" s="39">
        <f>J12*(1+Q12)</f>
        <v>2752.96</v>
      </c>
      <c r="M12" s="39">
        <f>J12*(1+Q12)</f>
        <v>2752.96</v>
      </c>
      <c r="N12" s="10">
        <f>SUM(B12:M12)</f>
        <v>22224.92</v>
      </c>
      <c r="O12" s="22">
        <f>AVERAGE(B12:M12)</f>
        <v>1852.0766666666666</v>
      </c>
      <c r="P12" s="79">
        <f>SUM(B12:K12)</f>
        <v>16719</v>
      </c>
      <c r="Q12" s="20">
        <v>0.12</v>
      </c>
      <c r="R12" s="80" t="s">
        <v>67</v>
      </c>
      <c r="S12" s="80"/>
      <c r="T12" s="80"/>
      <c r="U12" s="80"/>
      <c r="V12" s="80"/>
      <c r="W12" s="80"/>
    </row>
    <row r="13" spans="1:23" x14ac:dyDescent="0.25">
      <c r="A13" s="61" t="s">
        <v>29</v>
      </c>
      <c r="B13" s="48">
        <f t="shared" ref="B13:J13" si="0">B12*B14</f>
        <v>73386.132335766364</v>
      </c>
      <c r="C13" s="3">
        <f t="shared" si="0"/>
        <v>53465.338143664223</v>
      </c>
      <c r="D13" s="3">
        <f t="shared" si="0"/>
        <v>41250.902955032128</v>
      </c>
      <c r="E13" s="3">
        <f t="shared" si="0"/>
        <v>50809.488590733556</v>
      </c>
      <c r="F13" s="3">
        <f t="shared" si="0"/>
        <v>59934.067353198931</v>
      </c>
      <c r="G13" s="3">
        <f t="shared" si="0"/>
        <v>95196.162933088926</v>
      </c>
      <c r="H13" s="3">
        <f t="shared" si="0"/>
        <v>106946.43278363584</v>
      </c>
      <c r="I13" s="3">
        <f t="shared" si="0"/>
        <v>68708.928848122945</v>
      </c>
      <c r="J13" s="3">
        <f t="shared" si="0"/>
        <v>101600.4467999999</v>
      </c>
      <c r="K13" s="40">
        <f>K12*K14</f>
        <v>132386.84</v>
      </c>
      <c r="L13" s="40">
        <f>L12*O14</f>
        <v>131668.604003407</v>
      </c>
      <c r="M13" s="40">
        <f>M12*O14</f>
        <v>131668.604003407</v>
      </c>
      <c r="N13" s="3">
        <f>SUM(B13:M13)</f>
        <v>1047021.948750057</v>
      </c>
      <c r="O13" s="22">
        <f>AVERAGE(B13:M13)</f>
        <v>87251.829062504752</v>
      </c>
      <c r="Q13" s="20"/>
    </row>
    <row r="14" spans="1:23" x14ac:dyDescent="0.25">
      <c r="A14" s="62" t="s">
        <v>92</v>
      </c>
      <c r="B14" s="49">
        <v>48.50372262773719</v>
      </c>
      <c r="C14" s="44">
        <v>41.802453591606117</v>
      </c>
      <c r="D14" s="44">
        <v>44.071477516059964</v>
      </c>
      <c r="E14" s="44">
        <v>46.915501930501897</v>
      </c>
      <c r="F14" s="44">
        <v>52.2528921998247</v>
      </c>
      <c r="G14" s="44">
        <v>68.783354720439974</v>
      </c>
      <c r="H14" s="44">
        <v>43.527241670181461</v>
      </c>
      <c r="I14" s="44">
        <v>45.836510238907898</v>
      </c>
      <c r="J14" s="44">
        <v>41.334599999999959</v>
      </c>
      <c r="K14" s="45">
        <v>44.68</v>
      </c>
      <c r="L14" s="45">
        <v>48.114194943917688</v>
      </c>
      <c r="M14" s="45">
        <v>48.114194943917688</v>
      </c>
      <c r="N14" s="44"/>
      <c r="O14" s="46">
        <f>AVERAGE(B14:M14)</f>
        <v>47.828012031924551</v>
      </c>
      <c r="Q14" s="19"/>
    </row>
    <row r="15" spans="1:23" x14ac:dyDescent="0.25">
      <c r="A15" s="61"/>
    </row>
    <row r="16" spans="1:23" ht="21" x14ac:dyDescent="0.25">
      <c r="A16" s="60"/>
      <c r="B16" s="91" t="s">
        <v>28</v>
      </c>
      <c r="C16" s="91"/>
      <c r="D16" s="91"/>
      <c r="E16" s="91"/>
      <c r="F16" s="91"/>
      <c r="G16" s="91"/>
      <c r="H16" s="91"/>
      <c r="I16" s="91"/>
      <c r="J16" s="91"/>
      <c r="K16" s="91"/>
      <c r="L16" s="91"/>
      <c r="M16" s="91"/>
      <c r="N16" s="91"/>
      <c r="O16" s="91"/>
    </row>
    <row r="17" spans="1:23" x14ac:dyDescent="0.25">
      <c r="A17" s="63"/>
      <c r="B17" s="56" t="s">
        <v>5</v>
      </c>
      <c r="C17" s="56" t="s">
        <v>6</v>
      </c>
      <c r="D17" s="56" t="s">
        <v>7</v>
      </c>
      <c r="E17" s="56" t="s">
        <v>8</v>
      </c>
      <c r="F17" s="56" t="s">
        <v>9</v>
      </c>
      <c r="G17" s="56" t="s">
        <v>10</v>
      </c>
      <c r="H17" s="56" t="s">
        <v>11</v>
      </c>
      <c r="I17" s="56" t="s">
        <v>12</v>
      </c>
      <c r="J17" s="56" t="s">
        <v>13</v>
      </c>
      <c r="K17" s="56" t="s">
        <v>14</v>
      </c>
      <c r="L17" s="56" t="s">
        <v>15</v>
      </c>
      <c r="M17" s="56" t="s">
        <v>16</v>
      </c>
      <c r="N17" s="56" t="s">
        <v>30</v>
      </c>
      <c r="O17" s="56" t="s">
        <v>31</v>
      </c>
      <c r="Q17" s="56" t="s">
        <v>66</v>
      </c>
      <c r="R17" s="95" t="s">
        <v>57</v>
      </c>
      <c r="S17" s="96"/>
      <c r="T17" s="96"/>
      <c r="U17" s="96"/>
      <c r="V17" s="96"/>
      <c r="W17" s="96"/>
    </row>
    <row r="18" spans="1:23" x14ac:dyDescent="0.25">
      <c r="A18" s="60">
        <v>2025</v>
      </c>
      <c r="B18" s="10">
        <v>175659</v>
      </c>
      <c r="C18" s="10">
        <v>200806</v>
      </c>
      <c r="D18" s="10">
        <v>181310</v>
      </c>
      <c r="E18" s="10">
        <v>198138</v>
      </c>
      <c r="F18" s="10">
        <v>173320</v>
      </c>
      <c r="G18" s="10">
        <v>146913</v>
      </c>
      <c r="H18" s="10">
        <v>199207</v>
      </c>
      <c r="I18" s="10">
        <v>173629</v>
      </c>
      <c r="J18" s="10">
        <v>187476</v>
      </c>
      <c r="K18" s="39">
        <v>172009</v>
      </c>
      <c r="L18" s="39">
        <f>AVERAGE(B18:K18)</f>
        <v>180846.7</v>
      </c>
      <c r="M18" s="39">
        <f>AVERAGE(B18:L18)</f>
        <v>180846.69999999998</v>
      </c>
      <c r="N18" s="10">
        <f>SUM(B18:M18)</f>
        <v>2170160.4</v>
      </c>
      <c r="O18" s="22">
        <f>AVERAGE(B18:J18)</f>
        <v>181828.66666666666</v>
      </c>
      <c r="P18" s="79">
        <f>SUM(B18:K18)</f>
        <v>1808467</v>
      </c>
      <c r="Q18" s="20"/>
      <c r="R18" s="89" t="s">
        <v>93</v>
      </c>
      <c r="S18" s="89"/>
      <c r="T18" s="89"/>
      <c r="U18" s="89"/>
      <c r="V18" s="89"/>
      <c r="W18" s="89"/>
    </row>
    <row r="19" spans="1:23" ht="21.6" customHeight="1" x14ac:dyDescent="0.25">
      <c r="A19" s="61" t="s">
        <v>29</v>
      </c>
      <c r="B19" s="3">
        <f t="shared" ref="B19:J19" si="1">B18*B20</f>
        <v>784669.97783193726</v>
      </c>
      <c r="C19" s="3">
        <f t="shared" si="1"/>
        <v>511610.28905553033</v>
      </c>
      <c r="D19" s="3">
        <f t="shared" si="1"/>
        <v>637973.68230931775</v>
      </c>
      <c r="E19" s="3">
        <f t="shared" si="1"/>
        <v>769225.70616049308</v>
      </c>
      <c r="F19" s="3">
        <f t="shared" si="1"/>
        <v>720470.66066116106</v>
      </c>
      <c r="G19" s="3">
        <f t="shared" si="1"/>
        <v>548514.71708137332</v>
      </c>
      <c r="H19" s="3">
        <f t="shared" si="1"/>
        <v>527523.2651556239</v>
      </c>
      <c r="I19" s="3">
        <f t="shared" si="1"/>
        <v>520291.18109590752</v>
      </c>
      <c r="J19" s="3">
        <f t="shared" si="1"/>
        <v>365788.02844078321</v>
      </c>
      <c r="K19" s="40">
        <f>K20*K18</f>
        <v>631273.03</v>
      </c>
      <c r="L19" s="40">
        <f>P20*L18</f>
        <v>600411.04399999999</v>
      </c>
      <c r="M19" s="40">
        <f>P20*M18</f>
        <v>600411.04399999988</v>
      </c>
      <c r="N19" s="3">
        <f>SUM(B19:M19)</f>
        <v>7218162.6257921262</v>
      </c>
      <c r="O19" s="22">
        <f>AVERAGE(B19:M19)</f>
        <v>601513.55214934389</v>
      </c>
    </row>
    <row r="20" spans="1:23" x14ac:dyDescent="0.25">
      <c r="A20" s="64" t="s">
        <v>90</v>
      </c>
      <c r="B20" s="44">
        <v>4.4670069727821362</v>
      </c>
      <c r="C20" s="44">
        <v>2.5477838762563385</v>
      </c>
      <c r="D20" s="44">
        <v>3.5186899912267267</v>
      </c>
      <c r="E20" s="44">
        <v>3.882272487662604</v>
      </c>
      <c r="F20" s="44">
        <v>4.1568812639116146</v>
      </c>
      <c r="G20" s="44">
        <v>3.7336023162100922</v>
      </c>
      <c r="H20" s="44">
        <v>2.6481161061389602</v>
      </c>
      <c r="I20" s="44">
        <v>2.9965684367007097</v>
      </c>
      <c r="J20" s="44">
        <v>1.95111922827873</v>
      </c>
      <c r="K20" s="45">
        <v>3.67</v>
      </c>
      <c r="L20" s="45">
        <f>L19/L18</f>
        <v>3.32</v>
      </c>
      <c r="M20" s="45">
        <f t="shared" ref="M20" si="2">M19/M18</f>
        <v>3.32</v>
      </c>
      <c r="N20" s="44"/>
      <c r="O20" s="46">
        <f>AVERAGE(B20:M20)</f>
        <v>3.3510033899306593</v>
      </c>
      <c r="P20" s="42">
        <v>3.32</v>
      </c>
    </row>
    <row r="21" spans="1:23" x14ac:dyDescent="0.25">
      <c r="A21" s="61"/>
    </row>
    <row r="22" spans="1:23" ht="21" x14ac:dyDescent="0.25">
      <c r="A22" s="60"/>
      <c r="B22" s="91" t="s">
        <v>17</v>
      </c>
      <c r="C22" s="91"/>
      <c r="D22" s="91"/>
      <c r="E22" s="91"/>
      <c r="F22" s="91"/>
      <c r="G22" s="91"/>
      <c r="H22" s="91"/>
      <c r="I22" s="91"/>
      <c r="J22" s="91"/>
      <c r="K22" s="91"/>
      <c r="L22" s="91"/>
      <c r="M22" s="91"/>
      <c r="N22" s="91"/>
      <c r="O22" s="91"/>
    </row>
    <row r="23" spans="1:23" x14ac:dyDescent="0.25">
      <c r="A23" s="60"/>
      <c r="B23" s="56" t="s">
        <v>5</v>
      </c>
      <c r="C23" s="56" t="s">
        <v>6</v>
      </c>
      <c r="D23" s="56" t="s">
        <v>7</v>
      </c>
      <c r="E23" s="56" t="s">
        <v>8</v>
      </c>
      <c r="F23" s="56" t="s">
        <v>9</v>
      </c>
      <c r="G23" s="56" t="s">
        <v>10</v>
      </c>
      <c r="H23" s="56" t="s">
        <v>11</v>
      </c>
      <c r="I23" s="56" t="s">
        <v>12</v>
      </c>
      <c r="J23" s="56" t="s">
        <v>13</v>
      </c>
      <c r="K23" s="56" t="s">
        <v>14</v>
      </c>
      <c r="L23" s="56" t="s">
        <v>15</v>
      </c>
      <c r="M23" s="56" t="s">
        <v>16</v>
      </c>
      <c r="N23" s="56" t="s">
        <v>30</v>
      </c>
      <c r="O23" s="56" t="s">
        <v>31</v>
      </c>
      <c r="Q23" s="56" t="s">
        <v>66</v>
      </c>
      <c r="R23" s="95" t="s">
        <v>57</v>
      </c>
      <c r="S23" s="96"/>
      <c r="T23" s="96"/>
      <c r="U23" s="96"/>
      <c r="V23" s="96"/>
      <c r="W23" s="96"/>
    </row>
    <row r="24" spans="1:23" x14ac:dyDescent="0.25">
      <c r="A24" s="60">
        <v>2025</v>
      </c>
      <c r="B24" s="10">
        <v>2996</v>
      </c>
      <c r="C24" s="10">
        <v>2276</v>
      </c>
      <c r="D24" s="10">
        <v>1887</v>
      </c>
      <c r="E24" s="10">
        <v>2149</v>
      </c>
      <c r="F24" s="10">
        <v>1877</v>
      </c>
      <c r="G24" s="10">
        <v>2220</v>
      </c>
      <c r="H24" s="10">
        <v>2310</v>
      </c>
      <c r="I24" s="10">
        <v>4613</v>
      </c>
      <c r="J24" s="10">
        <v>4376</v>
      </c>
      <c r="K24" s="39">
        <v>3764</v>
      </c>
      <c r="L24" s="39">
        <f>AVERAGE(B24:K24)</f>
        <v>2846.8</v>
      </c>
      <c r="M24" s="39">
        <f>AVERAGE(B24:L24)</f>
        <v>2846.7999999999997</v>
      </c>
      <c r="N24" s="10">
        <f>SUM(B24:M24)</f>
        <v>34161.599999999999</v>
      </c>
      <c r="O24" s="22">
        <f>AVERAGE(B24:M24)</f>
        <v>2846.7999999999997</v>
      </c>
      <c r="P24" s="79">
        <f>SUM(B24:K24)</f>
        <v>28468</v>
      </c>
      <c r="Q24" s="20"/>
      <c r="R24" s="89" t="s">
        <v>93</v>
      </c>
      <c r="S24" s="89"/>
      <c r="T24" s="89"/>
      <c r="U24" s="89"/>
      <c r="V24" s="89"/>
      <c r="W24" s="89"/>
    </row>
    <row r="25" spans="1:23" x14ac:dyDescent="0.25">
      <c r="A25" s="61" t="s">
        <v>29</v>
      </c>
      <c r="B25" s="3">
        <f t="shared" ref="B25:J25" si="3">B24*B26</f>
        <v>136025.79628488954</v>
      </c>
      <c r="C25" s="3">
        <f t="shared" si="3"/>
        <v>100973.49813492052</v>
      </c>
      <c r="D25" s="3">
        <f t="shared" si="3"/>
        <v>76710.079276527365</v>
      </c>
      <c r="E25" s="3">
        <f t="shared" si="3"/>
        <v>102396.55701499495</v>
      </c>
      <c r="F25" s="3">
        <f t="shared" si="3"/>
        <v>100473.45000000027</v>
      </c>
      <c r="G25" s="3">
        <f t="shared" si="3"/>
        <v>112231.50573613736</v>
      </c>
      <c r="H25" s="3">
        <f t="shared" si="3"/>
        <v>115494.73723547942</v>
      </c>
      <c r="I25" s="3">
        <f t="shared" si="3"/>
        <v>195573.67996029989</v>
      </c>
      <c r="J25" s="3">
        <f t="shared" si="3"/>
        <v>183756.72380237668</v>
      </c>
      <c r="K25" s="71">
        <f>K24*P26</f>
        <v>174204.86187745086</v>
      </c>
      <c r="L25" s="71">
        <f>L24*P26</f>
        <v>131755.15430199978</v>
      </c>
      <c r="M25" s="71">
        <f>M24*P26</f>
        <v>131755.15430199975</v>
      </c>
      <c r="N25" s="3">
        <f>SUM(B25:M25)</f>
        <v>1561351.1979270766</v>
      </c>
      <c r="O25" s="22">
        <f>AVERAGE(B25:M25)</f>
        <v>130112.59982725639</v>
      </c>
    </row>
    <row r="26" spans="1:23" x14ac:dyDescent="0.25">
      <c r="A26" s="62" t="s">
        <v>91</v>
      </c>
      <c r="B26" s="11">
        <v>45.402468719923078</v>
      </c>
      <c r="C26" s="11">
        <v>44.364454365079311</v>
      </c>
      <c r="D26" s="11">
        <v>40.651870310825309</v>
      </c>
      <c r="E26" s="11">
        <v>47.648467666354094</v>
      </c>
      <c r="F26" s="11">
        <v>53.528742674480696</v>
      </c>
      <c r="G26" s="11">
        <v>50.554732313575386</v>
      </c>
      <c r="H26" s="11">
        <v>49.997721746960785</v>
      </c>
      <c r="I26" s="11">
        <v>42.396202029113354</v>
      </c>
      <c r="J26" s="11">
        <v>41.991938711694857</v>
      </c>
      <c r="K26" s="41">
        <f>K25/K24</f>
        <v>46.281844282000762</v>
      </c>
      <c r="L26" s="41">
        <f t="shared" ref="L26:M26" si="4">L25/L24</f>
        <v>46.281844282000762</v>
      </c>
      <c r="M26" s="41">
        <f t="shared" si="4"/>
        <v>46.281844282000762</v>
      </c>
      <c r="N26" s="11"/>
      <c r="O26" s="23">
        <f>AVERAGE(B26:M26)</f>
        <v>46.281844282000755</v>
      </c>
      <c r="P26" s="43">
        <v>46.281844282000762</v>
      </c>
    </row>
    <row r="27" spans="1:23" x14ac:dyDescent="0.25">
      <c r="A27" s="65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50"/>
      <c r="O27" s="25"/>
    </row>
    <row r="29" spans="1:23" ht="37.5" customHeight="1" x14ac:dyDescent="0.45">
      <c r="A29" s="54"/>
      <c r="B29" s="86" t="s">
        <v>33</v>
      </c>
      <c r="C29" s="86"/>
      <c r="D29" s="86"/>
      <c r="E29" s="86"/>
      <c r="F29" s="86"/>
      <c r="G29" s="86"/>
      <c r="H29" s="86"/>
      <c r="I29" s="86"/>
      <c r="J29" s="86"/>
      <c r="K29" s="86"/>
      <c r="L29" s="86"/>
      <c r="M29" s="86"/>
      <c r="N29" s="58"/>
      <c r="O29" s="58"/>
      <c r="P29" s="58"/>
      <c r="Q29" s="58"/>
      <c r="R29" s="58"/>
      <c r="S29" s="58"/>
    </row>
    <row r="30" spans="1:23" ht="18.75" customHeight="1" x14ac:dyDescent="0.45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59"/>
      <c r="O30" s="59"/>
      <c r="P30" s="59"/>
      <c r="Q30" s="59"/>
      <c r="R30" s="59"/>
      <c r="S30" s="59"/>
    </row>
    <row r="31" spans="1:23" ht="26.25" x14ac:dyDescent="0.25">
      <c r="A31" s="7" t="s">
        <v>4</v>
      </c>
      <c r="B31" s="88" t="s">
        <v>28</v>
      </c>
      <c r="C31" s="88"/>
      <c r="D31" s="88"/>
      <c r="E31" s="88"/>
      <c r="F31" s="88"/>
      <c r="G31" s="88"/>
      <c r="H31" s="88"/>
      <c r="I31" s="88"/>
      <c r="J31" s="88"/>
      <c r="K31" s="88"/>
      <c r="L31" s="88"/>
      <c r="M31" s="88"/>
    </row>
    <row r="32" spans="1:23" ht="15" customHeight="1" x14ac:dyDescent="0.25">
      <c r="A32" s="2"/>
      <c r="B32" s="56" t="s">
        <v>5</v>
      </c>
      <c r="C32" s="56" t="s">
        <v>6</v>
      </c>
      <c r="D32" s="56" t="s">
        <v>7</v>
      </c>
      <c r="E32" s="56" t="s">
        <v>8</v>
      </c>
      <c r="F32" s="56" t="s">
        <v>9</v>
      </c>
      <c r="G32" s="56" t="s">
        <v>10</v>
      </c>
      <c r="H32" s="56" t="s">
        <v>11</v>
      </c>
      <c r="I32" s="56" t="s">
        <v>12</v>
      </c>
      <c r="J32" s="56" t="s">
        <v>13</v>
      </c>
      <c r="K32" s="56" t="s">
        <v>14</v>
      </c>
      <c r="L32" s="56" t="s">
        <v>15</v>
      </c>
      <c r="M32" s="56" t="s">
        <v>16</v>
      </c>
      <c r="O32" s="56" t="s">
        <v>70</v>
      </c>
      <c r="P32" s="81" t="s">
        <v>57</v>
      </c>
      <c r="Q32" s="82"/>
      <c r="R32" s="82"/>
      <c r="S32" s="83"/>
    </row>
    <row r="33" spans="1:20" x14ac:dyDescent="0.25">
      <c r="A33" s="2" t="s">
        <v>89</v>
      </c>
      <c r="B33" s="70">
        <v>355513</v>
      </c>
      <c r="C33" s="70">
        <v>256084</v>
      </c>
      <c r="D33" s="70">
        <v>259468</v>
      </c>
      <c r="E33" s="70">
        <v>262386</v>
      </c>
      <c r="F33" s="70">
        <v>246586</v>
      </c>
      <c r="G33" s="70">
        <v>305569</v>
      </c>
      <c r="H33" s="70">
        <v>329025.90000000002</v>
      </c>
      <c r="I33" s="70">
        <v>299497.8</v>
      </c>
      <c r="J33" s="70">
        <v>343180.83999999997</v>
      </c>
      <c r="K33" s="70">
        <v>356398.76</v>
      </c>
      <c r="L33" s="70">
        <v>316897.59999999998</v>
      </c>
      <c r="M33" s="70">
        <v>262587.2</v>
      </c>
      <c r="O33" s="16"/>
    </row>
    <row r="34" spans="1:20" x14ac:dyDescent="0.25">
      <c r="A34" s="2" t="s">
        <v>34</v>
      </c>
      <c r="B34" s="15">
        <f>B33*($O$34)</f>
        <v>106653.9</v>
      </c>
      <c r="C34" s="15">
        <f t="shared" ref="C34:M34" si="5">C33*($O$34)</f>
        <v>76825.2</v>
      </c>
      <c r="D34" s="15">
        <f t="shared" si="5"/>
        <v>77840.399999999994</v>
      </c>
      <c r="E34" s="15">
        <f t="shared" si="5"/>
        <v>78715.8</v>
      </c>
      <c r="F34" s="15">
        <f t="shared" si="5"/>
        <v>73975.8</v>
      </c>
      <c r="G34" s="15">
        <f t="shared" si="5"/>
        <v>91670.7</v>
      </c>
      <c r="H34" s="15">
        <f t="shared" si="5"/>
        <v>98707.77</v>
      </c>
      <c r="I34" s="15">
        <f t="shared" si="5"/>
        <v>89849.34</v>
      </c>
      <c r="J34" s="15">
        <f t="shared" si="5"/>
        <v>102954.25199999999</v>
      </c>
      <c r="K34" s="15">
        <f t="shared" si="5"/>
        <v>106919.628</v>
      </c>
      <c r="L34" s="15">
        <f t="shared" si="5"/>
        <v>95069.279999999984</v>
      </c>
      <c r="M34" s="15">
        <f t="shared" si="5"/>
        <v>78776.160000000003</v>
      </c>
      <c r="O34" s="20">
        <v>0.3</v>
      </c>
      <c r="P34" s="89" t="s">
        <v>68</v>
      </c>
      <c r="Q34" s="89"/>
      <c r="R34" s="89"/>
      <c r="S34" s="89"/>
    </row>
    <row r="35" spans="1:20" x14ac:dyDescent="0.25">
      <c r="A35" s="2" t="s">
        <v>35</v>
      </c>
      <c r="B35" s="15">
        <v>3513</v>
      </c>
      <c r="C35" s="15">
        <v>3215</v>
      </c>
      <c r="D35" s="15">
        <v>3265</v>
      </c>
      <c r="E35" s="15">
        <v>3091</v>
      </c>
      <c r="F35" s="15">
        <v>3015</v>
      </c>
      <c r="G35" s="15">
        <v>2851</v>
      </c>
      <c r="H35" s="15">
        <v>2769</v>
      </c>
      <c r="I35" s="15">
        <v>2643</v>
      </c>
      <c r="J35" s="15">
        <v>2551</v>
      </c>
      <c r="K35" s="15">
        <v>2459</v>
      </c>
      <c r="L35" s="15">
        <v>2311</v>
      </c>
      <c r="M35" s="15">
        <v>2211</v>
      </c>
      <c r="O35" s="20">
        <v>0.01</v>
      </c>
      <c r="P35" s="89" t="s">
        <v>69</v>
      </c>
      <c r="Q35" s="89"/>
      <c r="R35" s="89"/>
      <c r="S35" s="89"/>
    </row>
    <row r="36" spans="1:20" x14ac:dyDescent="0.25">
      <c r="A36" s="2" t="s">
        <v>46</v>
      </c>
      <c r="B36" s="15">
        <f>(B33-(B34+B35))*($O$36)</f>
        <v>9813.844000000001</v>
      </c>
      <c r="C36" s="15">
        <f t="shared" ref="C36:M36" si="6">(C33-(C34+C35))*($O$36)</f>
        <v>7041.7519999999995</v>
      </c>
      <c r="D36" s="15">
        <f t="shared" si="6"/>
        <v>7134.5040000000008</v>
      </c>
      <c r="E36" s="15">
        <f t="shared" si="6"/>
        <v>7223.1680000000006</v>
      </c>
      <c r="F36" s="15">
        <f t="shared" si="6"/>
        <v>6783.8080000000009</v>
      </c>
      <c r="G36" s="15">
        <f t="shared" si="6"/>
        <v>8441.8919999999998</v>
      </c>
      <c r="H36" s="15">
        <f t="shared" si="6"/>
        <v>9101.9652000000006</v>
      </c>
      <c r="I36" s="15">
        <f t="shared" si="6"/>
        <v>8280.2183999999997</v>
      </c>
      <c r="J36" s="15">
        <f t="shared" si="6"/>
        <v>9507.0235200000006</v>
      </c>
      <c r="K36" s="15">
        <f t="shared" si="6"/>
        <v>9880.8052800000005</v>
      </c>
      <c r="L36" s="15">
        <f t="shared" si="6"/>
        <v>8780.6928000000007</v>
      </c>
      <c r="M36" s="15">
        <f t="shared" si="6"/>
        <v>7264.0016000000005</v>
      </c>
      <c r="O36" s="20">
        <v>0.04</v>
      </c>
      <c r="P36" s="89" t="s">
        <v>71</v>
      </c>
      <c r="Q36" s="89"/>
      <c r="R36" s="89"/>
      <c r="S36" s="89"/>
    </row>
    <row r="37" spans="1:20" x14ac:dyDescent="0.25">
      <c r="A37" s="2" t="s">
        <v>36</v>
      </c>
      <c r="B37" s="15">
        <f>B33-(B34+B35+B36)</f>
        <v>235532.25599999999</v>
      </c>
      <c r="C37" s="15">
        <f t="shared" ref="C37:M37" si="7">C33-(C34+C35+C36)</f>
        <v>169002.04800000001</v>
      </c>
      <c r="D37" s="15">
        <f t="shared" si="7"/>
        <v>171228.09600000002</v>
      </c>
      <c r="E37" s="15">
        <f t="shared" si="7"/>
        <v>173356.03200000001</v>
      </c>
      <c r="F37" s="15">
        <f t="shared" si="7"/>
        <v>162811.39199999999</v>
      </c>
      <c r="G37" s="15">
        <f t="shared" si="7"/>
        <v>202605.408</v>
      </c>
      <c r="H37" s="15">
        <f t="shared" si="7"/>
        <v>218447.16480000003</v>
      </c>
      <c r="I37" s="15">
        <f t="shared" si="7"/>
        <v>198725.24160000001</v>
      </c>
      <c r="J37" s="15">
        <f t="shared" si="7"/>
        <v>228168.56447999997</v>
      </c>
      <c r="K37" s="15">
        <f t="shared" si="7"/>
        <v>237139.32672000001</v>
      </c>
      <c r="L37" s="15">
        <f t="shared" si="7"/>
        <v>210736.62719999999</v>
      </c>
      <c r="M37" s="15">
        <f t="shared" si="7"/>
        <v>174336.03840000002</v>
      </c>
      <c r="N37" s="21">
        <f>SUM(B37:M37)</f>
        <v>2382088.1952</v>
      </c>
      <c r="O37" s="20">
        <v>0.06</v>
      </c>
      <c r="P37" s="89" t="s">
        <v>94</v>
      </c>
      <c r="Q37" s="89"/>
      <c r="R37" s="89"/>
      <c r="S37" s="89"/>
    </row>
    <row r="38" spans="1:20" x14ac:dyDescent="0.25">
      <c r="A38" s="2" t="s">
        <v>47</v>
      </c>
      <c r="B38" s="17">
        <f>$O$20</f>
        <v>3.3510033899306593</v>
      </c>
      <c r="C38" s="17">
        <f t="shared" ref="C38:D38" si="8">$O$20</f>
        <v>3.3510033899306593</v>
      </c>
      <c r="D38" s="17">
        <f t="shared" si="8"/>
        <v>3.3510033899306593</v>
      </c>
      <c r="E38" s="17">
        <f>$O$20*(1+$O$37)</f>
        <v>3.552063593326499</v>
      </c>
      <c r="F38" s="17">
        <f t="shared" ref="F38:M38" si="9">$O$20*(1+$O$37)</f>
        <v>3.552063593326499</v>
      </c>
      <c r="G38" s="17">
        <f t="shared" si="9"/>
        <v>3.552063593326499</v>
      </c>
      <c r="H38" s="17">
        <f t="shared" si="9"/>
        <v>3.552063593326499</v>
      </c>
      <c r="I38" s="17">
        <f t="shared" si="9"/>
        <v>3.552063593326499</v>
      </c>
      <c r="J38" s="17">
        <f t="shared" si="9"/>
        <v>3.552063593326499</v>
      </c>
      <c r="K38" s="17">
        <f t="shared" si="9"/>
        <v>3.552063593326499</v>
      </c>
      <c r="L38" s="17">
        <f t="shared" si="9"/>
        <v>3.552063593326499</v>
      </c>
      <c r="M38" s="17">
        <f t="shared" si="9"/>
        <v>3.552063593326499</v>
      </c>
      <c r="O38" s="16"/>
    </row>
    <row r="39" spans="1:20" x14ac:dyDescent="0.25">
      <c r="A39" s="19" t="s">
        <v>42</v>
      </c>
      <c r="B39" s="18">
        <f>B37*B38</f>
        <v>789269.38829401589</v>
      </c>
      <c r="C39" s="18">
        <f t="shared" ref="C39:M39" si="10">C37*C38</f>
        <v>566326.43575322407</v>
      </c>
      <c r="D39" s="18">
        <f t="shared" si="10"/>
        <v>573785.93014737242</v>
      </c>
      <c r="E39" s="18">
        <f t="shared" si="10"/>
        <v>615771.64995074354</v>
      </c>
      <c r="F39" s="18">
        <f t="shared" si="10"/>
        <v>578316.41810200922</v>
      </c>
      <c r="G39" s="18">
        <f t="shared" si="10"/>
        <v>719667.29356786143</v>
      </c>
      <c r="H39" s="18">
        <f t="shared" si="10"/>
        <v>775938.22115147405</v>
      </c>
      <c r="I39" s="18">
        <f t="shared" si="10"/>
        <v>705884.69576237269</v>
      </c>
      <c r="J39" s="18">
        <f t="shared" si="10"/>
        <v>810469.2510309777</v>
      </c>
      <c r="K39" s="18">
        <f t="shared" si="10"/>
        <v>842333.96898806992</v>
      </c>
      <c r="L39" s="18">
        <f t="shared" si="10"/>
        <v>748549.90125753882</v>
      </c>
      <c r="M39" s="18">
        <f t="shared" si="10"/>
        <v>619252.69500541058</v>
      </c>
      <c r="O39" s="16"/>
    </row>
    <row r="41" spans="1:20" x14ac:dyDescent="0.25">
      <c r="B41" s="1"/>
    </row>
    <row r="42" spans="1:20" ht="26.25" x14ac:dyDescent="0.25">
      <c r="A42" s="7"/>
      <c r="B42" s="88" t="s">
        <v>18</v>
      </c>
      <c r="C42" s="88"/>
      <c r="D42" s="88"/>
      <c r="E42" s="88"/>
      <c r="F42" s="88"/>
      <c r="G42" s="88"/>
      <c r="H42" s="88"/>
      <c r="I42" s="88"/>
      <c r="J42" s="88"/>
      <c r="K42" s="88"/>
      <c r="L42" s="88"/>
      <c r="M42" s="88"/>
    </row>
    <row r="43" spans="1:20" ht="15" customHeight="1" x14ac:dyDescent="0.25">
      <c r="A43" s="2"/>
      <c r="B43" s="56" t="s">
        <v>5</v>
      </c>
      <c r="C43" s="56" t="s">
        <v>6</v>
      </c>
      <c r="D43" s="56" t="s">
        <v>7</v>
      </c>
      <c r="E43" s="56" t="s">
        <v>8</v>
      </c>
      <c r="F43" s="56" t="s">
        <v>9</v>
      </c>
      <c r="G43" s="56" t="s">
        <v>10</v>
      </c>
      <c r="H43" s="56" t="s">
        <v>11</v>
      </c>
      <c r="I43" s="56" t="s">
        <v>12</v>
      </c>
      <c r="J43" s="56" t="s">
        <v>13</v>
      </c>
      <c r="K43" s="56" t="s">
        <v>14</v>
      </c>
      <c r="L43" s="56" t="s">
        <v>15</v>
      </c>
      <c r="M43" s="56" t="s">
        <v>16</v>
      </c>
      <c r="O43" s="56" t="s">
        <v>70</v>
      </c>
      <c r="P43" s="81" t="s">
        <v>57</v>
      </c>
      <c r="Q43" s="82"/>
      <c r="R43" s="82"/>
      <c r="S43" s="82"/>
      <c r="T43" s="66"/>
    </row>
    <row r="44" spans="1:20" hidden="1" x14ac:dyDescent="0.25">
      <c r="A44" s="7" t="s">
        <v>39</v>
      </c>
      <c r="B44" s="15">
        <v>355513</v>
      </c>
      <c r="C44" s="15">
        <v>256084</v>
      </c>
      <c r="D44" s="15">
        <v>259468</v>
      </c>
      <c r="E44" s="15">
        <v>262386</v>
      </c>
      <c r="F44" s="15">
        <v>246586</v>
      </c>
      <c r="G44" s="15">
        <v>305569</v>
      </c>
      <c r="H44" s="15">
        <v>329025.90000000002</v>
      </c>
      <c r="I44" s="15">
        <v>299497.8</v>
      </c>
      <c r="J44" s="15">
        <v>343180.83999999997</v>
      </c>
      <c r="K44" s="15">
        <v>356398.76</v>
      </c>
      <c r="L44" s="15">
        <v>316897.59999999998</v>
      </c>
      <c r="M44" s="15">
        <v>262587.2</v>
      </c>
      <c r="O44" s="20">
        <v>0.1</v>
      </c>
      <c r="P44" t="s">
        <v>73</v>
      </c>
    </row>
    <row r="45" spans="1:20" hidden="1" x14ac:dyDescent="0.25">
      <c r="A45" s="7" t="s">
        <v>34</v>
      </c>
      <c r="B45" s="15">
        <f>B44*0.3</f>
        <v>106653.9</v>
      </c>
      <c r="C45" s="15">
        <f t="shared" ref="C45" si="11">C44*0.3</f>
        <v>76825.2</v>
      </c>
      <c r="D45" s="15">
        <f t="shared" ref="D45" si="12">D44*0.3</f>
        <v>77840.399999999994</v>
      </c>
      <c r="E45" s="15">
        <f t="shared" ref="E45" si="13">E44*0.3</f>
        <v>78715.8</v>
      </c>
      <c r="F45" s="15">
        <f t="shared" ref="F45" si="14">F44*0.3</f>
        <v>73975.8</v>
      </c>
      <c r="G45" s="15">
        <f t="shared" ref="G45" si="15">G44*0.3</f>
        <v>91670.7</v>
      </c>
      <c r="H45" s="15">
        <f t="shared" ref="H45" si="16">H44*0.3</f>
        <v>98707.77</v>
      </c>
      <c r="I45" s="15">
        <f t="shared" ref="I45" si="17">I44*0.3</f>
        <v>89849.34</v>
      </c>
      <c r="J45" s="15">
        <f t="shared" ref="J45" si="18">J44*0.3</f>
        <v>102954.25199999999</v>
      </c>
      <c r="K45" s="15">
        <f t="shared" ref="K45" si="19">K44*0.3</f>
        <v>106919.628</v>
      </c>
      <c r="L45" s="15">
        <f t="shared" ref="L45" si="20">L44*0.3</f>
        <v>95069.279999999984</v>
      </c>
      <c r="M45" s="15">
        <f t="shared" ref="M45" si="21">M44*0.3</f>
        <v>78776.160000000003</v>
      </c>
    </row>
    <row r="46" spans="1:20" x14ac:dyDescent="0.25">
      <c r="A46" s="2" t="s">
        <v>35</v>
      </c>
      <c r="B46" s="15">
        <f>B35</f>
        <v>3513</v>
      </c>
      <c r="C46" s="15">
        <f t="shared" ref="C46:M46" si="22">C35</f>
        <v>3215</v>
      </c>
      <c r="D46" s="15">
        <f t="shared" si="22"/>
        <v>3265</v>
      </c>
      <c r="E46" s="15">
        <f t="shared" si="22"/>
        <v>3091</v>
      </c>
      <c r="F46" s="15">
        <f t="shared" si="22"/>
        <v>3015</v>
      </c>
      <c r="G46" s="15">
        <f t="shared" si="22"/>
        <v>2851</v>
      </c>
      <c r="H46" s="15">
        <f t="shared" si="22"/>
        <v>2769</v>
      </c>
      <c r="I46" s="15">
        <f t="shared" si="22"/>
        <v>2643</v>
      </c>
      <c r="J46" s="15">
        <f t="shared" si="22"/>
        <v>2551</v>
      </c>
      <c r="K46" s="15">
        <f t="shared" si="22"/>
        <v>2459</v>
      </c>
      <c r="L46" s="15">
        <f>L35</f>
        <v>2311</v>
      </c>
      <c r="M46" s="15">
        <f t="shared" si="22"/>
        <v>2211</v>
      </c>
      <c r="N46" s="21">
        <f>SUM(B46:M46)</f>
        <v>33894</v>
      </c>
      <c r="O46" s="15">
        <f>SUM(B12:M12)</f>
        <v>22224.92</v>
      </c>
      <c r="P46" t="s">
        <v>95</v>
      </c>
    </row>
    <row r="47" spans="1:20" hidden="1" x14ac:dyDescent="0.25">
      <c r="A47" s="2" t="s">
        <v>36</v>
      </c>
      <c r="B47" s="15">
        <f>B44-(B45+B46)</f>
        <v>245346.1</v>
      </c>
      <c r="C47" s="15">
        <f t="shared" ref="C47" si="23">C44-(C45+C46)</f>
        <v>176043.8</v>
      </c>
      <c r="D47" s="15">
        <f t="shared" ref="D47" si="24">D44-(D45+D46)</f>
        <v>178362.6</v>
      </c>
      <c r="E47" s="15">
        <f t="shared" ref="E47" si="25">E44-(E45+E46)</f>
        <v>180579.20000000001</v>
      </c>
      <c r="F47" s="15">
        <f t="shared" ref="F47" si="26">F44-(F45+F46)</f>
        <v>169595.2</v>
      </c>
      <c r="G47" s="15">
        <f t="shared" ref="G47" si="27">G44-(G45+G46)</f>
        <v>211047.3</v>
      </c>
      <c r="H47" s="15">
        <f t="shared" ref="H47" si="28">H44-(H45+H46)</f>
        <v>227549.13</v>
      </c>
      <c r="I47" s="15">
        <f t="shared" ref="I47" si="29">I44-(I45+I46)</f>
        <v>207005.46</v>
      </c>
      <c r="J47" s="15">
        <f t="shared" ref="J47" si="30">J44-(J45+J46)</f>
        <v>237675.58799999999</v>
      </c>
      <c r="K47" s="15">
        <f t="shared" ref="K47" si="31">K44-(K45+K46)</f>
        <v>247020.13200000001</v>
      </c>
      <c r="L47" s="15">
        <f t="shared" ref="L47" si="32">L44-(L45+L46)</f>
        <v>219517.32</v>
      </c>
      <c r="M47" s="15">
        <f t="shared" ref="M47" si="33">M44-(M45+M46)</f>
        <v>181600.04</v>
      </c>
      <c r="O47" s="15">
        <f t="shared" ref="O47" si="34">SUM(B47:M47)</f>
        <v>2481341.87</v>
      </c>
    </row>
    <row r="48" spans="1:20" x14ac:dyDescent="0.25">
      <c r="A48" s="2" t="s">
        <v>48</v>
      </c>
      <c r="B48" s="17">
        <v>48.11</v>
      </c>
      <c r="C48" s="17">
        <v>48.11</v>
      </c>
      <c r="D48" s="17">
        <v>48.11</v>
      </c>
      <c r="E48" s="17">
        <f>$O$14*(1+$O$37)</f>
        <v>50.697692753840023</v>
      </c>
      <c r="F48" s="17">
        <f t="shared" ref="F48:M48" si="35">$O$14*(1+$O$37)</f>
        <v>50.697692753840023</v>
      </c>
      <c r="G48" s="17">
        <f t="shared" si="35"/>
        <v>50.697692753840023</v>
      </c>
      <c r="H48" s="17">
        <f t="shared" si="35"/>
        <v>50.697692753840023</v>
      </c>
      <c r="I48" s="17">
        <f t="shared" si="35"/>
        <v>50.697692753840023</v>
      </c>
      <c r="J48" s="17">
        <f t="shared" si="35"/>
        <v>50.697692753840023</v>
      </c>
      <c r="K48" s="17">
        <f t="shared" si="35"/>
        <v>50.697692753840023</v>
      </c>
      <c r="L48" s="17">
        <f t="shared" si="35"/>
        <v>50.697692753840023</v>
      </c>
      <c r="M48" s="17">
        <f t="shared" si="35"/>
        <v>50.697692753840023</v>
      </c>
      <c r="O48" s="15">
        <f>SUM(B46:M46)</f>
        <v>33894</v>
      </c>
      <c r="P48" t="s">
        <v>96</v>
      </c>
    </row>
    <row r="49" spans="1:20" x14ac:dyDescent="0.25">
      <c r="A49" s="19" t="s">
        <v>40</v>
      </c>
      <c r="B49" s="18">
        <f>B46*B48</f>
        <v>169010.43</v>
      </c>
      <c r="C49" s="18">
        <f t="shared" ref="C49:M49" si="36">C46*C48</f>
        <v>154673.65</v>
      </c>
      <c r="D49" s="18">
        <f t="shared" si="36"/>
        <v>157079.15</v>
      </c>
      <c r="E49" s="18">
        <f t="shared" si="36"/>
        <v>156706.5683021195</v>
      </c>
      <c r="F49" s="18">
        <f t="shared" si="36"/>
        <v>152853.54365282768</v>
      </c>
      <c r="G49" s="18">
        <f t="shared" si="36"/>
        <v>144539.1220411979</v>
      </c>
      <c r="H49" s="18">
        <f t="shared" si="36"/>
        <v>140381.91123538301</v>
      </c>
      <c r="I49" s="18">
        <f t="shared" si="36"/>
        <v>133994.00194839918</v>
      </c>
      <c r="J49" s="18">
        <f t="shared" si="36"/>
        <v>129329.8142150459</v>
      </c>
      <c r="K49" s="18">
        <f t="shared" si="36"/>
        <v>124665.62648169261</v>
      </c>
      <c r="L49" s="18">
        <f t="shared" si="36"/>
        <v>117162.36795412429</v>
      </c>
      <c r="M49" s="18">
        <f t="shared" si="36"/>
        <v>112092.59867874029</v>
      </c>
      <c r="O49" s="15">
        <f>O48-O46</f>
        <v>11669.080000000002</v>
      </c>
      <c r="P49" s="89" t="s">
        <v>105</v>
      </c>
      <c r="Q49" s="89"/>
      <c r="R49" s="89"/>
      <c r="S49" s="89"/>
    </row>
    <row r="50" spans="1:20" x14ac:dyDescent="0.25">
      <c r="A50" s="7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3"/>
      <c r="O50" s="20">
        <f>O49/O46</f>
        <v>0.52504485955405023</v>
      </c>
      <c r="P50" s="87" t="s">
        <v>97</v>
      </c>
      <c r="Q50" s="87"/>
      <c r="R50" s="87"/>
      <c r="S50" s="87"/>
    </row>
    <row r="51" spans="1:20" ht="6" customHeight="1" x14ac:dyDescent="0.25">
      <c r="A51" s="12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20" ht="24.75" customHeight="1" x14ac:dyDescent="0.25">
      <c r="A52" s="7"/>
      <c r="B52" s="88" t="s">
        <v>17</v>
      </c>
      <c r="C52" s="88"/>
      <c r="D52" s="88"/>
      <c r="E52" s="88"/>
      <c r="F52" s="88"/>
      <c r="G52" s="88"/>
      <c r="H52" s="88"/>
      <c r="I52" s="88"/>
      <c r="J52" s="88"/>
      <c r="K52" s="88"/>
      <c r="L52" s="88"/>
      <c r="M52" s="88"/>
    </row>
    <row r="53" spans="1:20" ht="15" customHeight="1" x14ac:dyDescent="0.25">
      <c r="A53" s="2"/>
      <c r="B53" s="56" t="s">
        <v>5</v>
      </c>
      <c r="C53" s="56" t="s">
        <v>6</v>
      </c>
      <c r="D53" s="56" t="s">
        <v>7</v>
      </c>
      <c r="E53" s="56" t="s">
        <v>8</v>
      </c>
      <c r="F53" s="56" t="s">
        <v>9</v>
      </c>
      <c r="G53" s="56" t="s">
        <v>10</v>
      </c>
      <c r="H53" s="56" t="s">
        <v>11</v>
      </c>
      <c r="I53" s="56" t="s">
        <v>12</v>
      </c>
      <c r="J53" s="56" t="s">
        <v>13</v>
      </c>
      <c r="K53" s="56" t="s">
        <v>14</v>
      </c>
      <c r="L53" s="56" t="s">
        <v>15</v>
      </c>
      <c r="M53" s="56" t="s">
        <v>16</v>
      </c>
      <c r="O53" s="56" t="s">
        <v>70</v>
      </c>
      <c r="P53" s="81" t="s">
        <v>57</v>
      </c>
      <c r="Q53" s="82"/>
      <c r="R53" s="82"/>
      <c r="S53" s="82"/>
      <c r="T53" s="82"/>
    </row>
    <row r="54" spans="1:20" x14ac:dyDescent="0.25">
      <c r="A54" s="2" t="s">
        <v>39</v>
      </c>
      <c r="B54" s="15">
        <v>2700</v>
      </c>
      <c r="C54" s="15">
        <v>2700</v>
      </c>
      <c r="D54" s="15">
        <v>2700</v>
      </c>
      <c r="E54" s="15">
        <v>2700</v>
      </c>
      <c r="F54" s="15">
        <v>2700</v>
      </c>
      <c r="G54" s="15">
        <v>2700</v>
      </c>
      <c r="H54" s="15">
        <v>2700</v>
      </c>
      <c r="I54" s="15">
        <v>2700</v>
      </c>
      <c r="J54" s="15">
        <v>2700</v>
      </c>
      <c r="K54" s="15">
        <v>2700</v>
      </c>
      <c r="L54" s="15">
        <v>2700</v>
      </c>
      <c r="M54" s="15">
        <v>2700</v>
      </c>
      <c r="N54" s="21">
        <f>SUM(B54:M54)</f>
        <v>32400</v>
      </c>
      <c r="O54" s="20">
        <v>0.1</v>
      </c>
      <c r="P54" t="s">
        <v>73</v>
      </c>
    </row>
    <row r="55" spans="1:20" x14ac:dyDescent="0.25">
      <c r="A55" s="5" t="s">
        <v>87</v>
      </c>
      <c r="B55" s="17">
        <v>46.28</v>
      </c>
      <c r="C55" s="17">
        <v>46.28</v>
      </c>
      <c r="D55" s="17">
        <v>46.28</v>
      </c>
      <c r="E55" s="17">
        <f>$O$26*(1+$O$37)</f>
        <v>49.058754938920799</v>
      </c>
      <c r="F55" s="17">
        <f t="shared" ref="F55:M55" si="37">$O$26*(1+$O$37)</f>
        <v>49.058754938920799</v>
      </c>
      <c r="G55" s="17">
        <f t="shared" si="37"/>
        <v>49.058754938920799</v>
      </c>
      <c r="H55" s="17">
        <f t="shared" si="37"/>
        <v>49.058754938920799</v>
      </c>
      <c r="I55" s="17">
        <f t="shared" si="37"/>
        <v>49.058754938920799</v>
      </c>
      <c r="J55" s="17">
        <f t="shared" si="37"/>
        <v>49.058754938920799</v>
      </c>
      <c r="K55" s="17">
        <f t="shared" si="37"/>
        <v>49.058754938920799</v>
      </c>
      <c r="L55" s="17">
        <f t="shared" si="37"/>
        <v>49.058754938920799</v>
      </c>
      <c r="M55" s="17">
        <f t="shared" si="37"/>
        <v>49.058754938920799</v>
      </c>
      <c r="O55" s="20">
        <v>0.06</v>
      </c>
      <c r="P55" t="s">
        <v>72</v>
      </c>
    </row>
    <row r="56" spans="1:20" x14ac:dyDescent="0.25">
      <c r="A56" s="19" t="s">
        <v>41</v>
      </c>
      <c r="B56" s="18">
        <f>B54*B55</f>
        <v>124956</v>
      </c>
      <c r="C56" s="18">
        <f t="shared" ref="C56:M56" si="38">C54*C55</f>
        <v>124956</v>
      </c>
      <c r="D56" s="18">
        <f t="shared" si="38"/>
        <v>124956</v>
      </c>
      <c r="E56" s="18">
        <f t="shared" si="38"/>
        <v>132458.63833508617</v>
      </c>
      <c r="F56" s="18">
        <f t="shared" si="38"/>
        <v>132458.63833508617</v>
      </c>
      <c r="G56" s="18">
        <f t="shared" si="38"/>
        <v>132458.63833508617</v>
      </c>
      <c r="H56" s="18">
        <f t="shared" si="38"/>
        <v>132458.63833508617</v>
      </c>
      <c r="I56" s="18">
        <f t="shared" si="38"/>
        <v>132458.63833508617</v>
      </c>
      <c r="J56" s="18">
        <f t="shared" si="38"/>
        <v>132458.63833508617</v>
      </c>
      <c r="K56" s="18">
        <f t="shared" si="38"/>
        <v>132458.63833508617</v>
      </c>
      <c r="L56" s="18">
        <f t="shared" si="38"/>
        <v>132458.63833508617</v>
      </c>
      <c r="M56" s="18">
        <f t="shared" si="38"/>
        <v>132458.63833508617</v>
      </c>
      <c r="O56" s="20"/>
    </row>
    <row r="57" spans="1:20" x14ac:dyDescent="0.25">
      <c r="O57" s="20"/>
    </row>
    <row r="58" spans="1:20" ht="26.25" x14ac:dyDescent="0.25">
      <c r="B58" s="88" t="s">
        <v>88</v>
      </c>
      <c r="C58" s="88"/>
      <c r="D58" s="88"/>
      <c r="E58" s="88"/>
      <c r="F58" s="88"/>
      <c r="G58" s="88"/>
      <c r="H58" s="88"/>
      <c r="I58" s="88"/>
      <c r="J58" s="88"/>
      <c r="K58" s="88"/>
      <c r="L58" s="88"/>
      <c r="M58" s="88"/>
    </row>
    <row r="59" spans="1:20" x14ac:dyDescent="0.25">
      <c r="B59" s="56" t="s">
        <v>5</v>
      </c>
      <c r="C59" s="56" t="s">
        <v>6</v>
      </c>
      <c r="D59" s="56" t="s">
        <v>7</v>
      </c>
      <c r="E59" s="56" t="s">
        <v>8</v>
      </c>
      <c r="F59" s="56" t="s">
        <v>9</v>
      </c>
      <c r="G59" s="56" t="s">
        <v>10</v>
      </c>
      <c r="H59" s="56" t="s">
        <v>11</v>
      </c>
      <c r="I59" s="56" t="s">
        <v>12</v>
      </c>
      <c r="J59" s="56" t="s">
        <v>13</v>
      </c>
      <c r="K59" s="56" t="s">
        <v>14</v>
      </c>
      <c r="L59" s="56" t="s">
        <v>15</v>
      </c>
      <c r="M59" s="56" t="s">
        <v>16</v>
      </c>
    </row>
    <row r="60" spans="1:20" x14ac:dyDescent="0.25">
      <c r="A60" s="19" t="s">
        <v>42</v>
      </c>
      <c r="B60" s="3">
        <f>B39</f>
        <v>789269.38829401589</v>
      </c>
      <c r="C60" s="3">
        <f t="shared" ref="C60:M60" si="39">C39</f>
        <v>566326.43575322407</v>
      </c>
      <c r="D60" s="3">
        <f t="shared" si="39"/>
        <v>573785.93014737242</v>
      </c>
      <c r="E60" s="3">
        <f t="shared" si="39"/>
        <v>615771.64995074354</v>
      </c>
      <c r="F60" s="3">
        <f t="shared" si="39"/>
        <v>578316.41810200922</v>
      </c>
      <c r="G60" s="3">
        <f t="shared" si="39"/>
        <v>719667.29356786143</v>
      </c>
      <c r="H60" s="3">
        <f t="shared" si="39"/>
        <v>775938.22115147405</v>
      </c>
      <c r="I60" s="3">
        <f t="shared" si="39"/>
        <v>705884.69576237269</v>
      </c>
      <c r="J60" s="3">
        <f t="shared" si="39"/>
        <v>810469.2510309777</v>
      </c>
      <c r="K60" s="3">
        <f t="shared" si="39"/>
        <v>842333.96898806992</v>
      </c>
      <c r="L60" s="3">
        <f t="shared" si="39"/>
        <v>748549.90125753882</v>
      </c>
      <c r="M60" s="3">
        <f t="shared" si="39"/>
        <v>619252.69500541058</v>
      </c>
    </row>
    <row r="61" spans="1:20" x14ac:dyDescent="0.25">
      <c r="A61" s="19" t="s">
        <v>40</v>
      </c>
      <c r="B61" s="3">
        <f>B49</f>
        <v>169010.43</v>
      </c>
      <c r="C61" s="3">
        <f t="shared" ref="C61:M61" si="40">C49</f>
        <v>154673.65</v>
      </c>
      <c r="D61" s="3">
        <f t="shared" si="40"/>
        <v>157079.15</v>
      </c>
      <c r="E61" s="3">
        <f t="shared" si="40"/>
        <v>156706.5683021195</v>
      </c>
      <c r="F61" s="3">
        <f t="shared" si="40"/>
        <v>152853.54365282768</v>
      </c>
      <c r="G61" s="3">
        <f t="shared" si="40"/>
        <v>144539.1220411979</v>
      </c>
      <c r="H61" s="3">
        <f t="shared" si="40"/>
        <v>140381.91123538301</v>
      </c>
      <c r="I61" s="3">
        <f t="shared" si="40"/>
        <v>133994.00194839918</v>
      </c>
      <c r="J61" s="3">
        <f t="shared" si="40"/>
        <v>129329.8142150459</v>
      </c>
      <c r="K61" s="3">
        <f t="shared" si="40"/>
        <v>124665.62648169261</v>
      </c>
      <c r="L61" s="3">
        <f t="shared" si="40"/>
        <v>117162.36795412429</v>
      </c>
      <c r="M61" s="3">
        <f t="shared" si="40"/>
        <v>112092.59867874029</v>
      </c>
    </row>
    <row r="62" spans="1:20" x14ac:dyDescent="0.25">
      <c r="A62" s="19" t="s">
        <v>41</v>
      </c>
      <c r="B62" s="3">
        <f>B56</f>
        <v>124956</v>
      </c>
      <c r="C62" s="3">
        <f t="shared" ref="C62:M62" si="41">C56</f>
        <v>124956</v>
      </c>
      <c r="D62" s="3">
        <f t="shared" si="41"/>
        <v>124956</v>
      </c>
      <c r="E62" s="3">
        <f t="shared" si="41"/>
        <v>132458.63833508617</v>
      </c>
      <c r="F62" s="3">
        <f t="shared" si="41"/>
        <v>132458.63833508617</v>
      </c>
      <c r="G62" s="3">
        <f t="shared" si="41"/>
        <v>132458.63833508617</v>
      </c>
      <c r="H62" s="3">
        <f t="shared" si="41"/>
        <v>132458.63833508617</v>
      </c>
      <c r="I62" s="3">
        <f t="shared" si="41"/>
        <v>132458.63833508617</v>
      </c>
      <c r="J62" s="3">
        <f t="shared" si="41"/>
        <v>132458.63833508617</v>
      </c>
      <c r="K62" s="3">
        <f t="shared" si="41"/>
        <v>132458.63833508617</v>
      </c>
      <c r="L62" s="3">
        <f t="shared" si="41"/>
        <v>132458.63833508617</v>
      </c>
      <c r="M62" s="3">
        <f t="shared" si="41"/>
        <v>132458.63833508617</v>
      </c>
    </row>
    <row r="63" spans="1:20" x14ac:dyDescent="0.25">
      <c r="A63" s="19" t="s">
        <v>20</v>
      </c>
      <c r="B63" s="18">
        <f>SUM(B60:B62)</f>
        <v>1083235.8182940159</v>
      </c>
      <c r="C63" s="18">
        <f t="shared" ref="C63:M63" si="42">SUM(C60:C62)</f>
        <v>845956.08575322409</v>
      </c>
      <c r="D63" s="18">
        <f t="shared" si="42"/>
        <v>855821.08014737244</v>
      </c>
      <c r="E63" s="18">
        <f t="shared" si="42"/>
        <v>904936.85658794921</v>
      </c>
      <c r="F63" s="18">
        <f t="shared" si="42"/>
        <v>863628.60008992301</v>
      </c>
      <c r="G63" s="18">
        <f t="shared" si="42"/>
        <v>996665.05394414556</v>
      </c>
      <c r="H63" s="18">
        <f t="shared" si="42"/>
        <v>1048778.7707219431</v>
      </c>
      <c r="I63" s="18">
        <f t="shared" si="42"/>
        <v>972337.33604585798</v>
      </c>
      <c r="J63" s="18">
        <f t="shared" si="42"/>
        <v>1072257.7035811096</v>
      </c>
      <c r="K63" s="18">
        <f t="shared" si="42"/>
        <v>1099458.2338048487</v>
      </c>
      <c r="L63" s="18">
        <f t="shared" si="42"/>
        <v>998170.90754674934</v>
      </c>
      <c r="M63" s="18">
        <f t="shared" si="42"/>
        <v>863803.93201923708</v>
      </c>
      <c r="N63" s="51">
        <f>SUM(B63:M63)</f>
        <v>11605050.378536375</v>
      </c>
    </row>
    <row r="64" spans="1:20" x14ac:dyDescent="0.25">
      <c r="B64">
        <f t="shared" ref="B64:L64" si="43">B63/(B54+B46+B37)</f>
        <v>4.480897934534922</v>
      </c>
      <c r="C64">
        <f t="shared" si="43"/>
        <v>4.8363272501215775</v>
      </c>
      <c r="D64">
        <f t="shared" si="43"/>
        <v>4.8298782484582379</v>
      </c>
      <c r="E64">
        <f t="shared" si="43"/>
        <v>5.0513639354513513</v>
      </c>
      <c r="F64">
        <f t="shared" si="43"/>
        <v>5.1245896256410868</v>
      </c>
      <c r="G64">
        <f t="shared" si="43"/>
        <v>4.7880584773741175</v>
      </c>
      <c r="H64">
        <f t="shared" si="43"/>
        <v>4.6838010630393887</v>
      </c>
      <c r="I64">
        <f t="shared" si="43"/>
        <v>4.7647655922461674</v>
      </c>
      <c r="J64">
        <f t="shared" si="43"/>
        <v>4.5936925037531875</v>
      </c>
      <c r="K64">
        <f t="shared" si="43"/>
        <v>4.537622065691699</v>
      </c>
      <c r="L64">
        <f t="shared" si="43"/>
        <v>4.626567255923681</v>
      </c>
      <c r="M64">
        <f>M63/(M54+M46+M37)</f>
        <v>4.8190694793607092</v>
      </c>
      <c r="N64" s="78">
        <f>N63/(N54+N46+N37)</f>
        <v>4.7398851377402691</v>
      </c>
    </row>
    <row r="66" spans="1:11" x14ac:dyDescent="0.25">
      <c r="A66" s="81" t="s">
        <v>84</v>
      </c>
      <c r="B66" s="82"/>
      <c r="C66" s="82"/>
      <c r="D66" s="83"/>
      <c r="E66" s="81" t="s">
        <v>86</v>
      </c>
      <c r="F66" s="82"/>
      <c r="G66" s="82"/>
    </row>
    <row r="67" spans="1:11" x14ac:dyDescent="0.25">
      <c r="A67" s="7" t="s">
        <v>4</v>
      </c>
      <c r="B67" s="7" t="s">
        <v>43</v>
      </c>
      <c r="C67" s="7" t="s">
        <v>44</v>
      </c>
      <c r="D67" s="7" t="s">
        <v>45</v>
      </c>
      <c r="E67" s="2"/>
    </row>
    <row r="68" spans="1:11" x14ac:dyDescent="0.25">
      <c r="A68" s="2">
        <v>2026</v>
      </c>
      <c r="B68" s="3">
        <f>SUM(B63:M63)</f>
        <v>11605050.378536375</v>
      </c>
      <c r="C68" s="7"/>
      <c r="D68" s="7"/>
      <c r="E68" s="93" t="s">
        <v>50</v>
      </c>
      <c r="F68" s="93"/>
      <c r="G68" s="93"/>
    </row>
    <row r="69" spans="1:11" x14ac:dyDescent="0.25">
      <c r="A69" s="2">
        <v>2025</v>
      </c>
      <c r="B69" s="3">
        <v>10947636.072200788</v>
      </c>
      <c r="C69" s="3">
        <v>8168457.2999999896</v>
      </c>
      <c r="D69" s="3">
        <f>B69-C69</f>
        <v>2779178.7722007986</v>
      </c>
      <c r="E69" s="92">
        <f>D69/3</f>
        <v>926392.92406693287</v>
      </c>
      <c r="F69" s="92"/>
      <c r="G69" s="92"/>
    </row>
    <row r="70" spans="1:11" x14ac:dyDescent="0.25">
      <c r="A70" s="2">
        <v>2024</v>
      </c>
      <c r="B70" s="3">
        <v>12219661.709929425</v>
      </c>
      <c r="C70" s="3">
        <v>10372212.889999997</v>
      </c>
      <c r="D70" s="3">
        <f>B70-C70</f>
        <v>1847448.8199294284</v>
      </c>
      <c r="E70" s="2"/>
      <c r="I70" s="1"/>
    </row>
    <row r="71" spans="1:11" x14ac:dyDescent="0.25">
      <c r="A71" s="2">
        <v>2023</v>
      </c>
      <c r="B71" s="3">
        <v>6353830.9027511049</v>
      </c>
      <c r="C71" s="3">
        <v>11537939.000000002</v>
      </c>
      <c r="D71" s="3">
        <f>B71-C71</f>
        <v>-5184108.097248897</v>
      </c>
      <c r="E71" s="2"/>
      <c r="I71" s="72"/>
    </row>
    <row r="73" spans="1:11" ht="15" customHeight="1" x14ac:dyDescent="0.25">
      <c r="A73" s="81" t="s">
        <v>83</v>
      </c>
      <c r="B73" s="82"/>
      <c r="C73" s="82"/>
      <c r="D73" s="83"/>
      <c r="E73" s="81" t="s">
        <v>86</v>
      </c>
      <c r="F73" s="82"/>
      <c r="G73" s="82"/>
    </row>
    <row r="74" spans="1:11" x14ac:dyDescent="0.25">
      <c r="A74" s="7" t="s">
        <v>4</v>
      </c>
      <c r="B74" s="7" t="s">
        <v>43</v>
      </c>
      <c r="C74" s="7" t="s">
        <v>44</v>
      </c>
      <c r="D74" s="7" t="s">
        <v>45</v>
      </c>
      <c r="E74" s="2"/>
    </row>
    <row r="75" spans="1:11" x14ac:dyDescent="0.25">
      <c r="A75" s="2">
        <v>2026</v>
      </c>
      <c r="B75" s="3">
        <f>'Análise Correios 2026'!B26</f>
        <v>1278387.3314240002</v>
      </c>
      <c r="C75" s="7"/>
      <c r="D75" s="7"/>
      <c r="E75" s="93" t="s">
        <v>50</v>
      </c>
      <c r="F75" s="93"/>
      <c r="G75" s="93"/>
    </row>
    <row r="76" spans="1:11" x14ac:dyDescent="0.25">
      <c r="A76" s="2">
        <v>2025</v>
      </c>
      <c r="B76" s="3">
        <v>989714.17541709868</v>
      </c>
      <c r="C76" s="3">
        <v>559528.5</v>
      </c>
      <c r="D76" s="3">
        <f>B76-C76</f>
        <v>430185.67541709868</v>
      </c>
      <c r="E76" s="92">
        <f>D76/3</f>
        <v>143395.2251390329</v>
      </c>
      <c r="F76" s="92"/>
      <c r="G76" s="92"/>
    </row>
    <row r="77" spans="1:11" x14ac:dyDescent="0.25">
      <c r="A77" s="2">
        <v>2024</v>
      </c>
      <c r="B77" s="3">
        <v>537466.64932142722</v>
      </c>
      <c r="C77" s="3">
        <v>741825.19999999984</v>
      </c>
      <c r="D77" s="3">
        <f>B77-C77</f>
        <v>-204358.55067857262</v>
      </c>
      <c r="E77" s="2"/>
      <c r="I77" s="1"/>
    </row>
    <row r="78" spans="1:11" x14ac:dyDescent="0.25">
      <c r="A78" s="2">
        <v>2023</v>
      </c>
      <c r="B78" s="3">
        <v>845637.02023751137</v>
      </c>
      <c r="C78" s="3">
        <v>813454.9</v>
      </c>
      <c r="D78" s="3">
        <f>B78-C78</f>
        <v>32182.12023751135</v>
      </c>
      <c r="E78" s="2"/>
      <c r="I78" s="16"/>
    </row>
    <row r="80" spans="1:11" ht="15" customHeight="1" x14ac:dyDescent="0.25">
      <c r="A80" s="81" t="s">
        <v>82</v>
      </c>
      <c r="B80" s="82"/>
      <c r="C80" s="82"/>
      <c r="D80" s="83"/>
      <c r="E80" s="95" t="s">
        <v>86</v>
      </c>
      <c r="F80" s="96"/>
      <c r="G80" s="96"/>
      <c r="H80" s="96"/>
      <c r="I80" s="96"/>
      <c r="J80" s="19"/>
      <c r="K80" s="19"/>
    </row>
    <row r="81" spans="1:15" x14ac:dyDescent="0.25">
      <c r="A81" s="7" t="s">
        <v>4</v>
      </c>
      <c r="B81" s="7" t="s">
        <v>43</v>
      </c>
      <c r="C81" s="7" t="s">
        <v>44</v>
      </c>
      <c r="D81" s="7" t="s">
        <v>45</v>
      </c>
      <c r="E81" s="89" t="s">
        <v>85</v>
      </c>
      <c r="F81" s="89"/>
      <c r="G81" s="89"/>
      <c r="H81" s="89"/>
      <c r="I81" s="76">
        <f>B82/B83-1</f>
        <v>7.9254394209576029E-2</v>
      </c>
      <c r="J81" s="20"/>
      <c r="K81" s="19"/>
      <c r="L81" s="19"/>
      <c r="N81"/>
      <c r="O81" s="19"/>
    </row>
    <row r="82" spans="1:15" x14ac:dyDescent="0.25">
      <c r="A82" s="2" t="s">
        <v>49</v>
      </c>
      <c r="B82" s="3">
        <f>B68+B75</f>
        <v>12883437.709960375</v>
      </c>
      <c r="C82" s="7"/>
      <c r="D82" s="7"/>
      <c r="E82" s="94" t="s">
        <v>104</v>
      </c>
      <c r="F82" s="94"/>
      <c r="G82" s="94"/>
      <c r="H82" s="94"/>
      <c r="I82" s="94"/>
      <c r="J82" s="75"/>
      <c r="K82" s="19"/>
      <c r="L82" s="19"/>
    </row>
    <row r="83" spans="1:15" x14ac:dyDescent="0.25">
      <c r="A83" s="2">
        <v>2025</v>
      </c>
      <c r="B83" s="3">
        <f>B69+B76</f>
        <v>11937350.247617887</v>
      </c>
      <c r="C83" s="3">
        <f>C69+C76</f>
        <v>8727985.7999999896</v>
      </c>
      <c r="D83" s="3">
        <f>B83-C83</f>
        <v>3209364.4476178978</v>
      </c>
      <c r="E83" s="93"/>
      <c r="F83" s="93"/>
      <c r="G83" s="93"/>
      <c r="H83" s="19"/>
      <c r="I83" s="19"/>
      <c r="J83" s="80"/>
      <c r="K83" s="80"/>
      <c r="L83" s="80"/>
    </row>
    <row r="84" spans="1:15" x14ac:dyDescent="0.25">
      <c r="A84" s="2">
        <v>2024</v>
      </c>
      <c r="B84" s="3">
        <f>B70+B77</f>
        <v>12757128.359250853</v>
      </c>
      <c r="C84" s="3">
        <f>C70+C77</f>
        <v>11114038.089999996</v>
      </c>
      <c r="D84" s="3">
        <f>B84-C84</f>
        <v>1643090.2692508567</v>
      </c>
      <c r="E84" s="92"/>
      <c r="F84" s="92"/>
      <c r="G84" s="92"/>
    </row>
    <row r="85" spans="1:15" x14ac:dyDescent="0.25">
      <c r="A85" s="2">
        <v>2023</v>
      </c>
      <c r="B85" s="3">
        <f>B71+B78</f>
        <v>7199467.9229886159</v>
      </c>
      <c r="C85" s="3">
        <f>C71+C78</f>
        <v>12351393.900000002</v>
      </c>
      <c r="D85" s="3">
        <f>B85-C85</f>
        <v>-5151925.9770113863</v>
      </c>
      <c r="E85" s="2"/>
    </row>
    <row r="86" spans="1:15" x14ac:dyDescent="0.25">
      <c r="E86" s="2"/>
    </row>
    <row r="87" spans="1:15" x14ac:dyDescent="0.25">
      <c r="E87" s="1"/>
    </row>
  </sheetData>
  <mergeCells count="39">
    <mergeCell ref="R24:W24"/>
    <mergeCell ref="P37:S37"/>
    <mergeCell ref="P36:S36"/>
    <mergeCell ref="P35:S35"/>
    <mergeCell ref="P34:S34"/>
    <mergeCell ref="P32:S32"/>
    <mergeCell ref="R11:W11"/>
    <mergeCell ref="R17:W17"/>
    <mergeCell ref="R18:W18"/>
    <mergeCell ref="R12:W12"/>
    <mergeCell ref="R23:W23"/>
    <mergeCell ref="E75:G75"/>
    <mergeCell ref="E76:G76"/>
    <mergeCell ref="E68:G68"/>
    <mergeCell ref="E69:G69"/>
    <mergeCell ref="A80:D80"/>
    <mergeCell ref="A73:D73"/>
    <mergeCell ref="E73:G73"/>
    <mergeCell ref="E80:I80"/>
    <mergeCell ref="E84:G84"/>
    <mergeCell ref="J83:L83"/>
    <mergeCell ref="E83:G83"/>
    <mergeCell ref="E81:H81"/>
    <mergeCell ref="E82:I82"/>
    <mergeCell ref="A8:O8"/>
    <mergeCell ref="B10:O10"/>
    <mergeCell ref="B16:O16"/>
    <mergeCell ref="B22:O22"/>
    <mergeCell ref="B58:M58"/>
    <mergeCell ref="B29:M29"/>
    <mergeCell ref="B52:M52"/>
    <mergeCell ref="B42:M42"/>
    <mergeCell ref="P53:T53"/>
    <mergeCell ref="P50:S50"/>
    <mergeCell ref="B31:M31"/>
    <mergeCell ref="A66:D66"/>
    <mergeCell ref="E66:G66"/>
    <mergeCell ref="P43:S43"/>
    <mergeCell ref="P49:S49"/>
  </mergeCells>
  <phoneticPr fontId="2" type="noConversion"/>
  <pageMargins left="0.511811024" right="0.511811024" top="0.78740157499999996" bottom="0.78740157499999996" header="0.31496062000000002" footer="0.31496062000000002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00DB7-BDC4-45C7-900D-F9B73563AC5F}">
  <dimension ref="A2:R66"/>
  <sheetViews>
    <sheetView showGridLines="0" topLeftCell="A18" workbookViewId="0">
      <selection activeCell="B60" sqref="B60"/>
    </sheetView>
  </sheetViews>
  <sheetFormatPr defaultColWidth="16.5703125" defaultRowHeight="15" x14ac:dyDescent="0.25"/>
  <cols>
    <col min="1" max="1" width="22.28515625" bestFit="1" customWidth="1"/>
    <col min="2" max="6" width="11.28515625" customWidth="1"/>
    <col min="7" max="7" width="13.42578125" customWidth="1"/>
    <col min="8" max="8" width="13.7109375" customWidth="1"/>
    <col min="9" max="13" width="11.28515625" customWidth="1"/>
    <col min="14" max="14" width="15.85546875" bestFit="1" customWidth="1"/>
  </cols>
  <sheetData>
    <row r="2" spans="1:13" x14ac:dyDescent="0.25">
      <c r="E2" s="12" t="s">
        <v>4</v>
      </c>
      <c r="F2" s="98" t="s">
        <v>98</v>
      </c>
      <c r="G2" s="98"/>
    </row>
    <row r="3" spans="1:13" x14ac:dyDescent="0.25">
      <c r="E3" s="19">
        <v>2023</v>
      </c>
      <c r="F3" s="19">
        <v>0.26</v>
      </c>
    </row>
    <row r="4" spans="1:13" x14ac:dyDescent="0.25">
      <c r="E4" s="19">
        <v>2024</v>
      </c>
      <c r="F4" s="19">
        <v>0.27</v>
      </c>
    </row>
    <row r="5" spans="1:13" x14ac:dyDescent="0.25">
      <c r="E5" s="19">
        <v>2025</v>
      </c>
      <c r="F5" s="36">
        <f>F4*I5</f>
        <v>0.28150200000000003</v>
      </c>
      <c r="H5" t="s">
        <v>60</v>
      </c>
      <c r="I5">
        <v>1.0426</v>
      </c>
    </row>
    <row r="6" spans="1:13" x14ac:dyDescent="0.25">
      <c r="E6" s="19">
        <v>2026</v>
      </c>
      <c r="F6" s="36">
        <f>F5*I5</f>
        <v>0.29349398520000003</v>
      </c>
    </row>
    <row r="9" spans="1:13" ht="28.5" x14ac:dyDescent="0.45">
      <c r="A9" s="97" t="s">
        <v>79</v>
      </c>
      <c r="B9" s="97"/>
      <c r="C9" s="97"/>
      <c r="D9" s="97"/>
      <c r="E9" s="97"/>
      <c r="F9" s="97"/>
      <c r="G9" s="97"/>
      <c r="H9" s="97"/>
      <c r="I9" s="97"/>
      <c r="J9" s="97"/>
      <c r="K9" s="97"/>
      <c r="L9" s="97"/>
      <c r="M9" s="97"/>
    </row>
    <row r="10" spans="1:13" x14ac:dyDescent="0.25">
      <c r="A10" s="7"/>
      <c r="B10" s="85" t="s">
        <v>77</v>
      </c>
      <c r="C10" s="85"/>
      <c r="D10" s="85"/>
      <c r="E10" s="85"/>
      <c r="F10" s="85"/>
      <c r="G10" s="85"/>
      <c r="H10" s="85"/>
      <c r="I10" s="85"/>
      <c r="J10" s="85"/>
      <c r="K10" s="85"/>
      <c r="L10" s="85"/>
      <c r="M10" s="85"/>
    </row>
    <row r="11" spans="1:13" x14ac:dyDescent="0.25">
      <c r="A11" s="2"/>
      <c r="B11" s="56" t="s">
        <v>5</v>
      </c>
      <c r="C11" s="56" t="s">
        <v>6</v>
      </c>
      <c r="D11" s="56" t="s">
        <v>7</v>
      </c>
      <c r="E11" s="56" t="s">
        <v>8</v>
      </c>
      <c r="F11" s="56" t="s">
        <v>9</v>
      </c>
      <c r="G11" s="56" t="s">
        <v>10</v>
      </c>
      <c r="H11" s="56" t="s">
        <v>11</v>
      </c>
      <c r="I11" s="56" t="s">
        <v>12</v>
      </c>
      <c r="J11" s="56" t="s">
        <v>13</v>
      </c>
      <c r="K11" s="56" t="s">
        <v>14</v>
      </c>
      <c r="L11" s="56" t="s">
        <v>15</v>
      </c>
      <c r="M11" s="56" t="s">
        <v>16</v>
      </c>
    </row>
    <row r="12" spans="1:13" x14ac:dyDescent="0.25">
      <c r="A12" s="7" t="s">
        <v>74</v>
      </c>
      <c r="B12" s="15">
        <v>355513</v>
      </c>
      <c r="C12" s="15">
        <v>256084</v>
      </c>
      <c r="D12" s="15">
        <v>259468</v>
      </c>
      <c r="E12" s="15">
        <v>262386</v>
      </c>
      <c r="F12" s="15">
        <v>246586</v>
      </c>
      <c r="G12" s="15">
        <v>305569</v>
      </c>
      <c r="H12" s="15">
        <v>362076</v>
      </c>
      <c r="I12" s="15">
        <v>339069</v>
      </c>
      <c r="J12" s="15">
        <v>325907</v>
      </c>
      <c r="K12" s="15">
        <v>366686</v>
      </c>
      <c r="L12" s="15">
        <v>350037</v>
      </c>
      <c r="M12" s="15">
        <v>327702</v>
      </c>
    </row>
    <row r="13" spans="1:13" x14ac:dyDescent="0.25">
      <c r="A13" s="7" t="s">
        <v>75</v>
      </c>
      <c r="B13" s="15">
        <v>395014</v>
      </c>
      <c r="C13" s="15">
        <v>284538</v>
      </c>
      <c r="D13" s="15">
        <v>288298</v>
      </c>
      <c r="E13" s="15">
        <v>291540</v>
      </c>
      <c r="F13" s="15">
        <v>273984</v>
      </c>
      <c r="G13" s="15">
        <v>339521</v>
      </c>
      <c r="H13" s="15">
        <v>402306</v>
      </c>
      <c r="I13" s="15">
        <v>376743</v>
      </c>
      <c r="J13" s="15">
        <v>362119</v>
      </c>
      <c r="K13" s="15">
        <v>407429</v>
      </c>
      <c r="L13" s="15">
        <v>388930</v>
      </c>
      <c r="M13" s="15">
        <v>364113</v>
      </c>
    </row>
    <row r="14" spans="1:13" x14ac:dyDescent="0.25">
      <c r="A14" s="7" t="s">
        <v>76</v>
      </c>
      <c r="B14" s="15">
        <f>SUM(B12:B13)</f>
        <v>750527</v>
      </c>
      <c r="C14" s="15">
        <f t="shared" ref="C14" si="0">SUM(C12:C13)</f>
        <v>540622</v>
      </c>
      <c r="D14" s="15">
        <f t="shared" ref="D14" si="1">SUM(D12:D13)</f>
        <v>547766</v>
      </c>
      <c r="E14" s="15">
        <f t="shared" ref="E14" si="2">SUM(E12:E13)</f>
        <v>553926</v>
      </c>
      <c r="F14" s="15">
        <f t="shared" ref="F14" si="3">SUM(F12:F13)</f>
        <v>520570</v>
      </c>
      <c r="G14" s="15">
        <f t="shared" ref="G14" si="4">SUM(G12:G13)</f>
        <v>645090</v>
      </c>
      <c r="H14" s="15">
        <f t="shared" ref="H14" si="5">SUM(H12:H13)</f>
        <v>764382</v>
      </c>
      <c r="I14" s="15">
        <f t="shared" ref="I14" si="6">SUM(I12:I13)</f>
        <v>715812</v>
      </c>
      <c r="J14" s="15">
        <f t="shared" ref="J14" si="7">SUM(J12:J13)</f>
        <v>688026</v>
      </c>
      <c r="K14" s="15">
        <f t="shared" ref="K14" si="8">SUM(K12:K13)</f>
        <v>774115</v>
      </c>
      <c r="L14" s="15">
        <f t="shared" ref="L14" si="9">SUM(L12:L13)</f>
        <v>738967</v>
      </c>
      <c r="M14" s="15">
        <f t="shared" ref="M14" si="10">SUM(M12:M13)</f>
        <v>691815</v>
      </c>
    </row>
    <row r="15" spans="1:13" x14ac:dyDescent="0.25">
      <c r="A15" s="12" t="s">
        <v>44</v>
      </c>
      <c r="B15" s="18">
        <f>B14*$F$5</f>
        <v>211274.85155400002</v>
      </c>
      <c r="C15" s="18">
        <f t="shared" ref="C15:M15" si="11">C14*$F$5</f>
        <v>152186.17424400002</v>
      </c>
      <c r="D15" s="18">
        <f t="shared" si="11"/>
        <v>154197.22453200002</v>
      </c>
      <c r="E15" s="18">
        <f t="shared" si="11"/>
        <v>155931.27685200001</v>
      </c>
      <c r="F15" s="18">
        <f t="shared" si="11"/>
        <v>146541.49614</v>
      </c>
      <c r="G15" s="18">
        <f t="shared" si="11"/>
        <v>181594.12518000003</v>
      </c>
      <c r="H15" s="18">
        <f t="shared" si="11"/>
        <v>215175.06176400001</v>
      </c>
      <c r="I15" s="18">
        <f t="shared" si="11"/>
        <v>201502.50962400003</v>
      </c>
      <c r="J15" s="18">
        <f t="shared" si="11"/>
        <v>193680.69505200002</v>
      </c>
      <c r="K15" s="18">
        <f t="shared" si="11"/>
        <v>217914.92073000001</v>
      </c>
      <c r="L15" s="18">
        <f t="shared" si="11"/>
        <v>208020.68843400001</v>
      </c>
      <c r="M15" s="18">
        <f t="shared" si="11"/>
        <v>194747.30613000001</v>
      </c>
    </row>
    <row r="16" spans="1:13" x14ac:dyDescent="0.25"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</row>
    <row r="18" spans="1:13" ht="28.5" x14ac:dyDescent="0.45">
      <c r="A18" s="97" t="s">
        <v>78</v>
      </c>
      <c r="B18" s="97"/>
      <c r="C18" s="97"/>
      <c r="D18" s="97"/>
      <c r="E18" s="97"/>
      <c r="F18" s="97"/>
      <c r="G18" s="97"/>
      <c r="H18" s="97"/>
      <c r="I18" s="97"/>
      <c r="J18" s="97"/>
      <c r="K18" s="97"/>
      <c r="L18" s="97"/>
      <c r="M18" s="97"/>
    </row>
    <row r="19" spans="1:13" x14ac:dyDescent="0.25">
      <c r="A19" s="7"/>
      <c r="B19" s="85" t="s">
        <v>77</v>
      </c>
      <c r="C19" s="85"/>
      <c r="D19" s="85"/>
      <c r="E19" s="85"/>
      <c r="F19" s="85"/>
      <c r="G19" s="85"/>
      <c r="H19" s="85"/>
      <c r="I19" s="85"/>
      <c r="J19" s="85"/>
      <c r="K19" s="85"/>
      <c r="L19" s="85"/>
      <c r="M19" s="85"/>
    </row>
    <row r="20" spans="1:13" x14ac:dyDescent="0.25">
      <c r="A20" s="2"/>
      <c r="B20" s="56" t="s">
        <v>5</v>
      </c>
      <c r="C20" s="56" t="s">
        <v>6</v>
      </c>
      <c r="D20" s="56" t="s">
        <v>7</v>
      </c>
      <c r="E20" s="56" t="s">
        <v>8</v>
      </c>
      <c r="F20" s="56" t="s">
        <v>9</v>
      </c>
      <c r="G20" s="56" t="s">
        <v>10</v>
      </c>
      <c r="H20" s="56" t="s">
        <v>11</v>
      </c>
      <c r="I20" s="56" t="s">
        <v>12</v>
      </c>
      <c r="J20" s="56" t="s">
        <v>13</v>
      </c>
      <c r="K20" s="56" t="s">
        <v>14</v>
      </c>
      <c r="L20" s="56" t="s">
        <v>15</v>
      </c>
      <c r="M20" s="56" t="s">
        <v>16</v>
      </c>
    </row>
    <row r="21" spans="1:13" x14ac:dyDescent="0.25">
      <c r="A21" s="7" t="s">
        <v>74</v>
      </c>
      <c r="B21" s="15">
        <v>290266</v>
      </c>
      <c r="C21" s="15">
        <v>254556</v>
      </c>
      <c r="D21" s="15">
        <v>275881</v>
      </c>
      <c r="E21" s="15">
        <v>244955</v>
      </c>
      <c r="F21" s="15">
        <v>265129</v>
      </c>
      <c r="G21" s="15">
        <v>255126</v>
      </c>
      <c r="H21" s="15">
        <v>268456</v>
      </c>
      <c r="I21" s="15">
        <v>284799</v>
      </c>
      <c r="J21" s="15">
        <v>258534</v>
      </c>
      <c r="K21" s="52">
        <v>244917</v>
      </c>
      <c r="L21" s="52">
        <v>240875</v>
      </c>
      <c r="M21" s="52">
        <v>234787</v>
      </c>
    </row>
    <row r="22" spans="1:13" x14ac:dyDescent="0.25">
      <c r="A22" s="7" t="s">
        <v>75</v>
      </c>
      <c r="B22" s="15">
        <v>398348</v>
      </c>
      <c r="C22" s="15">
        <v>418982</v>
      </c>
      <c r="D22" s="15">
        <v>352932</v>
      </c>
      <c r="E22" s="15">
        <v>412762</v>
      </c>
      <c r="F22" s="15">
        <v>201274</v>
      </c>
      <c r="G22" s="15">
        <v>203692</v>
      </c>
      <c r="H22" s="15">
        <v>250837</v>
      </c>
      <c r="I22" s="15">
        <v>263319</v>
      </c>
      <c r="J22" s="15">
        <v>294986</v>
      </c>
      <c r="K22" s="52">
        <v>269408.7</v>
      </c>
      <c r="L22" s="52">
        <v>264962.5</v>
      </c>
      <c r="M22" s="52">
        <v>258265.7</v>
      </c>
    </row>
    <row r="23" spans="1:13" x14ac:dyDescent="0.25">
      <c r="A23" s="7" t="s">
        <v>76</v>
      </c>
      <c r="B23" s="15">
        <f>SUM(B21:B22)</f>
        <v>688614</v>
      </c>
      <c r="C23" s="15">
        <f t="shared" ref="C23" si="12">SUM(C21:C22)</f>
        <v>673538</v>
      </c>
      <c r="D23" s="15">
        <f t="shared" ref="D23" si="13">SUM(D21:D22)</f>
        <v>628813</v>
      </c>
      <c r="E23" s="15">
        <f t="shared" ref="E23" si="14">SUM(E21:E22)</f>
        <v>657717</v>
      </c>
      <c r="F23" s="15">
        <f t="shared" ref="F23" si="15">SUM(F21:F22)</f>
        <v>466403</v>
      </c>
      <c r="G23" s="15">
        <f t="shared" ref="G23" si="16">SUM(G21:G22)</f>
        <v>458818</v>
      </c>
      <c r="H23" s="15">
        <f t="shared" ref="H23" si="17">SUM(H21:H22)</f>
        <v>519293</v>
      </c>
      <c r="I23" s="15">
        <f t="shared" ref="I23" si="18">SUM(I21:I22)</f>
        <v>548118</v>
      </c>
      <c r="J23" s="15">
        <f t="shared" ref="J23" si="19">SUM(J21:J22)</f>
        <v>553520</v>
      </c>
      <c r="K23" s="52">
        <f t="shared" ref="K23" si="20">SUM(K21:K22)</f>
        <v>514325.7</v>
      </c>
      <c r="L23" s="52">
        <f t="shared" ref="L23" si="21">SUM(L21:L22)</f>
        <v>505837.5</v>
      </c>
      <c r="M23" s="52">
        <f t="shared" ref="M23" si="22">SUM(M21:M22)</f>
        <v>493052.7</v>
      </c>
    </row>
    <row r="24" spans="1:13" x14ac:dyDescent="0.25">
      <c r="A24" s="12" t="s">
        <v>44</v>
      </c>
      <c r="B24" s="18">
        <v>66666.8</v>
      </c>
      <c r="C24" s="18">
        <v>204065.50999999998</v>
      </c>
      <c r="D24" s="18">
        <v>220407.73</v>
      </c>
      <c r="E24" s="18">
        <v>148897.07999999999</v>
      </c>
      <c r="F24" s="18">
        <v>102752.56999999999</v>
      </c>
      <c r="G24" s="18">
        <v>160987.70999999996</v>
      </c>
      <c r="H24" s="18">
        <v>173852.39999999997</v>
      </c>
      <c r="I24" s="18">
        <v>167658.79</v>
      </c>
      <c r="J24" s="18">
        <v>89648.040000000008</v>
      </c>
      <c r="K24" s="53">
        <f>K23*$F$31</f>
        <v>144783.71320140001</v>
      </c>
      <c r="L24" s="53">
        <f>L23*$F$31</f>
        <v>142394.26792500002</v>
      </c>
      <c r="M24" s="53">
        <f>M23*$F$31</f>
        <v>138795.32115540002</v>
      </c>
    </row>
    <row r="25" spans="1:13" ht="27.6" customHeight="1" x14ac:dyDescent="0.25"/>
    <row r="27" spans="1:13" hidden="1" x14ac:dyDescent="0.25"/>
    <row r="28" spans="1:13" hidden="1" x14ac:dyDescent="0.25">
      <c r="E28" t="s">
        <v>58</v>
      </c>
    </row>
    <row r="29" spans="1:13" hidden="1" x14ac:dyDescent="0.25">
      <c r="E29" s="19">
        <v>2023</v>
      </c>
      <c r="F29" s="19">
        <v>0.26</v>
      </c>
    </row>
    <row r="30" spans="1:13" hidden="1" x14ac:dyDescent="0.25">
      <c r="E30" s="19">
        <v>2024</v>
      </c>
      <c r="F30" s="19">
        <v>0.27</v>
      </c>
    </row>
    <row r="31" spans="1:13" ht="45" hidden="1" x14ac:dyDescent="0.25">
      <c r="A31" s="5" t="s">
        <v>59</v>
      </c>
      <c r="E31" s="19">
        <v>2025</v>
      </c>
      <c r="F31" s="36">
        <f>F30*I31</f>
        <v>0.28150200000000003</v>
      </c>
      <c r="H31" t="s">
        <v>60</v>
      </c>
      <c r="I31">
        <v>1.0426</v>
      </c>
    </row>
    <row r="32" spans="1:13" hidden="1" x14ac:dyDescent="0.25">
      <c r="E32" s="19">
        <v>2026</v>
      </c>
      <c r="F32" s="36">
        <f>F31*I31</f>
        <v>0.29349398520000003</v>
      </c>
    </row>
    <row r="33" spans="1:14" hidden="1" x14ac:dyDescent="0.25">
      <c r="E33" s="19"/>
      <c r="F33" s="36"/>
    </row>
    <row r="34" spans="1:14" ht="17.25" hidden="1" thickBot="1" x14ac:dyDescent="0.35">
      <c r="A34" s="26"/>
      <c r="B34" s="27">
        <v>45658</v>
      </c>
      <c r="C34" s="28">
        <v>45689</v>
      </c>
      <c r="D34" s="28">
        <v>45717</v>
      </c>
      <c r="E34" s="28">
        <v>45748</v>
      </c>
      <c r="F34" s="28">
        <v>45778</v>
      </c>
      <c r="G34" s="28">
        <v>45809</v>
      </c>
      <c r="H34" s="28">
        <v>45839</v>
      </c>
      <c r="I34" s="28">
        <v>45870</v>
      </c>
      <c r="J34" s="28">
        <v>45901</v>
      </c>
      <c r="K34" s="28">
        <v>45931</v>
      </c>
      <c r="L34" s="28">
        <v>45962</v>
      </c>
      <c r="M34" s="28">
        <v>45992</v>
      </c>
      <c r="N34" s="28" t="s">
        <v>30</v>
      </c>
    </row>
    <row r="35" spans="1:14" ht="15.75" hidden="1" thickBot="1" x14ac:dyDescent="0.3">
      <c r="A35" s="29" t="s">
        <v>61</v>
      </c>
      <c r="B35" s="30">
        <v>355513</v>
      </c>
      <c r="C35" s="30">
        <v>256084</v>
      </c>
      <c r="D35" s="30">
        <v>259468</v>
      </c>
      <c r="E35" s="30">
        <v>262386</v>
      </c>
      <c r="F35" s="30">
        <v>246586</v>
      </c>
      <c r="G35" s="30">
        <v>305569</v>
      </c>
      <c r="H35" s="30">
        <v>362076</v>
      </c>
      <c r="I35" s="30">
        <v>339069</v>
      </c>
      <c r="J35" s="30">
        <v>325907</v>
      </c>
      <c r="K35" s="30">
        <v>366686</v>
      </c>
      <c r="L35" s="30">
        <v>350037</v>
      </c>
      <c r="M35" s="30">
        <v>327702</v>
      </c>
      <c r="N35" s="1">
        <f>SUM(B35:M35)</f>
        <v>3757083</v>
      </c>
    </row>
    <row r="36" spans="1:14" ht="15.75" hidden="1" thickBot="1" x14ac:dyDescent="0.3">
      <c r="A36" s="31" t="s">
        <v>62</v>
      </c>
      <c r="B36" s="30">
        <v>395014</v>
      </c>
      <c r="C36" s="30">
        <v>284538</v>
      </c>
      <c r="D36" s="30">
        <v>288298</v>
      </c>
      <c r="E36" s="30">
        <v>291540</v>
      </c>
      <c r="F36" s="30">
        <v>273984</v>
      </c>
      <c r="G36" s="30">
        <v>339521</v>
      </c>
      <c r="H36" s="30">
        <v>402306</v>
      </c>
      <c r="I36" s="30">
        <v>376743</v>
      </c>
      <c r="J36" s="30">
        <v>362119</v>
      </c>
      <c r="K36" s="30">
        <v>407429</v>
      </c>
      <c r="L36" s="30">
        <v>388930</v>
      </c>
      <c r="M36" s="30">
        <v>364113</v>
      </c>
      <c r="N36" s="1">
        <f>SUM(B36:M36)</f>
        <v>4174535</v>
      </c>
    </row>
    <row r="37" spans="1:14" ht="15.75" hidden="1" thickBot="1" x14ac:dyDescent="0.3">
      <c r="A37" s="31" t="s">
        <v>63</v>
      </c>
      <c r="B37" s="30">
        <v>120000</v>
      </c>
      <c r="C37" s="30">
        <v>120000</v>
      </c>
      <c r="D37" s="30">
        <v>120000</v>
      </c>
      <c r="E37" s="30">
        <v>120000</v>
      </c>
      <c r="F37" s="30">
        <v>120000</v>
      </c>
      <c r="G37" s="30">
        <v>120000</v>
      </c>
      <c r="H37" s="30">
        <v>120000</v>
      </c>
      <c r="I37" s="30">
        <v>120000</v>
      </c>
      <c r="J37" s="30">
        <v>120000</v>
      </c>
      <c r="K37" s="30">
        <v>120000</v>
      </c>
      <c r="L37" s="30">
        <v>120000</v>
      </c>
      <c r="M37" s="30">
        <v>120000</v>
      </c>
    </row>
    <row r="38" spans="1:14" hidden="1" x14ac:dyDescent="0.25"/>
    <row r="39" spans="1:14" hidden="1" x14ac:dyDescent="0.25"/>
    <row r="40" spans="1:14" s="34" customFormat="1" ht="15.75" hidden="1" thickBot="1" x14ac:dyDescent="0.3">
      <c r="A40" s="29" t="s">
        <v>64</v>
      </c>
      <c r="B40" s="32">
        <f t="shared" ref="B40:M40" si="23">B35*$F$31</f>
        <v>100077.62052600001</v>
      </c>
      <c r="C40" s="32">
        <f t="shared" si="23"/>
        <v>72088.158168000009</v>
      </c>
      <c r="D40" s="32">
        <f t="shared" si="23"/>
        <v>73040.760936000006</v>
      </c>
      <c r="E40" s="32">
        <f t="shared" si="23"/>
        <v>73862.183772000004</v>
      </c>
      <c r="F40" s="32">
        <f t="shared" si="23"/>
        <v>69414.452172000005</v>
      </c>
      <c r="G40" s="32">
        <f t="shared" si="23"/>
        <v>86018.284638000012</v>
      </c>
      <c r="H40" s="32">
        <f t="shared" si="23"/>
        <v>101925.11815200001</v>
      </c>
      <c r="I40" s="32">
        <f t="shared" si="23"/>
        <v>95448.601638000007</v>
      </c>
      <c r="J40" s="32">
        <f t="shared" si="23"/>
        <v>91743.472314000013</v>
      </c>
      <c r="K40" s="32">
        <f t="shared" si="23"/>
        <v>103222.84237200001</v>
      </c>
      <c r="L40" s="32">
        <f t="shared" si="23"/>
        <v>98536.11557400001</v>
      </c>
      <c r="M40" s="32">
        <f t="shared" si="23"/>
        <v>92248.768404000017</v>
      </c>
      <c r="N40" s="33">
        <f>SUM(B40:M40)</f>
        <v>1057626.3786660002</v>
      </c>
    </row>
    <row r="41" spans="1:14" s="34" customFormat="1" ht="15.75" hidden="1" thickBot="1" x14ac:dyDescent="0.3">
      <c r="A41" s="31" t="s">
        <v>65</v>
      </c>
      <c r="B41" s="32">
        <f t="shared" ref="B41:M41" si="24">B36*$F$31</f>
        <v>111197.23102800001</v>
      </c>
      <c r="C41" s="32">
        <f t="shared" si="24"/>
        <v>80098.016076000014</v>
      </c>
      <c r="D41" s="32">
        <f t="shared" si="24"/>
        <v>81156.463596000001</v>
      </c>
      <c r="E41" s="32">
        <f t="shared" si="24"/>
        <v>82069.093080000006</v>
      </c>
      <c r="F41" s="32">
        <f t="shared" si="24"/>
        <v>77127.043968000013</v>
      </c>
      <c r="G41" s="32">
        <f t="shared" si="24"/>
        <v>95575.840542000005</v>
      </c>
      <c r="H41" s="32">
        <f t="shared" si="24"/>
        <v>113249.94361200002</v>
      </c>
      <c r="I41" s="32">
        <f t="shared" si="24"/>
        <v>106053.90798600001</v>
      </c>
      <c r="J41" s="32">
        <f t="shared" si="24"/>
        <v>101937.22273800001</v>
      </c>
      <c r="K41" s="32">
        <f t="shared" si="24"/>
        <v>114692.07835800001</v>
      </c>
      <c r="L41" s="32">
        <f t="shared" si="24"/>
        <v>109484.57286000001</v>
      </c>
      <c r="M41" s="32">
        <f t="shared" si="24"/>
        <v>102498.53772600001</v>
      </c>
      <c r="N41" s="33">
        <f>SUM(B41:M41)</f>
        <v>1175139.95157</v>
      </c>
    </row>
    <row r="42" spans="1:14" hidden="1" x14ac:dyDescent="0.25">
      <c r="N42" s="13">
        <f>SUM(N40:N41)</f>
        <v>2232766.330236</v>
      </c>
    </row>
    <row r="43" spans="1:14" hidden="1" x14ac:dyDescent="0.25">
      <c r="N43" s="35" t="e">
        <f>GETPIVOTDATA("TOTAL ",[1]Geral!$B$6,"GRUPO_1","OPERAÇÃO","ÁREA","ASSIST. TÉCNICA - LOGÍSTICA","PACOTE","Materiais de Produção","CONTA CONTABIL","4100002 - MATERIAL DE EMBALAGEM","ANO",2025)</f>
        <v>#REF!</v>
      </c>
    </row>
    <row r="44" spans="1:14" ht="6.6" hidden="1" customHeight="1" thickBot="1" x14ac:dyDescent="0.3">
      <c r="N44" s="16" t="e">
        <f>N42/N43-1</f>
        <v>#REF!</v>
      </c>
    </row>
    <row r="45" spans="1:14" ht="15.75" hidden="1" thickBot="1" x14ac:dyDescent="0.3">
      <c r="B45" s="27">
        <v>45658</v>
      </c>
      <c r="C45" s="28">
        <v>45689</v>
      </c>
      <c r="D45" s="28">
        <v>45717</v>
      </c>
      <c r="E45" s="28">
        <v>45748</v>
      </c>
      <c r="F45" s="28">
        <v>45778</v>
      </c>
      <c r="G45" s="28">
        <v>45809</v>
      </c>
      <c r="H45" s="28">
        <v>45839</v>
      </c>
      <c r="I45" s="28">
        <v>45870</v>
      </c>
      <c r="J45" s="28">
        <v>45901</v>
      </c>
      <c r="K45" s="28">
        <v>45931</v>
      </c>
      <c r="L45" s="28">
        <v>45962</v>
      </c>
      <c r="M45" s="28">
        <v>45992</v>
      </c>
      <c r="N45" s="28" t="s">
        <v>30</v>
      </c>
    </row>
    <row r="46" spans="1:14" hidden="1" x14ac:dyDescent="0.25">
      <c r="B46" s="13">
        <f>B41+B40</f>
        <v>211274.85155400002</v>
      </c>
      <c r="C46" s="13">
        <f t="shared" ref="C46:M46" si="25">C41+C40</f>
        <v>152186.17424400002</v>
      </c>
      <c r="D46" s="13">
        <f t="shared" si="25"/>
        <v>154197.22453200002</v>
      </c>
      <c r="E46" s="13">
        <f t="shared" si="25"/>
        <v>155931.27685200001</v>
      </c>
      <c r="F46" s="13">
        <f t="shared" si="25"/>
        <v>146541.49614</v>
      </c>
      <c r="G46" s="13">
        <f t="shared" si="25"/>
        <v>181594.12518000003</v>
      </c>
      <c r="H46" s="13">
        <f t="shared" si="25"/>
        <v>215175.06176400004</v>
      </c>
      <c r="I46" s="13">
        <f t="shared" si="25"/>
        <v>201502.509624</v>
      </c>
      <c r="J46" s="13">
        <f t="shared" si="25"/>
        <v>193680.69505200002</v>
      </c>
      <c r="K46" s="13">
        <f t="shared" si="25"/>
        <v>217914.92073000001</v>
      </c>
      <c r="L46" s="13">
        <f t="shared" si="25"/>
        <v>208020.68843400001</v>
      </c>
      <c r="M46" s="13">
        <f t="shared" si="25"/>
        <v>194747.30613000004</v>
      </c>
      <c r="N46" s="13">
        <f>SUM(B46:M46)</f>
        <v>2232766.330236</v>
      </c>
    </row>
    <row r="47" spans="1:14" hidden="1" x14ac:dyDescent="0.25"/>
    <row r="48" spans="1:14" hidden="1" x14ac:dyDescent="0.25"/>
    <row r="49" spans="1:18" ht="28.5" x14ac:dyDescent="0.45">
      <c r="A49" s="97" t="s">
        <v>33</v>
      </c>
      <c r="B49" s="97"/>
      <c r="C49" s="97"/>
      <c r="D49" s="97"/>
      <c r="E49" s="97"/>
      <c r="F49" s="97"/>
      <c r="G49" s="97"/>
      <c r="H49" s="97"/>
      <c r="I49" s="97"/>
      <c r="J49" s="97"/>
      <c r="K49" s="97"/>
      <c r="L49" s="97"/>
      <c r="M49" s="97"/>
    </row>
    <row r="50" spans="1:18" x14ac:dyDescent="0.25">
      <c r="A50" s="2"/>
      <c r="B50" s="56" t="s">
        <v>5</v>
      </c>
      <c r="C50" s="56" t="s">
        <v>6</v>
      </c>
      <c r="D50" s="56" t="s">
        <v>7</v>
      </c>
      <c r="E50" s="56" t="s">
        <v>8</v>
      </c>
      <c r="F50" s="56" t="s">
        <v>9</v>
      </c>
      <c r="G50" s="56" t="s">
        <v>10</v>
      </c>
      <c r="H50" s="56" t="s">
        <v>11</v>
      </c>
      <c r="I50" s="56" t="s">
        <v>12</v>
      </c>
      <c r="J50" s="56" t="s">
        <v>13</v>
      </c>
      <c r="K50" s="56" t="s">
        <v>14</v>
      </c>
      <c r="L50" s="56" t="s">
        <v>15</v>
      </c>
      <c r="M50" s="56" t="s">
        <v>16</v>
      </c>
      <c r="O50" s="81" t="s">
        <v>57</v>
      </c>
      <c r="P50" s="82"/>
      <c r="Q50" s="82"/>
      <c r="R50" s="82"/>
    </row>
    <row r="51" spans="1:18" x14ac:dyDescent="0.25">
      <c r="A51" s="7" t="s">
        <v>74</v>
      </c>
      <c r="B51" s="15">
        <v>246586</v>
      </c>
      <c r="C51" s="15">
        <v>256084</v>
      </c>
      <c r="D51" s="15">
        <v>259468</v>
      </c>
      <c r="E51" s="15">
        <v>262386</v>
      </c>
      <c r="F51">
        <v>355513</v>
      </c>
      <c r="G51" s="15">
        <v>305569</v>
      </c>
      <c r="H51" s="15">
        <v>329025.90000000002</v>
      </c>
      <c r="I51" s="15">
        <v>299497.8</v>
      </c>
      <c r="J51" s="15">
        <v>343180.83999999997</v>
      </c>
      <c r="K51" s="15">
        <v>356398.76</v>
      </c>
      <c r="L51" s="15">
        <v>316897.59999999998</v>
      </c>
      <c r="M51" s="15">
        <v>262587.2</v>
      </c>
      <c r="O51" s="21">
        <f>SUM(B23:M23)</f>
        <v>6708049.9000000004</v>
      </c>
      <c r="P51" t="s">
        <v>100</v>
      </c>
    </row>
    <row r="52" spans="1:18" x14ac:dyDescent="0.25">
      <c r="A52" s="7" t="s">
        <v>75</v>
      </c>
      <c r="B52" s="15">
        <v>197269</v>
      </c>
      <c r="C52" s="15">
        <v>435343</v>
      </c>
      <c r="D52" s="15">
        <v>337308</v>
      </c>
      <c r="E52" s="15">
        <v>341102</v>
      </c>
      <c r="F52">
        <v>462167</v>
      </c>
      <c r="G52" s="15">
        <v>244455</v>
      </c>
      <c r="H52" s="15">
        <v>296123</v>
      </c>
      <c r="I52" s="15">
        <v>269548</v>
      </c>
      <c r="J52" s="15">
        <v>308863</v>
      </c>
      <c r="K52" s="15">
        <v>392039</v>
      </c>
      <c r="L52" s="15">
        <v>348587</v>
      </c>
      <c r="M52" s="15">
        <v>288846</v>
      </c>
      <c r="O52" s="21">
        <f>SUM(B53:M53)</f>
        <v>7514844.0999999996</v>
      </c>
      <c r="P52" s="89" t="s">
        <v>101</v>
      </c>
      <c r="Q52" s="89"/>
      <c r="R52" s="89"/>
    </row>
    <row r="53" spans="1:18" x14ac:dyDescent="0.25">
      <c r="A53" s="7" t="s">
        <v>76</v>
      </c>
      <c r="B53" s="15">
        <f t="shared" ref="B53" si="26">SUM(B51:B52)</f>
        <v>443855</v>
      </c>
      <c r="C53" s="15">
        <f t="shared" ref="C53:M53" si="27">SUM(C51:C52)</f>
        <v>691427</v>
      </c>
      <c r="D53" s="15">
        <f t="shared" si="27"/>
        <v>596776</v>
      </c>
      <c r="E53" s="15">
        <f t="shared" si="27"/>
        <v>603488</v>
      </c>
      <c r="F53">
        <v>817680</v>
      </c>
      <c r="G53" s="15">
        <f t="shared" si="27"/>
        <v>550024</v>
      </c>
      <c r="H53" s="15">
        <f t="shared" si="27"/>
        <v>625148.9</v>
      </c>
      <c r="I53" s="15">
        <f t="shared" si="27"/>
        <v>569045.80000000005</v>
      </c>
      <c r="J53" s="15">
        <f t="shared" si="27"/>
        <v>652043.84</v>
      </c>
      <c r="K53" s="15">
        <f t="shared" si="27"/>
        <v>748437.76</v>
      </c>
      <c r="L53" s="15">
        <f t="shared" si="27"/>
        <v>665484.6</v>
      </c>
      <c r="M53" s="15">
        <f t="shared" si="27"/>
        <v>551433.19999999995</v>
      </c>
      <c r="O53" s="69">
        <f>(O52-O51)/O51</f>
        <v>0.12027254001196372</v>
      </c>
      <c r="P53" s="89" t="s">
        <v>102</v>
      </c>
      <c r="Q53" s="89"/>
      <c r="R53" s="89"/>
    </row>
    <row r="54" spans="1:18" x14ac:dyDescent="0.25">
      <c r="A54" s="12" t="s">
        <v>43</v>
      </c>
      <c r="B54" s="77">
        <f>B53*$F$6</f>
        <v>130268.77280094601</v>
      </c>
      <c r="C54" s="18">
        <f>C53*$F$6</f>
        <v>202929.66570488043</v>
      </c>
      <c r="D54" s="18">
        <f t="shared" ref="D54:M54" si="28">D53*$F$6</f>
        <v>175150.16651171522</v>
      </c>
      <c r="E54" s="18">
        <f t="shared" si="28"/>
        <v>177120.09814037761</v>
      </c>
      <c r="F54" s="77">
        <f>F53*$F$6</f>
        <v>239984.16181833603</v>
      </c>
      <c r="G54" s="18">
        <f t="shared" si="28"/>
        <v>161428.73571564481</v>
      </c>
      <c r="H54" s="18">
        <f t="shared" si="28"/>
        <v>183477.44200439632</v>
      </c>
      <c r="I54" s="18">
        <f t="shared" si="28"/>
        <v>167011.5196033222</v>
      </c>
      <c r="J54" s="18">
        <f t="shared" si="28"/>
        <v>191370.94512671119</v>
      </c>
      <c r="K54" s="18">
        <f t="shared" si="28"/>
        <v>219661.98085656119</v>
      </c>
      <c r="L54" s="18">
        <f t="shared" si="28"/>
        <v>195315.72734322795</v>
      </c>
      <c r="M54" s="18">
        <f t="shared" si="28"/>
        <v>161842.32743958864</v>
      </c>
    </row>
    <row r="59" spans="1:18" x14ac:dyDescent="0.25">
      <c r="A59" s="56" t="s">
        <v>4</v>
      </c>
      <c r="B59" s="56" t="s">
        <v>43</v>
      </c>
      <c r="C59" s="56" t="s">
        <v>44</v>
      </c>
      <c r="D59" s="56" t="s">
        <v>45</v>
      </c>
      <c r="E59" s="95" t="s">
        <v>86</v>
      </c>
      <c r="F59" s="96"/>
      <c r="G59" s="96"/>
      <c r="H59" s="96"/>
    </row>
    <row r="60" spans="1:18" x14ac:dyDescent="0.25">
      <c r="A60" s="7">
        <v>2026</v>
      </c>
      <c r="B60" s="3">
        <f>SUM(B54:M54)</f>
        <v>2205561.5430657077</v>
      </c>
      <c r="C60" s="7"/>
      <c r="D60" s="7"/>
      <c r="E60" s="99" t="s">
        <v>99</v>
      </c>
      <c r="F60" s="99"/>
      <c r="G60" s="99"/>
      <c r="H60" s="73">
        <f>(B60-B61)/B61</f>
        <v>0.11867644944230804</v>
      </c>
      <c r="I60" s="74"/>
      <c r="J60" s="74"/>
    </row>
    <row r="61" spans="1:18" x14ac:dyDescent="0.25">
      <c r="A61" s="7">
        <v>2025</v>
      </c>
      <c r="B61" s="3">
        <v>1971581.2772899999</v>
      </c>
      <c r="C61" s="3">
        <f>SUM(B24:J24)</f>
        <v>1334936.6299999999</v>
      </c>
      <c r="D61" s="3">
        <f>B61-C61</f>
        <v>636644.64728999999</v>
      </c>
      <c r="E61" s="80" t="s">
        <v>103</v>
      </c>
      <c r="F61" s="80"/>
      <c r="G61" s="80"/>
    </row>
    <row r="62" spans="1:18" x14ac:dyDescent="0.25">
      <c r="A62" s="7">
        <v>2024</v>
      </c>
      <c r="B62" s="3">
        <v>1721254</v>
      </c>
      <c r="C62" s="3">
        <v>1837808</v>
      </c>
      <c r="D62" s="3">
        <f>B62-C62</f>
        <v>-116554</v>
      </c>
      <c r="E62" s="80"/>
      <c r="F62" s="80"/>
      <c r="G62" s="80"/>
    </row>
    <row r="63" spans="1:18" x14ac:dyDescent="0.25">
      <c r="A63" s="7">
        <v>2023</v>
      </c>
      <c r="B63" s="3">
        <v>1254257</v>
      </c>
      <c r="C63" s="3">
        <v>1670669</v>
      </c>
      <c r="D63" s="3">
        <f>B63-C63</f>
        <v>-416412</v>
      </c>
      <c r="E63" s="2"/>
    </row>
    <row r="66" spans="2:2" x14ac:dyDescent="0.25">
      <c r="B66" s="1"/>
    </row>
  </sheetData>
  <mergeCells count="13">
    <mergeCell ref="E62:G62"/>
    <mergeCell ref="E59:H59"/>
    <mergeCell ref="F2:G2"/>
    <mergeCell ref="E60:G60"/>
    <mergeCell ref="E61:G61"/>
    <mergeCell ref="A9:M9"/>
    <mergeCell ref="B10:M10"/>
    <mergeCell ref="P52:R52"/>
    <mergeCell ref="O50:R50"/>
    <mergeCell ref="P53:R53"/>
    <mergeCell ref="B19:M19"/>
    <mergeCell ref="A18:M18"/>
    <mergeCell ref="A49:M49"/>
  </mergeCells>
  <phoneticPr fontId="2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Geral AT</vt:lpstr>
      <vt:lpstr>Detalhamento Embalagem</vt:lpstr>
      <vt:lpstr>Análise Correios 2026</vt:lpstr>
      <vt:lpstr>Detalhamento Frete</vt:lpstr>
      <vt:lpstr>Análise Frete Transp 2026</vt:lpstr>
      <vt:lpstr>Embalagem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Felipe Reis Franca</dc:creator>
  <cp:lastModifiedBy>Andre Felipe Reis Franca</cp:lastModifiedBy>
  <dcterms:created xsi:type="dcterms:W3CDTF">2025-10-17T12:40:05Z</dcterms:created>
  <dcterms:modified xsi:type="dcterms:W3CDTF">2025-12-08T13:13:38Z</dcterms:modified>
</cp:coreProperties>
</file>